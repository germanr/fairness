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5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6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7.xml" ContentType="application/vnd.openxmlformats-officedocument.themeOverride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8.xml" ContentType="application/vnd.openxmlformats-officedocument.themeOverrid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9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10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11.xml" ContentType="application/vnd.openxmlformats-officedocument.themeOverrid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12.xml" ContentType="application/vnd.openxmlformats-officedocument.themeOverrid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theme/themeOverride13.xml" ContentType="application/vnd.openxmlformats-officedocument.themeOverrid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14.xml" ContentType="application/vnd.openxmlformats-officedocument.themeOverrid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15.xml" ContentType="application/vnd.openxmlformats-officedocument.themeOverrid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16.xml" ContentType="application/vnd.openxmlformats-officedocument.themeOverrid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9.xml" ContentType="application/vnd.openxmlformats-officedocument.drawingml.chartshapes+xml"/>
  <Override PartName="/xl/drawings/drawing20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heme/themeOverride17.xml" ContentType="application/vnd.openxmlformats-officedocument.themeOverrid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theme/themeOverride18.xml" ContentType="application/vnd.openxmlformats-officedocument.themeOverrid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19.xml" ContentType="application/vnd.openxmlformats-officedocument.themeOverrid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20.xml" ContentType="application/vnd.openxmlformats-officedocument.themeOverrid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theme/themeOverride21.xml" ContentType="application/vnd.openxmlformats-officedocument.themeOverrid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theme/themeOverride22.xml" ContentType="application/vnd.openxmlformats-officedocument.themeOverrid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theme/themeOverride23.xml" ContentType="application/vnd.openxmlformats-officedocument.themeOverrid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theme/themeOverride24.xml" ContentType="application/vnd.openxmlformats-officedocument.themeOverrid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1.xml" ContentType="application/vnd.openxmlformats-officedocument.drawing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theme/themeOverride25.xml" ContentType="application/vnd.openxmlformats-officedocument.themeOverrid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theme/themeOverride26.xml" ContentType="application/vnd.openxmlformats-officedocument.themeOverrid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theme/themeOverride27.xml" ContentType="application/vnd.openxmlformats-officedocument.themeOverrid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theme/themeOverride28.xml" ContentType="application/vnd.openxmlformats-officedocument.themeOverrid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theme/themeOverride29.xml" ContentType="application/vnd.openxmlformats-officedocument.themeOverrid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theme/themeOverride30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Germán\Dropbox\Research\Fairness\04_Results\"/>
    </mc:Choice>
  </mc:AlternateContent>
  <xr:revisionPtr revIDLastSave="0" documentId="13_ncr:1_{8BA37963-35A1-4B7B-8F61-CFA003FAF0C1}" xr6:coauthVersionLast="46" xr6:coauthVersionMax="46" xr10:uidLastSave="{00000000-0000-0000-0000-000000000000}"/>
  <bookViews>
    <workbookView xWindow="-120" yWindow="-120" windowWidth="29040" windowHeight="15840" tabRatio="1000" activeTab="10" xr2:uid="{00000000-000D-0000-FFFF-FFFF00000000}"/>
  </bookViews>
  <sheets>
    <sheet name="Blog" sheetId="53" r:id="rId1"/>
    <sheet name="Fig1" sheetId="11" r:id="rId2"/>
    <sheet name="Fig2" sheetId="14" r:id="rId3"/>
    <sheet name="Fig3" sheetId="15" r:id="rId4"/>
    <sheet name="Fig4a" sheetId="23" r:id="rId5"/>
    <sheet name="Fig4b" sheetId="45" r:id="rId6"/>
    <sheet name="Fig5" sheetId="19" r:id="rId7"/>
    <sheet name="Fig6" sheetId="20" r:id="rId8"/>
    <sheet name="Fig7a" sheetId="50" r:id="rId9"/>
    <sheet name="Fig7b" sheetId="28" r:id="rId10"/>
    <sheet name="Fig8" sheetId="25" r:id="rId11"/>
    <sheet name="Fig9" sheetId="36" r:id="rId12"/>
    <sheet name="Table1" sheetId="51" r:id="rId13"/>
    <sheet name="TableA1" sheetId="9" r:id="rId14"/>
    <sheet name="TableA2" sheetId="10" r:id="rId15"/>
    <sheet name="TableA3" sheetId="48" r:id="rId16"/>
    <sheet name="TableA4" sheetId="39" r:id="rId17"/>
    <sheet name="TableB1" sheetId="32" r:id="rId18"/>
    <sheet name="TableB2" sheetId="33" r:id="rId19"/>
    <sheet name="TableB3" sheetId="34" r:id="rId20"/>
    <sheet name="FigA1" sheetId="37" r:id="rId21"/>
    <sheet name="FigB1" sheetId="35" r:id="rId22"/>
  </sheets>
  <definedNames>
    <definedName name="_xlnm._FilterDatabase" localSheetId="12" hidden="1">Table1!$B$40:$E$40</definedName>
    <definedName name="_xlnm._FilterDatabase" localSheetId="13" hidden="1">TableA1!$A$1:$E$20</definedName>
    <definedName name="_xlnm._FilterDatabase" localSheetId="14" hidden="1">TableA2!$A$1:$E$1601</definedName>
    <definedName name="_xlnm._FilterDatabase" localSheetId="15" hidden="1">TableA3!$A$1:$E$1601</definedName>
    <definedName name="_xlnm._FilterDatabase" localSheetId="18" hidden="1">TableB2!$B$2:$D$21</definedName>
    <definedName name="_xlnm._FilterDatabase" localSheetId="19" hidden="1">TableB3!$B$2:$C$15</definedName>
  </definedNames>
  <calcPr calcId="191029"/>
  <pivotCaches>
    <pivotCache cacheId="0" r:id="rId23"/>
    <pivotCache cacheId="1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25" l="1"/>
  <c r="D26" i="53"/>
  <c r="D25" i="53"/>
  <c r="D10" i="53"/>
  <c r="C10" i="53"/>
  <c r="D20" i="53" l="1"/>
  <c r="C20" i="53"/>
  <c r="D19" i="53"/>
  <c r="C19" i="53"/>
  <c r="D18" i="53"/>
  <c r="C18" i="53"/>
  <c r="D17" i="53"/>
  <c r="C17" i="53"/>
  <c r="D16" i="53"/>
  <c r="C16" i="53"/>
  <c r="D15" i="53"/>
  <c r="C15" i="53"/>
  <c r="D14" i="53"/>
  <c r="C14" i="53"/>
  <c r="D13" i="53"/>
  <c r="C13" i="53"/>
  <c r="D12" i="53"/>
  <c r="C12" i="53"/>
  <c r="D11" i="53"/>
  <c r="C11" i="53"/>
  <c r="D9" i="53"/>
  <c r="C9" i="53"/>
  <c r="D8" i="53"/>
  <c r="C8" i="53"/>
  <c r="D7" i="53"/>
  <c r="C7" i="53"/>
  <c r="D6" i="53"/>
  <c r="C6" i="53"/>
  <c r="D5" i="53"/>
  <c r="C5" i="53"/>
  <c r="D4" i="53"/>
  <c r="C4" i="53"/>
  <c r="D3" i="53"/>
  <c r="C3" i="53"/>
  <c r="I19" i="45" l="1"/>
  <c r="I18" i="45"/>
  <c r="I17" i="45"/>
  <c r="L7" i="25" l="1"/>
  <c r="L4" i="25"/>
  <c r="J5" i="25"/>
  <c r="J4" i="25"/>
  <c r="H4" i="25"/>
  <c r="D7" i="25"/>
  <c r="L6" i="25" s="1"/>
  <c r="L3" i="37"/>
  <c r="L4" i="37"/>
  <c r="L5" i="37"/>
  <c r="L6" i="37"/>
  <c r="L7" i="37"/>
  <c r="M3" i="37"/>
  <c r="M4" i="37"/>
  <c r="M5" i="37"/>
  <c r="M6" i="37"/>
  <c r="M7" i="37"/>
  <c r="M2" i="37"/>
  <c r="L2" i="37"/>
  <c r="L4" i="36"/>
  <c r="M4" i="36"/>
  <c r="N4" i="36"/>
  <c r="K4" i="36"/>
  <c r="L3" i="36"/>
  <c r="M3" i="36"/>
  <c r="N3" i="36"/>
  <c r="K3" i="36"/>
  <c r="D27" i="28"/>
  <c r="D26" i="28"/>
  <c r="D25" i="28"/>
  <c r="M24" i="50"/>
  <c r="L24" i="50"/>
  <c r="K24" i="50"/>
  <c r="M23" i="50"/>
  <c r="L23" i="50"/>
  <c r="K23" i="50"/>
  <c r="J7" i="45" l="1"/>
  <c r="J6" i="45"/>
  <c r="J5" i="45"/>
  <c r="J12" i="45" s="1"/>
  <c r="I5" i="45"/>
  <c r="J4" i="45"/>
  <c r="I7" i="45"/>
  <c r="I6" i="45"/>
  <c r="I4" i="45"/>
  <c r="I11" i="45" s="1"/>
  <c r="M23" i="23"/>
  <c r="L23" i="23"/>
  <c r="K23" i="23"/>
  <c r="L24" i="23"/>
  <c r="M24" i="23"/>
  <c r="K24" i="23"/>
  <c r="N5" i="35"/>
  <c r="N6" i="35"/>
  <c r="N4" i="35"/>
  <c r="I12" i="45" l="1"/>
  <c r="I13" i="45"/>
  <c r="N7" i="35"/>
  <c r="D10" i="15"/>
  <c r="D10" i="14"/>
  <c r="J11" i="45" l="1"/>
  <c r="J13" i="45"/>
  <c r="I4" i="25"/>
  <c r="O4" i="35" l="1"/>
  <c r="O5" i="35"/>
  <c r="O6" i="35"/>
  <c r="C5" i="25" l="1"/>
  <c r="C9" i="25" l="1"/>
  <c r="D6" i="25"/>
  <c r="I5" i="25"/>
  <c r="D23" i="19"/>
  <c r="E23" i="19"/>
  <c r="F23" i="19"/>
  <c r="I23" i="19"/>
  <c r="J23" i="19"/>
  <c r="K23" i="19"/>
  <c r="L23" i="19"/>
  <c r="O23" i="19"/>
  <c r="P23" i="19"/>
  <c r="S23" i="19"/>
  <c r="T23" i="19"/>
  <c r="U23" i="19"/>
  <c r="V23" i="19"/>
  <c r="C23" i="19"/>
  <c r="J6" i="25" l="1"/>
  <c r="L5" i="25"/>
  <c r="D9" i="25"/>
  <c r="D5" i="15"/>
  <c r="D6" i="15"/>
  <c r="D7" i="15"/>
  <c r="D8" i="15"/>
  <c r="D9" i="15"/>
  <c r="D11" i="15"/>
  <c r="D12" i="15"/>
  <c r="D13" i="15"/>
  <c r="D14" i="15"/>
  <c r="D15" i="15"/>
  <c r="D16" i="15"/>
  <c r="D17" i="15"/>
  <c r="D18" i="15"/>
  <c r="D19" i="15"/>
  <c r="D20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3" i="15"/>
  <c r="E4" i="14" l="1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D4" i="15"/>
  <c r="D3" i="15"/>
</calcChain>
</file>

<file path=xl/sharedStrings.xml><?xml version="1.0" encoding="utf-8"?>
<sst xmlns="http://schemas.openxmlformats.org/spreadsheetml/2006/main" count="13936" uniqueCount="282">
  <si>
    <t>Country</t>
  </si>
  <si>
    <t>all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</si>
  <si>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</si>
  <si>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</si>
  <si>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</si>
  <si>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</si>
  <si>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</si>
  <si>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</si>
  <si>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</si>
  <si>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</si>
  <si>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</si>
  <si>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</si>
  <si>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</si>
  <si>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</si>
  <si>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</si>
  <si>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</si>
  <si>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</si>
  <si>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</si>
  <si>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</si>
  <si>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</si>
  <si>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% Very Unfair</t>
  </si>
  <si>
    <t>% Unfair or Very Unfair</t>
  </si>
  <si>
    <t>Coefficient Variation</t>
  </si>
  <si>
    <t>Absolute Gini</t>
  </si>
  <si>
    <t>Ratio 75/25</t>
  </si>
  <si>
    <t>Ratio 90/10</t>
  </si>
  <si>
    <t>Variance</t>
  </si>
  <si>
    <t>Variable</t>
  </si>
  <si>
    <t>Row Labels</t>
  </si>
  <si>
    <t>Gini</t>
  </si>
  <si>
    <t>Obs</t>
  </si>
  <si>
    <t>Mean</t>
  </si>
  <si>
    <t>Std_Dev</t>
  </si>
  <si>
    <t>Very unfair</t>
  </si>
  <si>
    <t>Unfair</t>
  </si>
  <si>
    <t>Fair</t>
  </si>
  <si>
    <t>Very fair</t>
  </si>
  <si>
    <t>SEDLAC</t>
  </si>
  <si>
    <t>Asset ownership</t>
  </si>
  <si>
    <t>Education and Labor market</t>
  </si>
  <si>
    <t>Socio-demographic</t>
  </si>
  <si>
    <t>Access to services</t>
  </si>
  <si>
    <t>Access to running water (%)</t>
  </si>
  <si>
    <t>Literate (%)</t>
  </si>
  <si>
    <t>Car (%)</t>
  </si>
  <si>
    <t>City &gt; 1 Mill. Inhab. (%)</t>
  </si>
  <si>
    <t>Married or civil union (%)</t>
  </si>
  <si>
    <t>Catholic religion (%)</t>
  </si>
  <si>
    <t>Mobile (%)</t>
  </si>
  <si>
    <t>Access to a sewage (%)</t>
  </si>
  <si>
    <t>Computer (%)</t>
  </si>
  <si>
    <t>Age</t>
  </si>
  <si>
    <t>Fridge (%)</t>
  </si>
  <si>
    <t>Male (%)</t>
  </si>
  <si>
    <t>Washing machine (%)</t>
  </si>
  <si>
    <t>Economically active (%)</t>
  </si>
  <si>
    <t>Homeowner (%)</t>
  </si>
  <si>
    <t>Secondary education or more (%)</t>
  </si>
  <si>
    <t>Year</t>
  </si>
  <si>
    <t>1997</t>
  </si>
  <si>
    <t>2001</t>
  </si>
  <si>
    <t>2002</t>
  </si>
  <si>
    <t>2007</t>
  </si>
  <si>
    <t>2009</t>
  </si>
  <si>
    <t>2010</t>
  </si>
  <si>
    <t>2011</t>
  </si>
  <si>
    <t>2013</t>
  </si>
  <si>
    <t>2015</t>
  </si>
  <si>
    <t>Category</t>
  </si>
  <si>
    <t>All</t>
  </si>
  <si>
    <t>Education level</t>
  </si>
  <si>
    <t>Age group</t>
  </si>
  <si>
    <t>Gender</t>
  </si>
  <si>
    <t>Civil Status</t>
  </si>
  <si>
    <t>Religion</t>
  </si>
  <si>
    <t>Type of employment</t>
  </si>
  <si>
    <t>City size</t>
  </si>
  <si>
    <t>Level</t>
  </si>
  <si>
    <t>Less than Primary</t>
  </si>
  <si>
    <t>Complete Primary</t>
  </si>
  <si>
    <t>Complete Secondary</t>
  </si>
  <si>
    <t>Complete Tertiary</t>
  </si>
  <si>
    <t>15-24</t>
  </si>
  <si>
    <t>25-40</t>
  </si>
  <si>
    <t>41-64</t>
  </si>
  <si>
    <t>65+</t>
  </si>
  <si>
    <t>Female</t>
  </si>
  <si>
    <t>Male</t>
  </si>
  <si>
    <t>Not married</t>
  </si>
  <si>
    <t>Married</t>
  </si>
  <si>
    <t>Not catholic</t>
  </si>
  <si>
    <t>Catholic</t>
  </si>
  <si>
    <t>Employer</t>
  </si>
  <si>
    <t>Employee</t>
  </si>
  <si>
    <t>Self-employed</t>
  </si>
  <si>
    <t>Unemployed</t>
  </si>
  <si>
    <t>Under 100,000</t>
  </si>
  <si>
    <t>100,000 to 1,000,000</t>
  </si>
  <si>
    <t>More than 1,000,000</t>
  </si>
  <si>
    <t>Argentina</t>
  </si>
  <si>
    <t>Bolivia</t>
  </si>
  <si>
    <t>Brazil</t>
  </si>
  <si>
    <t>Chile</t>
  </si>
  <si>
    <t>Colombia</t>
  </si>
  <si>
    <t>Costa Rica</t>
  </si>
  <si>
    <t>Dominican Rep.</t>
  </si>
  <si>
    <t>Ecuador</t>
  </si>
  <si>
    <t>Guatemala</t>
  </si>
  <si>
    <t>Honduras</t>
  </si>
  <si>
    <t>Mexico</t>
  </si>
  <si>
    <t>Nicaragua</t>
  </si>
  <si>
    <t>Panama</t>
  </si>
  <si>
    <t>Peru</t>
  </si>
  <si>
    <t>Paraguay</t>
  </si>
  <si>
    <t>El Salvador</t>
  </si>
  <si>
    <t>Uruguay</t>
  </si>
  <si>
    <t>Venezuela</t>
  </si>
  <si>
    <t>Class</t>
  </si>
  <si>
    <t>Percent</t>
  </si>
  <si>
    <t>Total</t>
  </si>
  <si>
    <t>Sum of Percent</t>
  </si>
  <si>
    <t>Perception of about income distribution</t>
  </si>
  <si>
    <t xml:space="preserve">Mean </t>
  </si>
  <si>
    <t>Standard Deviation</t>
  </si>
  <si>
    <t>Observations</t>
  </si>
  <si>
    <t>Landline (%)</t>
  </si>
  <si>
    <t>Unemployed (% Labor Force)</t>
  </si>
  <si>
    <t>Parents with secondary education (%)</t>
  </si>
  <si>
    <t>Sociodemographic</t>
  </si>
  <si>
    <t>Variables</t>
  </si>
  <si>
    <t>Standard Dev.</t>
  </si>
  <si>
    <t>Gini coefficient</t>
  </si>
  <si>
    <t>Mean log deviation, GE(0)</t>
  </si>
  <si>
    <t>Theil index, GE(1)</t>
  </si>
  <si>
    <t>Generalized entropy, GE(2)</t>
  </si>
  <si>
    <t>Atkinson, A(0.5)</t>
  </si>
  <si>
    <t>Atkinson, A(1)</t>
  </si>
  <si>
    <t>45 line</t>
  </si>
  <si>
    <t>Dominican Republic</t>
  </si>
  <si>
    <t>Very Unfair</t>
  </si>
  <si>
    <t>% Unfair</t>
  </si>
  <si>
    <t>Very + Unjust</t>
  </si>
  <si>
    <t>Very unjust</t>
  </si>
  <si>
    <t>Unjust</t>
  </si>
  <si>
    <t>Correlation with…</t>
  </si>
  <si>
    <t>Males</t>
  </si>
  <si>
    <t>Females</t>
  </si>
  <si>
    <t>Change</t>
  </si>
  <si>
    <t>Gini 2013</t>
  </si>
  <si>
    <t>Unfair or Very Unfair</t>
  </si>
  <si>
    <t>18-24</t>
  </si>
  <si>
    <t>Self-Employed</t>
  </si>
  <si>
    <t>Average</t>
  </si>
  <si>
    <t>Very Fair</t>
  </si>
  <si>
    <t>Demographics</t>
  </si>
  <si>
    <t>Demographics/Gini</t>
  </si>
  <si>
    <t>Change 2002-13</t>
  </si>
  <si>
    <t>Explained (endowments)</t>
  </si>
  <si>
    <t>Unexplained (coefficients + interaction)</t>
  </si>
  <si>
    <t>(1)</t>
  </si>
  <si>
    <t>(2)</t>
  </si>
  <si>
    <t>(3)</t>
  </si>
  <si>
    <t>Weighted average</t>
  </si>
  <si>
    <t>N/A</t>
  </si>
  <si>
    <t>Share of the voting age population represented by Latinobarómetro's survey every year</t>
  </si>
  <si>
    <t>Year without household data</t>
  </si>
  <si>
    <t>Years interpolated</t>
  </si>
  <si>
    <t>1997, 2001, 2002, and 2007</t>
  </si>
  <si>
    <t>1997, 2002, 2009, 2010, and 2013</t>
  </si>
  <si>
    <t>1997, 2001</t>
  </si>
  <si>
    <t>1997, 2001, 2002, 2007, and 2009</t>
  </si>
  <si>
    <t>1997, 2001, and 2002</t>
  </si>
  <si>
    <t>Inequality was calculated with a linear interpolation</t>
  </si>
  <si>
    <t>Inequality was calculated with a linear interpolation (Table B3)</t>
  </si>
  <si>
    <t>Both perceptions and inequality data available</t>
  </si>
  <si>
    <t>1997, 2001, 2002</t>
  </si>
  <si>
    <t>2002, 2010, 2011, and 2013</t>
  </si>
  <si>
    <t>Inequality was calculated with a close survey (Table B2)</t>
  </si>
  <si>
    <t>Share</t>
  </si>
  <si>
    <t>Data points</t>
  </si>
  <si>
    <t>Latinobarómetro did not conduct survey in this year</t>
  </si>
  <si>
    <t>Inequality was calculated with a close survey</t>
  </si>
  <si>
    <t>Elasticities</t>
  </si>
  <si>
    <t>2002-2013</t>
  </si>
  <si>
    <t>2002-2015</t>
  </si>
  <si>
    <t>Changes</t>
  </si>
  <si>
    <t>Tax evasion</t>
  </si>
  <si>
    <t>Make a complaint to the media</t>
  </si>
  <si>
    <t>Signing a petition</t>
  </si>
  <si>
    <t>Unauthorized demonstrations</t>
  </si>
  <si>
    <t>Authorized demonstrations</t>
  </si>
  <si>
    <t>Complaint through social media</t>
  </si>
  <si>
    <t>Work</t>
  </si>
  <si>
    <t>Democracy</t>
  </si>
  <si>
    <t>Education</t>
  </si>
  <si>
    <t>Nature</t>
  </si>
  <si>
    <t>Latinob.</t>
  </si>
  <si>
    <t>Unemployed (%)</t>
  </si>
  <si>
    <t>Assets and Services</t>
  </si>
  <si>
    <t>Kolm, K(1)</t>
  </si>
  <si>
    <t>Pooled data</t>
  </si>
  <si>
    <t>(0.11)</t>
  </si>
  <si>
    <t>(0.08)</t>
  </si>
  <si>
    <t>(0.09)</t>
  </si>
  <si>
    <t>V.U.</t>
  </si>
  <si>
    <t>U. or V.U.</t>
  </si>
  <si>
    <t>U.</t>
  </si>
  <si>
    <t>Pooling all the data</t>
  </si>
  <si>
    <t>Averaging indicators</t>
  </si>
  <si>
    <t>Averaging correlations</t>
  </si>
  <si>
    <t>(4)</t>
  </si>
  <si>
    <t>(5)</t>
  </si>
  <si>
    <t>(6)</t>
  </si>
  <si>
    <t>(7)</t>
  </si>
  <si>
    <t>(8)</t>
  </si>
  <si>
    <t>(9)</t>
  </si>
  <si>
    <t>(0.07)</t>
  </si>
  <si>
    <t>(0.16)</t>
  </si>
  <si>
    <t>(0.35)</t>
  </si>
  <si>
    <t>(0.34)</t>
  </si>
  <si>
    <t>(0.13)</t>
  </si>
  <si>
    <t>(0.36)</t>
  </si>
  <si>
    <t>(0.17)</t>
  </si>
  <si>
    <t>(0.05)</t>
  </si>
  <si>
    <t>(0.12)</t>
  </si>
  <si>
    <t>(0.18)</t>
  </si>
  <si>
    <t>(0.33)</t>
  </si>
  <si>
    <t>(0.43)</t>
  </si>
  <si>
    <t>(0.23)</t>
  </si>
  <si>
    <t>(0.26)</t>
  </si>
  <si>
    <t>(0.32)</t>
  </si>
  <si>
    <t>(0.37)</t>
  </si>
  <si>
    <t>(0.10)</t>
  </si>
  <si>
    <t>Real Ecuador</t>
  </si>
  <si>
    <t>Real Ecuador 2013</t>
  </si>
  <si>
    <t>Gini 2002</t>
  </si>
  <si>
    <t>Spearman (stata)</t>
  </si>
  <si>
    <t>Only 2015</t>
  </si>
  <si>
    <t>Pearson:</t>
  </si>
  <si>
    <t>All unfair</t>
  </si>
  <si>
    <t>Unfair 2002</t>
  </si>
  <si>
    <t>Unfair 2013</t>
  </si>
  <si>
    <t xml:space="preserve"> ∆ Gini</t>
  </si>
  <si>
    <t>∆ Unfairness</t>
  </si>
  <si>
    <t>Comes from</t>
  </si>
  <si>
    <t>2002 Gini</t>
  </si>
  <si>
    <t>2013 Gini</t>
  </si>
  <si>
    <t>Pooling all countries/years - does not include interpolated years</t>
  </si>
  <si>
    <t>Pearson</t>
  </si>
  <si>
    <t>(0.39)</t>
  </si>
  <si>
    <t>(0.14)</t>
  </si>
  <si>
    <t>(0.31)</t>
  </si>
  <si>
    <t>Data point used instead</t>
  </si>
  <si>
    <t>Arg</t>
  </si>
  <si>
    <t>Bol</t>
  </si>
  <si>
    <t>Bra</t>
  </si>
  <si>
    <t>Chl</t>
  </si>
  <si>
    <t>Col</t>
  </si>
  <si>
    <t>Cri</t>
  </si>
  <si>
    <t>Dom</t>
  </si>
  <si>
    <t>Ecu</t>
  </si>
  <si>
    <t>Gtm</t>
  </si>
  <si>
    <t>Hnd</t>
  </si>
  <si>
    <t>Mex</t>
  </si>
  <si>
    <t>Nic</t>
  </si>
  <si>
    <t>Pan</t>
  </si>
  <si>
    <t>Per</t>
  </si>
  <si>
    <t>Pry</t>
  </si>
  <si>
    <t>Slv</t>
  </si>
  <si>
    <t>Ury</t>
  </si>
  <si>
    <t>Ven</t>
  </si>
  <si>
    <t>Corr(Gini,Fairness)</t>
  </si>
  <si>
    <t>Change Gini</t>
  </si>
  <si>
    <t>time</t>
  </si>
  <si>
    <t>value</t>
  </si>
  <si>
    <t>comp</t>
  </si>
  <si>
    <t>explained</t>
  </si>
  <si>
    <t>unexplained</t>
  </si>
  <si>
    <t>z1</t>
  </si>
  <si>
    <t>ini</t>
  </si>
  <si>
    <t>fin</t>
  </si>
  <si>
    <t>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</si>
</sst>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(* #,##0_);_(* \(#,##0\);_(* &quot;-&quot;??_);_(@_)"/>
    <numFmt numFmtId="167" formatCode="0.0%"/>
  </numFmts>
  <fonts count="29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</font>
    <font>
      <sz val="12"/>
      <name val="Calibri"/>
      <family val="2"/>
    </font>
    <font>
      <sz val="11"/>
      <name val="Bell MT"/>
      <family val="1"/>
    </font>
    <font>
      <i/>
      <sz val="12"/>
      <name val="Bell MT"/>
      <family val="1"/>
    </font>
    <font>
      <sz val="12"/>
      <name val="Bell MT"/>
      <family val="1"/>
    </font>
    <font>
      <sz val="12"/>
      <color theme="1"/>
      <name val="Bell MT"/>
      <family val="1"/>
    </font>
    <font>
      <i/>
      <sz val="12"/>
      <color theme="1"/>
      <name val="Bell MT"/>
      <family val="1"/>
    </font>
    <font>
      <sz val="11"/>
      <color rgb="FFFF0000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Bell MT"/>
      <family val="1"/>
    </font>
    <font>
      <sz val="11"/>
      <color theme="1"/>
      <name val="Calibri"/>
      <family val="2"/>
    </font>
    <font>
      <sz val="11"/>
      <color theme="1"/>
      <name val="Bell MT"/>
      <family val="1"/>
    </font>
    <font>
      <i/>
      <sz val="11"/>
      <color theme="1"/>
      <name val="Bell MT"/>
      <family val="1"/>
    </font>
    <font>
      <sz val="12"/>
      <color theme="9"/>
      <name val="Bell MT"/>
      <family val="1"/>
    </font>
    <font>
      <sz val="12"/>
      <color theme="4"/>
      <name val="Bell MT"/>
      <family val="1"/>
    </font>
    <font>
      <sz val="12"/>
      <color theme="0" tint="-0.249977111117893"/>
      <name val="Bell MT"/>
      <family val="1"/>
    </font>
    <font>
      <sz val="10"/>
      <name val="Bell MT"/>
      <family val="1"/>
    </font>
    <font>
      <i/>
      <sz val="11"/>
      <name val="Calibri"/>
      <family val="2"/>
    </font>
    <font>
      <sz val="11"/>
      <color theme="0" tint="-0.14999847407452621"/>
      <name val="Calibri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2"/>
      <color theme="6"/>
      <name val="Bell MT"/>
      <family val="1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43" fontId="5" fillId="0" borderId="0" applyFont="0" applyFill="0" applyBorder="0" applyAlignment="0" applyProtection="0"/>
    <xf numFmtId="0" fontId="4" fillId="0" borderId="0"/>
    <xf numFmtId="0" fontId="3" fillId="0" borderId="0"/>
    <xf numFmtId="0" fontId="15" fillId="0" borderId="0"/>
    <xf numFmtId="9" fontId="1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5" fillId="0" borderId="0"/>
    <xf numFmtId="43" fontId="5" fillId="0" borderId="0" applyFont="0" applyFill="0" applyBorder="0" applyAlignment="0" applyProtection="0"/>
  </cellStyleXfs>
  <cellXfs count="267">
    <xf numFmtId="0" fontId="0" fillId="0" borderId="0" xfId="0"/>
    <xf numFmtId="43" fontId="0" fillId="0" borderId="0" xfId="1" applyFont="1"/>
    <xf numFmtId="0" fontId="6" fillId="0" borderId="0" xfId="0" applyFont="1"/>
    <xf numFmtId="43" fontId="0" fillId="0" borderId="0" xfId="0" applyNumberFormat="1"/>
    <xf numFmtId="0" fontId="7" fillId="0" borderId="0" xfId="0" applyFont="1"/>
    <xf numFmtId="0" fontId="8" fillId="0" borderId="0" xfId="0" applyFont="1"/>
    <xf numFmtId="2" fontId="8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2" fontId="9" fillId="0" borderId="4" xfId="0" applyNumberFormat="1" applyFont="1" applyFill="1" applyBorder="1" applyAlignment="1">
      <alignment vertical="center"/>
    </xf>
    <xf numFmtId="0" fontId="10" fillId="0" borderId="0" xfId="0" applyFont="1" applyFill="1" applyBorder="1"/>
    <xf numFmtId="2" fontId="11" fillId="0" borderId="5" xfId="0" applyNumberFormat="1" applyFont="1" applyFill="1" applyBorder="1" applyAlignment="1">
      <alignment horizontal="center" vertical="center"/>
    </xf>
    <xf numFmtId="0" fontId="11" fillId="0" borderId="5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/>
    </xf>
    <xf numFmtId="164" fontId="11" fillId="0" borderId="0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indent="1"/>
    </xf>
    <xf numFmtId="0" fontId="11" fillId="0" borderId="6" xfId="0" applyFont="1" applyFill="1" applyBorder="1" applyAlignment="1">
      <alignment horizontal="left" indent="1"/>
    </xf>
    <xf numFmtId="164" fontId="11" fillId="0" borderId="6" xfId="0" applyNumberFormat="1" applyFont="1" applyFill="1" applyBorder="1" applyAlignment="1">
      <alignment horizontal="center" vertical="center"/>
    </xf>
    <xf numFmtId="0" fontId="11" fillId="0" borderId="6" xfId="0" applyNumberFormat="1" applyFont="1" applyFill="1" applyBorder="1" applyAlignment="1">
      <alignment horizontal="center" vertical="center"/>
    </xf>
    <xf numFmtId="0" fontId="10" fillId="0" borderId="0" xfId="0" applyFont="1"/>
    <xf numFmtId="2" fontId="11" fillId="0" borderId="0" xfId="0" applyNumberFormat="1" applyFont="1" applyFill="1" applyBorder="1" applyAlignment="1">
      <alignment horizontal="center" vertical="center"/>
    </xf>
    <xf numFmtId="0" fontId="10" fillId="0" borderId="0" xfId="0" pivotButton="1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indent="1"/>
    </xf>
    <xf numFmtId="0" fontId="10" fillId="0" borderId="0" xfId="0" applyFont="1" applyAlignment="1">
      <alignment horizontal="center" vertical="center"/>
    </xf>
    <xf numFmtId="166" fontId="10" fillId="0" borderId="0" xfId="1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66" fontId="0" fillId="0" borderId="0" xfId="1" applyNumberFormat="1" applyFont="1"/>
    <xf numFmtId="43" fontId="0" fillId="0" borderId="0" xfId="1" applyNumberFormat="1" applyFont="1"/>
    <xf numFmtId="0" fontId="10" fillId="0" borderId="3" xfId="0" applyFont="1" applyBorder="1" applyAlignment="1"/>
    <xf numFmtId="165" fontId="10" fillId="0" borderId="3" xfId="1" applyNumberFormat="1" applyFont="1" applyBorder="1" applyAlignment="1">
      <alignment horizontal="center"/>
    </xf>
    <xf numFmtId="43" fontId="10" fillId="0" borderId="3" xfId="1" applyFont="1" applyBorder="1" applyAlignment="1">
      <alignment horizontal="center"/>
    </xf>
    <xf numFmtId="3" fontId="10" fillId="0" borderId="3" xfId="1" applyNumberFormat="1" applyFont="1" applyBorder="1" applyAlignment="1">
      <alignment horizontal="center"/>
    </xf>
    <xf numFmtId="0" fontId="10" fillId="0" borderId="6" xfId="0" applyFont="1" applyBorder="1" applyAlignment="1">
      <alignment horizontal="left" indent="1"/>
    </xf>
    <xf numFmtId="2" fontId="10" fillId="0" borderId="6" xfId="0" applyNumberFormat="1" applyFont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0" fillId="0" borderId="0" xfId="0" applyFill="1"/>
    <xf numFmtId="2" fontId="0" fillId="0" borderId="0" xfId="0" applyNumberFormat="1" applyFill="1"/>
    <xf numFmtId="2" fontId="0" fillId="0" borderId="6" xfId="0" applyNumberFormat="1" applyFill="1" applyBorder="1"/>
    <xf numFmtId="0" fontId="6" fillId="0" borderId="0" xfId="0" applyFont="1" applyFill="1"/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43" fontId="0" fillId="0" borderId="0" xfId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2" fontId="0" fillId="0" borderId="0" xfId="0" applyNumberFormat="1"/>
    <xf numFmtId="0" fontId="15" fillId="0" borderId="0" xfId="4"/>
    <xf numFmtId="0" fontId="15" fillId="0" borderId="0" xfId="4" applyFont="1"/>
    <xf numFmtId="2" fontId="15" fillId="0" borderId="0" xfId="4" applyNumberFormat="1"/>
    <xf numFmtId="2" fontId="15" fillId="0" borderId="0" xfId="4" applyNumberFormat="1" applyFont="1"/>
    <xf numFmtId="167" fontId="15" fillId="0" borderId="0" xfId="5" applyNumberFormat="1" applyFont="1"/>
    <xf numFmtId="0" fontId="10" fillId="0" borderId="0" xfId="4" applyFont="1" applyAlignment="1">
      <alignment horizontal="center"/>
    </xf>
    <xf numFmtId="0" fontId="10" fillId="0" borderId="0" xfId="4" applyFont="1"/>
    <xf numFmtId="0" fontId="15" fillId="0" borderId="0" xfId="4" applyAlignment="1">
      <alignment horizontal="center"/>
    </xf>
    <xf numFmtId="0" fontId="15" fillId="0" borderId="0" xfId="4" quotePrefix="1"/>
    <xf numFmtId="0" fontId="16" fillId="0" borderId="0" xfId="0" pivotButton="1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indent="1"/>
    </xf>
    <xf numFmtId="2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0" fontId="15" fillId="0" borderId="0" xfId="4" applyAlignment="1">
      <alignment horizontal="right"/>
    </xf>
    <xf numFmtId="0" fontId="10" fillId="0" borderId="0" xfId="4" applyFont="1" applyAlignment="1">
      <alignment horizontal="right"/>
    </xf>
    <xf numFmtId="43" fontId="6" fillId="0" borderId="0" xfId="1" applyNumberFormat="1" applyFont="1" applyFill="1"/>
    <xf numFmtId="0" fontId="15" fillId="0" borderId="0" xfId="4" applyFill="1"/>
    <xf numFmtId="0" fontId="15" fillId="0" borderId="0" xfId="4" applyFill="1" applyAlignment="1">
      <alignment horizontal="right"/>
    </xf>
    <xf numFmtId="0" fontId="15" fillId="0" borderId="0" xfId="4" applyFont="1" applyFill="1"/>
    <xf numFmtId="2" fontId="15" fillId="0" borderId="0" xfId="4" applyNumberFormat="1" applyFill="1"/>
    <xf numFmtId="0" fontId="10" fillId="0" borderId="0" xfId="4" applyFont="1" applyFill="1" applyAlignment="1">
      <alignment horizontal="right"/>
    </xf>
    <xf numFmtId="0" fontId="10" fillId="0" borderId="0" xfId="4" applyFont="1" applyFill="1"/>
    <xf numFmtId="10" fontId="0" fillId="0" borderId="0" xfId="6" applyNumberFormat="1" applyFont="1"/>
    <xf numFmtId="164" fontId="0" fillId="0" borderId="0" xfId="0" applyNumberFormat="1"/>
    <xf numFmtId="0" fontId="0" fillId="4" borderId="0" xfId="0" applyFill="1" applyBorder="1" applyAlignment="1">
      <alignment horizontal="left"/>
    </xf>
    <xf numFmtId="0" fontId="0" fillId="4" borderId="0" xfId="0" applyFill="1" applyBorder="1"/>
    <xf numFmtId="0" fontId="0" fillId="4" borderId="0" xfId="0" applyFont="1" applyFill="1" applyBorder="1" applyAlignment="1">
      <alignment horizontal="left" vertical="center" indent="1"/>
    </xf>
    <xf numFmtId="167" fontId="0" fillId="4" borderId="0" xfId="6" applyNumberFormat="1" applyFont="1" applyFill="1" applyBorder="1" applyAlignment="1">
      <alignment horizontal="center"/>
    </xf>
    <xf numFmtId="43" fontId="0" fillId="4" borderId="0" xfId="1" applyFont="1" applyFill="1" applyBorder="1"/>
    <xf numFmtId="2" fontId="0" fillId="4" borderId="0" xfId="1" applyNumberFormat="1" applyFont="1" applyFill="1" applyBorder="1"/>
    <xf numFmtId="2" fontId="0" fillId="4" borderId="4" xfId="1" applyNumberFormat="1" applyFont="1" applyFill="1" applyBorder="1"/>
    <xf numFmtId="43" fontId="6" fillId="4" borderId="0" xfId="1" applyFont="1" applyFill="1" applyBorder="1"/>
    <xf numFmtId="2" fontId="0" fillId="0" borderId="0" xfId="1" applyNumberFormat="1" applyFont="1" applyBorder="1"/>
    <xf numFmtId="0" fontId="6" fillId="4" borderId="0" xfId="0" applyFont="1" applyFill="1" applyBorder="1" applyAlignment="1">
      <alignment horizontal="left"/>
    </xf>
    <xf numFmtId="0" fontId="0" fillId="0" borderId="13" xfId="0" applyBorder="1"/>
    <xf numFmtId="167" fontId="13" fillId="4" borderId="4" xfId="6" applyNumberFormat="1" applyFont="1" applyFill="1" applyBorder="1"/>
    <xf numFmtId="0" fontId="0" fillId="0" borderId="0" xfId="0" applyAlignment="1">
      <alignment horizontal="center"/>
    </xf>
    <xf numFmtId="0" fontId="10" fillId="0" borderId="0" xfId="0" applyFont="1" applyBorder="1"/>
    <xf numFmtId="0" fontId="10" fillId="0" borderId="6" xfId="0" applyFont="1" applyBorder="1"/>
    <xf numFmtId="43" fontId="15" fillId="0" borderId="0" xfId="1" applyFont="1"/>
    <xf numFmtId="0" fontId="18" fillId="0" borderId="0" xfId="7" applyFont="1"/>
    <xf numFmtId="0" fontId="18" fillId="0" borderId="0" xfId="7" applyFont="1" applyAlignment="1">
      <alignment horizontal="left"/>
    </xf>
    <xf numFmtId="0" fontId="18" fillId="0" borderId="3" xfId="7" applyFont="1" applyBorder="1"/>
    <xf numFmtId="0" fontId="18" fillId="0" borderId="3" xfId="7" applyNumberFormat="1" applyFont="1" applyBorder="1" applyAlignment="1"/>
    <xf numFmtId="9" fontId="8" fillId="0" borderId="0" xfId="9" applyNumberFormat="1" applyFont="1"/>
    <xf numFmtId="0" fontId="18" fillId="0" borderId="6" xfId="7" applyFont="1" applyBorder="1" applyAlignment="1">
      <alignment horizontal="left"/>
    </xf>
    <xf numFmtId="0" fontId="19" fillId="0" borderId="0" xfId="7" applyFont="1"/>
    <xf numFmtId="0" fontId="8" fillId="0" borderId="0" xfId="9" applyNumberFormat="1" applyFont="1" applyBorder="1"/>
    <xf numFmtId="0" fontId="19" fillId="0" borderId="0" xfId="7" applyNumberFormat="1" applyFont="1" applyBorder="1"/>
    <xf numFmtId="0" fontId="18" fillId="0" borderId="0" xfId="7" applyNumberFormat="1" applyFont="1" applyBorder="1"/>
    <xf numFmtId="0" fontId="8" fillId="0" borderId="0" xfId="9" applyNumberFormat="1" applyFont="1" applyBorder="1" applyAlignment="1">
      <alignment horizontal="center" vertical="center"/>
    </xf>
    <xf numFmtId="0" fontId="18" fillId="0" borderId="0" xfId="7" applyNumberFormat="1" applyFont="1" applyBorder="1" applyAlignment="1">
      <alignment horizontal="center" vertical="center"/>
    </xf>
    <xf numFmtId="166" fontId="8" fillId="0" borderId="0" xfId="1" applyNumberFormat="1" applyFont="1"/>
    <xf numFmtId="166" fontId="8" fillId="0" borderId="0" xfId="1" applyNumberFormat="1" applyFont="1" applyAlignment="1">
      <alignment horizontal="center"/>
    </xf>
    <xf numFmtId="166" fontId="8" fillId="0" borderId="6" xfId="1" applyNumberFormat="1" applyFont="1" applyBorder="1"/>
    <xf numFmtId="0" fontId="8" fillId="0" borderId="0" xfId="9" applyNumberFormat="1" applyFont="1" applyBorder="1" applyAlignment="1">
      <alignment horizontal="left" vertical="center"/>
    </xf>
    <xf numFmtId="0" fontId="10" fillId="0" borderId="3" xfId="9" applyNumberFormat="1" applyFont="1" applyBorder="1"/>
    <xf numFmtId="0" fontId="10" fillId="0" borderId="3" xfId="9" applyNumberFormat="1" applyFont="1" applyBorder="1" applyAlignment="1">
      <alignment horizontal="left" vertical="center"/>
    </xf>
    <xf numFmtId="0" fontId="10" fillId="0" borderId="6" xfId="0" applyFont="1" applyBorder="1" applyAlignment="1">
      <alignment horizontal="left"/>
    </xf>
    <xf numFmtId="3" fontId="10" fillId="0" borderId="0" xfId="0" applyNumberFormat="1" applyFont="1"/>
    <xf numFmtId="3" fontId="10" fillId="2" borderId="1" xfId="0" applyNumberFormat="1" applyFont="1" applyFill="1" applyBorder="1"/>
    <xf numFmtId="0" fontId="10" fillId="3" borderId="1" xfId="0" applyFont="1" applyFill="1" applyBorder="1"/>
    <xf numFmtId="0" fontId="10" fillId="6" borderId="1" xfId="0" applyFont="1" applyFill="1" applyBorder="1"/>
    <xf numFmtId="0" fontId="10" fillId="0" borderId="0" xfId="0" applyFont="1" applyBorder="1" applyAlignment="1">
      <alignment horizontal="left"/>
    </xf>
    <xf numFmtId="0" fontId="20" fillId="6" borderId="1" xfId="0" applyFont="1" applyFill="1" applyBorder="1"/>
    <xf numFmtId="3" fontId="21" fillId="2" borderId="1" xfId="0" applyNumberFormat="1" applyFont="1" applyFill="1" applyBorder="1"/>
    <xf numFmtId="0" fontId="22" fillId="3" borderId="1" xfId="0" applyFont="1" applyFill="1" applyBorder="1"/>
    <xf numFmtId="167" fontId="10" fillId="2" borderId="1" xfId="6" applyNumberFormat="1" applyFont="1" applyFill="1" applyBorder="1"/>
    <xf numFmtId="167" fontId="10" fillId="6" borderId="1" xfId="6" applyNumberFormat="1" applyFont="1" applyFill="1" applyBorder="1"/>
    <xf numFmtId="2" fontId="11" fillId="0" borderId="6" xfId="0" applyNumberFormat="1" applyFont="1" applyFill="1" applyBorder="1" applyAlignment="1">
      <alignment horizontal="center" vertical="center"/>
    </xf>
    <xf numFmtId="0" fontId="14" fillId="0" borderId="0" xfId="0" applyFont="1"/>
    <xf numFmtId="0" fontId="23" fillId="0" borderId="0" xfId="4" applyFont="1"/>
    <xf numFmtId="167" fontId="23" fillId="0" borderId="0" xfId="6" applyNumberFormat="1" applyFont="1"/>
    <xf numFmtId="43" fontId="23" fillId="0" borderId="0" xfId="1" applyFont="1"/>
    <xf numFmtId="0" fontId="5" fillId="0" borderId="0" xfId="0" applyFont="1"/>
    <xf numFmtId="0" fontId="24" fillId="0" borderId="0" xfId="0" applyFont="1"/>
    <xf numFmtId="43" fontId="17" fillId="0" borderId="1" xfId="1" applyFont="1" applyBorder="1"/>
    <xf numFmtId="43" fontId="17" fillId="0" borderId="12" xfId="1" applyFont="1" applyBorder="1"/>
    <xf numFmtId="0" fontId="10" fillId="0" borderId="4" xfId="0" applyFont="1" applyBorder="1" applyAlignment="1"/>
    <xf numFmtId="0" fontId="0" fillId="0" borderId="4" xfId="0" applyBorder="1"/>
    <xf numFmtId="0" fontId="10" fillId="0" borderId="5" xfId="0" applyFont="1" applyBorder="1" applyAlignment="1"/>
    <xf numFmtId="165" fontId="10" fillId="0" borderId="5" xfId="1" applyNumberFormat="1" applyFont="1" applyBorder="1" applyAlignment="1">
      <alignment horizontal="center"/>
    </xf>
    <xf numFmtId="0" fontId="0" fillId="0" borderId="5" xfId="0" applyBorder="1"/>
    <xf numFmtId="166" fontId="10" fillId="0" borderId="6" xfId="1" applyNumberFormat="1" applyFont="1" applyBorder="1" applyAlignment="1">
      <alignment horizontal="center" vertical="center"/>
    </xf>
    <xf numFmtId="43" fontId="5" fillId="0" borderId="0" xfId="1" applyFont="1"/>
    <xf numFmtId="0" fontId="5" fillId="0" borderId="0" xfId="0" applyFont="1" applyFill="1"/>
    <xf numFmtId="0" fontId="5" fillId="0" borderId="0" xfId="0" applyFont="1" applyAlignment="1">
      <alignment horizontal="left"/>
    </xf>
    <xf numFmtId="0" fontId="5" fillId="0" borderId="0" xfId="0" applyFont="1" applyFill="1" applyBorder="1" applyAlignment="1">
      <alignment horizontal="left"/>
    </xf>
    <xf numFmtId="0" fontId="25" fillId="0" borderId="0" xfId="0" applyFont="1"/>
    <xf numFmtId="0" fontId="25" fillId="0" borderId="0" xfId="0" applyFont="1" applyFill="1"/>
    <xf numFmtId="0" fontId="25" fillId="0" borderId="0" xfId="0" applyFont="1" applyAlignment="1">
      <alignment horizontal="center"/>
    </xf>
    <xf numFmtId="0" fontId="25" fillId="0" borderId="0" xfId="0" applyFont="1" applyFill="1" applyAlignment="1">
      <alignment horizontal="center"/>
    </xf>
    <xf numFmtId="2" fontId="25" fillId="0" borderId="0" xfId="0" applyNumberFormat="1" applyFont="1" applyFill="1" applyAlignment="1">
      <alignment horizontal="center"/>
    </xf>
    <xf numFmtId="2" fontId="25" fillId="0" borderId="0" xfId="0" applyNumberFormat="1" applyFont="1" applyFill="1"/>
    <xf numFmtId="0" fontId="24" fillId="0" borderId="0" xfId="0" applyFont="1" applyAlignment="1">
      <alignment horizontal="left" indent="1"/>
    </xf>
    <xf numFmtId="0" fontId="14" fillId="8" borderId="3" xfId="0" applyFont="1" applyFill="1" applyBorder="1" applyAlignment="1">
      <alignment horizontal="center" vertical="center"/>
    </xf>
    <xf numFmtId="43" fontId="14" fillId="8" borderId="3" xfId="1" applyFont="1" applyFill="1" applyBorder="1" applyAlignment="1">
      <alignment horizontal="center" vertical="center"/>
    </xf>
    <xf numFmtId="43" fontId="14" fillId="8" borderId="3" xfId="1" applyFont="1" applyFill="1" applyBorder="1"/>
    <xf numFmtId="0" fontId="14" fillId="8" borderId="3" xfId="0" applyFont="1" applyFill="1" applyBorder="1"/>
    <xf numFmtId="0" fontId="5" fillId="0" borderId="15" xfId="0" applyFont="1" applyBorder="1" applyAlignment="1">
      <alignment horizontal="center"/>
    </xf>
    <xf numFmtId="0" fontId="17" fillId="0" borderId="7" xfId="0" applyFont="1" applyBorder="1" applyAlignment="1">
      <alignment horizontal="left"/>
    </xf>
    <xf numFmtId="0" fontId="0" fillId="7" borderId="8" xfId="0" applyFill="1" applyBorder="1"/>
    <xf numFmtId="0" fontId="0" fillId="0" borderId="8" xfId="0" applyBorder="1"/>
    <xf numFmtId="0" fontId="6" fillId="7" borderId="8" xfId="0" applyFont="1" applyFill="1" applyBorder="1"/>
    <xf numFmtId="0" fontId="17" fillId="0" borderId="9" xfId="0" applyFont="1" applyBorder="1" applyAlignment="1">
      <alignment horizontal="left"/>
    </xf>
    <xf numFmtId="43" fontId="17" fillId="0" borderId="10" xfId="1" applyFont="1" applyBorder="1"/>
    <xf numFmtId="0" fontId="0" fillId="0" borderId="11" xfId="0" applyBorder="1"/>
    <xf numFmtId="0" fontId="17" fillId="0" borderId="16" xfId="0" applyFont="1" applyBorder="1" applyAlignment="1">
      <alignment horizontal="left"/>
    </xf>
    <xf numFmtId="0" fontId="0" fillId="7" borderId="17" xfId="0" applyFill="1" applyBorder="1"/>
    <xf numFmtId="0" fontId="17" fillId="0" borderId="14" xfId="0" applyFont="1" applyBorder="1"/>
    <xf numFmtId="0" fontId="17" fillId="0" borderId="13" xfId="0" applyFont="1" applyBorder="1"/>
    <xf numFmtId="43" fontId="17" fillId="0" borderId="16" xfId="1" applyFont="1" applyBorder="1"/>
    <xf numFmtId="0" fontId="17" fillId="0" borderId="17" xfId="0" applyNumberFormat="1" applyFont="1" applyBorder="1"/>
    <xf numFmtId="43" fontId="17" fillId="0" borderId="7" xfId="1" applyFont="1" applyBorder="1"/>
    <xf numFmtId="0" fontId="17" fillId="7" borderId="8" xfId="0" applyNumberFormat="1" applyFont="1" applyFill="1" applyBorder="1"/>
    <xf numFmtId="43" fontId="17" fillId="0" borderId="9" xfId="1" applyFont="1" applyBorder="1"/>
    <xf numFmtId="0" fontId="17" fillId="7" borderId="11" xfId="0" applyNumberFormat="1" applyFont="1" applyFill="1" applyBorder="1"/>
    <xf numFmtId="0" fontId="14" fillId="0" borderId="4" xfId="0" applyFont="1" applyBorder="1"/>
    <xf numFmtId="0" fontId="0" fillId="0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2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43" fontId="14" fillId="8" borderId="3" xfId="1" applyFont="1" applyFill="1" applyBorder="1" applyAlignment="1">
      <alignment horizontal="left" vertical="center"/>
    </xf>
    <xf numFmtId="2" fontId="14" fillId="8" borderId="3" xfId="1" applyNumberFormat="1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2" fontId="14" fillId="0" borderId="4" xfId="1" applyNumberFormat="1" applyFont="1" applyBorder="1" applyAlignment="1">
      <alignment horizontal="center"/>
    </xf>
    <xf numFmtId="2" fontId="14" fillId="0" borderId="4" xfId="0" applyNumberFormat="1" applyFont="1" applyBorder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4" fillId="0" borderId="0" xfId="0" applyFont="1" applyBorder="1"/>
    <xf numFmtId="2" fontId="15" fillId="0" borderId="0" xfId="4" applyNumberFormat="1" applyAlignment="1">
      <alignment horizontal="center"/>
    </xf>
    <xf numFmtId="0" fontId="15" fillId="0" borderId="0" xfId="4" quotePrefix="1" applyAlignment="1">
      <alignment horizontal="center"/>
    </xf>
    <xf numFmtId="2" fontId="15" fillId="0" borderId="0" xfId="4" applyNumberFormat="1" applyFill="1" applyAlignment="1">
      <alignment horizontal="center"/>
    </xf>
    <xf numFmtId="43" fontId="26" fillId="8" borderId="3" xfId="1" applyFont="1" applyFill="1" applyBorder="1" applyAlignment="1">
      <alignment horizontal="center" vertical="center"/>
    </xf>
    <xf numFmtId="0" fontId="27" fillId="0" borderId="0" xfId="4" applyFont="1"/>
    <xf numFmtId="167" fontId="27" fillId="0" borderId="0" xfId="6" applyNumberFormat="1" applyFont="1"/>
    <xf numFmtId="0" fontId="27" fillId="0" borderId="6" xfId="4" applyFont="1" applyBorder="1"/>
    <xf numFmtId="167" fontId="27" fillId="0" borderId="6" xfId="6" applyNumberFormat="1" applyFont="1" applyBorder="1"/>
    <xf numFmtId="43" fontId="27" fillId="0" borderId="0" xfId="1" applyFont="1"/>
    <xf numFmtId="2" fontId="14" fillId="8" borderId="3" xfId="1" applyNumberFormat="1" applyFont="1" applyFill="1" applyBorder="1" applyAlignment="1">
      <alignment horizontal="left" vertical="center"/>
    </xf>
    <xf numFmtId="0" fontId="15" fillId="0" borderId="6" xfId="4" applyBorder="1"/>
    <xf numFmtId="2" fontId="15" fillId="0" borderId="6" xfId="4" applyNumberFormat="1" applyBorder="1"/>
    <xf numFmtId="2" fontId="15" fillId="0" borderId="6" xfId="4" applyNumberFormat="1" applyFill="1" applyBorder="1"/>
    <xf numFmtId="2" fontId="15" fillId="0" borderId="6" xfId="4" applyNumberFormat="1" applyFont="1" applyBorder="1"/>
    <xf numFmtId="0" fontId="15" fillId="0" borderId="6" xfId="4" applyFill="1" applyBorder="1" applyAlignment="1">
      <alignment horizontal="center"/>
    </xf>
    <xf numFmtId="43" fontId="0" fillId="0" borderId="6" xfId="1" applyFont="1" applyBorder="1"/>
    <xf numFmtId="0" fontId="15" fillId="0" borderId="6" xfId="4" applyBorder="1" applyAlignment="1">
      <alignment horizontal="center"/>
    </xf>
    <xf numFmtId="2" fontId="15" fillId="0" borderId="6" xfId="4" applyNumberFormat="1" applyBorder="1" applyAlignment="1">
      <alignment horizontal="center"/>
    </xf>
    <xf numFmtId="43" fontId="27" fillId="0" borderId="6" xfId="1" applyFont="1" applyBorder="1"/>
    <xf numFmtId="0" fontId="0" fillId="0" borderId="6" xfId="0" applyBorder="1" applyAlignment="1">
      <alignment horizontal="left" vertical="center"/>
    </xf>
    <xf numFmtId="0" fontId="0" fillId="0" borderId="6" xfId="0" applyFill="1" applyBorder="1" applyAlignment="1">
      <alignment horizontal="center" vertical="center"/>
    </xf>
    <xf numFmtId="2" fontId="0" fillId="0" borderId="6" xfId="1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left" indent="1"/>
    </xf>
    <xf numFmtId="43" fontId="6" fillId="0" borderId="6" xfId="1" applyNumberFormat="1" applyFont="1" applyFill="1" applyBorder="1"/>
    <xf numFmtId="0" fontId="14" fillId="8" borderId="3" xfId="0" applyFont="1" applyFill="1" applyBorder="1" applyAlignment="1">
      <alignment horizontal="left"/>
    </xf>
    <xf numFmtId="0" fontId="14" fillId="8" borderId="3" xfId="0" applyFont="1" applyFill="1" applyBorder="1" applyAlignment="1">
      <alignment horizontal="left" vertical="center" indent="1"/>
    </xf>
    <xf numFmtId="43" fontId="5" fillId="0" borderId="0" xfId="1" applyFont="1" applyFill="1" applyBorder="1" applyAlignment="1">
      <alignment horizontal="left" vertical="center"/>
    </xf>
    <xf numFmtId="2" fontId="5" fillId="0" borderId="0" xfId="0" applyNumberFormat="1" applyFont="1" applyFill="1" applyBorder="1"/>
    <xf numFmtId="0" fontId="6" fillId="4" borderId="6" xfId="0" applyFont="1" applyFill="1" applyBorder="1" applyAlignment="1">
      <alignment horizontal="left"/>
    </xf>
    <xf numFmtId="2" fontId="0" fillId="4" borderId="6" xfId="1" applyNumberFormat="1" applyFont="1" applyFill="1" applyBorder="1"/>
    <xf numFmtId="167" fontId="13" fillId="4" borderId="2" xfId="6" applyNumberFormat="1" applyFont="1" applyFill="1" applyBorder="1"/>
    <xf numFmtId="43" fontId="15" fillId="0" borderId="6" xfId="1" applyFont="1" applyBorder="1"/>
    <xf numFmtId="43" fontId="27" fillId="7" borderId="6" xfId="1" applyFont="1" applyFill="1" applyBorder="1"/>
    <xf numFmtId="43" fontId="27" fillId="0" borderId="0" xfId="1" applyNumberFormat="1" applyFont="1"/>
    <xf numFmtId="0" fontId="10" fillId="0" borderId="0" xfId="11" applyFont="1" applyAlignment="1">
      <alignment horizontal="center"/>
    </xf>
    <xf numFmtId="43" fontId="10" fillId="0" borderId="0" xfId="12" applyFont="1" applyAlignment="1">
      <alignment horizontal="center"/>
    </xf>
    <xf numFmtId="0" fontId="10" fillId="0" borderId="0" xfId="11" applyFont="1"/>
    <xf numFmtId="0" fontId="10" fillId="0" borderId="0" xfId="11" applyFont="1" applyBorder="1" applyAlignment="1">
      <alignment horizontal="center" vertical="center"/>
    </xf>
    <xf numFmtId="43" fontId="10" fillId="0" borderId="0" xfId="12" applyFont="1" applyBorder="1" applyAlignment="1">
      <alignment horizontal="center" vertical="center"/>
    </xf>
    <xf numFmtId="2" fontId="11" fillId="0" borderId="0" xfId="1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43" fontId="10" fillId="0" borderId="5" xfId="12" quotePrefix="1" applyFont="1" applyBorder="1" applyAlignment="1">
      <alignment horizontal="center" vertical="center"/>
    </xf>
    <xf numFmtId="0" fontId="10" fillId="0" borderId="5" xfId="11" quotePrefix="1" applyFont="1" applyBorder="1" applyAlignment="1">
      <alignment horizontal="center" vertical="center"/>
    </xf>
    <xf numFmtId="0" fontId="7" fillId="0" borderId="4" xfId="11" applyFont="1" applyBorder="1"/>
    <xf numFmtId="0" fontId="7" fillId="0" borderId="0" xfId="11" applyFont="1"/>
    <xf numFmtId="0" fontId="7" fillId="0" borderId="0" xfId="11" applyFont="1" applyBorder="1" applyAlignment="1">
      <alignment horizontal="center" vertical="center"/>
    </xf>
    <xf numFmtId="0" fontId="7" fillId="0" borderId="5" xfId="11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7" fillId="0" borderId="0" xfId="11" applyFont="1" applyAlignment="1">
      <alignment horizontal="center"/>
    </xf>
    <xf numFmtId="43" fontId="7" fillId="0" borderId="0" xfId="12" applyFont="1" applyAlignment="1">
      <alignment horizontal="center"/>
    </xf>
    <xf numFmtId="2" fontId="11" fillId="0" borderId="0" xfId="1" applyNumberFormat="1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5" xfId="0" quotePrefix="1" applyFont="1" applyBorder="1" applyAlignment="1">
      <alignment horizontal="center"/>
    </xf>
    <xf numFmtId="0" fontId="11" fillId="0" borderId="0" xfId="0" quotePrefix="1" applyFont="1" applyBorder="1" applyAlignment="1">
      <alignment horizontal="center"/>
    </xf>
    <xf numFmtId="0" fontId="11" fillId="0" borderId="0" xfId="7" applyFont="1" applyAlignment="1">
      <alignment horizontal="left"/>
    </xf>
    <xf numFmtId="0" fontId="28" fillId="5" borderId="1" xfId="0" applyFont="1" applyFill="1" applyBorder="1"/>
    <xf numFmtId="0" fontId="10" fillId="5" borderId="1" xfId="0" applyFont="1" applyFill="1" applyBorder="1"/>
    <xf numFmtId="167" fontId="10" fillId="5" borderId="1" xfId="6" applyNumberFormat="1" applyFont="1" applyFill="1" applyBorder="1"/>
    <xf numFmtId="0" fontId="10" fillId="0" borderId="0" xfId="9" applyNumberFormat="1" applyFont="1" applyBorder="1"/>
    <xf numFmtId="0" fontId="10" fillId="0" borderId="0" xfId="9" applyNumberFormat="1" applyFont="1" applyBorder="1" applyAlignment="1">
      <alignment horizontal="center" vertical="center"/>
    </xf>
    <xf numFmtId="0" fontId="11" fillId="0" borderId="0" xfId="7" applyNumberFormat="1" applyFont="1" applyBorder="1" applyAlignment="1">
      <alignment horizontal="center" vertical="center"/>
    </xf>
    <xf numFmtId="0" fontId="10" fillId="0" borderId="3" xfId="9" applyNumberFormat="1" applyFont="1" applyBorder="1" applyAlignment="1">
      <alignment horizontal="center" vertical="center"/>
    </xf>
    <xf numFmtId="0" fontId="10" fillId="0" borderId="0" xfId="1" applyNumberFormat="1" applyFont="1" applyBorder="1" applyAlignment="1">
      <alignment horizontal="center" vertical="center"/>
    </xf>
    <xf numFmtId="0" fontId="10" fillId="0" borderId="0" xfId="1" applyNumberFormat="1" applyFont="1" applyBorder="1"/>
    <xf numFmtId="0" fontId="10" fillId="0" borderId="6" xfId="9" applyNumberFormat="1" applyFont="1" applyBorder="1"/>
    <xf numFmtId="0" fontId="10" fillId="0" borderId="6" xfId="9" applyNumberFormat="1" applyFont="1" applyBorder="1" applyAlignment="1">
      <alignment horizontal="center" vertical="center"/>
    </xf>
    <xf numFmtId="0" fontId="11" fillId="0" borderId="6" xfId="7" applyNumberFormat="1" applyFont="1" applyBorder="1" applyAlignment="1">
      <alignment horizontal="center" vertical="center"/>
    </xf>
    <xf numFmtId="0" fontId="12" fillId="0" borderId="0" xfId="7" applyNumberFormat="1" applyFont="1" applyBorder="1"/>
    <xf numFmtId="0" fontId="11" fillId="0" borderId="0" xfId="7" applyNumberFormat="1" applyFont="1" applyBorder="1"/>
    <xf numFmtId="0" fontId="5" fillId="0" borderId="6" xfId="0" applyFont="1" applyBorder="1" applyAlignment="1">
      <alignment horizontal="left"/>
    </xf>
    <xf numFmtId="43" fontId="0" fillId="0" borderId="0" xfId="1" applyFont="1" applyFill="1"/>
    <xf numFmtId="167" fontId="15" fillId="0" borderId="0" xfId="6" applyNumberFormat="1" applyFont="1"/>
    <xf numFmtId="43" fontId="5" fillId="0" borderId="0" xfId="1" applyNumberFormat="1" applyFont="1" applyFill="1" applyBorder="1" applyAlignment="1">
      <alignment horizontal="left"/>
    </xf>
    <xf numFmtId="43" fontId="10" fillId="0" borderId="2" xfId="12" applyFont="1" applyBorder="1" applyAlignment="1">
      <alignment horizontal="center"/>
    </xf>
    <xf numFmtId="0" fontId="10" fillId="0" borderId="2" xfId="11" applyFont="1" applyBorder="1" applyAlignment="1">
      <alignment horizontal="center"/>
    </xf>
    <xf numFmtId="0" fontId="9" fillId="0" borderId="4" xfId="11" applyFont="1" applyBorder="1" applyAlignment="1">
      <alignment horizontal="center" vertical="center"/>
    </xf>
    <xf numFmtId="0" fontId="9" fillId="0" borderId="0" xfId="11" applyFont="1" applyBorder="1" applyAlignment="1">
      <alignment horizontal="center" vertical="center"/>
    </xf>
    <xf numFmtId="0" fontId="9" fillId="0" borderId="5" xfId="11" applyFont="1" applyBorder="1" applyAlignment="1">
      <alignment horizontal="center" vertical="center"/>
    </xf>
    <xf numFmtId="2" fontId="10" fillId="0" borderId="2" xfId="0" applyNumberFormat="1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43" fontId="10" fillId="0" borderId="2" xfId="1" applyFont="1" applyBorder="1" applyAlignment="1">
      <alignment horizontal="center"/>
    </xf>
    <xf numFmtId="165" fontId="10" fillId="0" borderId="2" xfId="1" applyNumberFormat="1" applyFont="1" applyBorder="1" applyAlignment="1">
      <alignment horizontal="center"/>
    </xf>
  </cellXfs>
  <cellStyles count="13">
    <cellStyle name="Comma" xfId="1" builtinId="3"/>
    <cellStyle name="Comma 2" xfId="9" xr:uid="{00000000-0005-0000-0000-000001000000}"/>
    <cellStyle name="Comma 4" xfId="12" xr:uid="{00000000-0005-0000-0000-000002000000}"/>
    <cellStyle name="Normal" xfId="0" builtinId="0"/>
    <cellStyle name="Normal 2" xfId="2" xr:uid="{00000000-0005-0000-0000-000004000000}"/>
    <cellStyle name="Normal 3" xfId="4" xr:uid="{00000000-0005-0000-0000-000005000000}"/>
    <cellStyle name="Normal 4" xfId="7" xr:uid="{00000000-0005-0000-0000-000006000000}"/>
    <cellStyle name="Normal 5" xfId="10" xr:uid="{00000000-0005-0000-0000-000007000000}"/>
    <cellStyle name="Normal 5 2" xfId="3" xr:uid="{00000000-0005-0000-0000-000008000000}"/>
    <cellStyle name="Normal 6" xfId="11" xr:uid="{00000000-0005-0000-0000-000009000000}"/>
    <cellStyle name="Percent" xfId="6" builtinId="5"/>
    <cellStyle name="Percent 2" xfId="5" xr:uid="{00000000-0005-0000-0000-00000B000000}"/>
    <cellStyle name="Percent 3" xfId="8" xr:uid="{00000000-0005-0000-0000-00000C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2" formatCode="0.00"/>
    </dxf>
    <dxf>
      <numFmt numFmtId="2" formatCode="0.00"/>
    </dxf>
    <dxf>
      <numFmt numFmtId="2" formatCode="0.00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numFmt numFmtId="0" formatCode="General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2" formatCode="0.00"/>
    </dxf>
    <dxf>
      <numFmt numFmtId="2" formatCode="0.00"/>
    </dxf>
    <dxf>
      <numFmt numFmtId="2" formatCode="0.00"/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_(* #,##0_);_(* \(#,##0\);_(* &quot;-&quot;??_);_(@_)"/>
    </dxf>
    <dxf>
      <numFmt numFmtId="166" formatCode="_(* #,##0_);_(* \(#,##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  <dxf>
      <font>
        <name val="Bell M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Relationship Id="rId4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4.xml"/><Relationship Id="rId1" Type="http://schemas.microsoft.com/office/2011/relationships/chartStyle" Target="style4.xml"/><Relationship Id="rId4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5.xml"/><Relationship Id="rId1" Type="http://schemas.microsoft.com/office/2011/relationships/chartStyle" Target="style5.xml"/><Relationship Id="rId4" Type="http://schemas.openxmlformats.org/officeDocument/2006/relationships/chartUserShapes" Target="../drawings/drawing8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8.xml"/><Relationship Id="rId1" Type="http://schemas.microsoft.com/office/2011/relationships/chartStyle" Target="style8.xml"/><Relationship Id="rId4" Type="http://schemas.openxmlformats.org/officeDocument/2006/relationships/chartUserShapes" Target="../drawings/drawing11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5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6.xml"/><Relationship Id="rId2" Type="http://schemas.microsoft.com/office/2011/relationships/chartColorStyle" Target="colors15.xml"/><Relationship Id="rId1" Type="http://schemas.microsoft.com/office/2011/relationships/chartStyle" Target="style15.xml"/><Relationship Id="rId4" Type="http://schemas.openxmlformats.org/officeDocument/2006/relationships/chartUserShapes" Target="../drawings/drawing17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7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8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1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2.xml"/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3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4.xml"/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5.xml"/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6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7.xml"/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8.xml"/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9.xml"/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0.xml"/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8396421938349661E-2"/>
          <c:y val="3.4749242203310444E-2"/>
          <c:w val="0.85275935152515547"/>
          <c:h val="0.88072218245446587"/>
        </c:manualLayout>
      </c:layout>
      <c:lineChart>
        <c:grouping val="standard"/>
        <c:varyColors val="0"/>
        <c:ser>
          <c:idx val="1"/>
          <c:order val="0"/>
          <c:tx>
            <c:strRef>
              <c:f>Blog!$I$2</c:f>
              <c:strCache>
                <c:ptCount val="1"/>
                <c:pt idx="0">
                  <c:v> Unfair or Very Unfair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F0-4F97-8E92-A9040F89F88B}"/>
              </c:ext>
            </c:extLst>
          </c:dPt>
          <c:cat>
            <c:numRef>
              <c:f>Blog!$F$3:$F$21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Blog!$I$3:$I$21</c:f>
              <c:numCache>
                <c:formatCode>0.00</c:formatCode>
                <c:ptCount val="19"/>
                <c:pt idx="0">
                  <c:v>80.390069999999994</c:v>
                </c:pt>
                <c:pt idx="4">
                  <c:v>88.869709999999998</c:v>
                </c:pt>
                <c:pt idx="5">
                  <c:v>86.606800000000007</c:v>
                </c:pt>
                <c:pt idx="10">
                  <c:v>77.753230000000002</c:v>
                </c:pt>
                <c:pt idx="12">
                  <c:v>77.851070000000007</c:v>
                </c:pt>
                <c:pt idx="13">
                  <c:v>77.948580000000007</c:v>
                </c:pt>
                <c:pt idx="14">
                  <c:v>79.455070000000006</c:v>
                </c:pt>
                <c:pt idx="16">
                  <c:v>72.909949999999995</c:v>
                </c:pt>
                <c:pt idx="18">
                  <c:v>75.084630000000004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F0-4F97-8E92-A9040F89F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83632"/>
        <c:axId val="270584024"/>
      </c:lineChart>
      <c:lineChart>
        <c:grouping val="standard"/>
        <c:varyColors val="0"/>
        <c:ser>
          <c:idx val="0"/>
          <c:order val="1"/>
          <c:tx>
            <c:strRef>
              <c:f>Blog!$J$2</c:f>
              <c:strCache>
                <c:ptCount val="1"/>
                <c:pt idx="0">
                  <c:v> Gini 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Blog!$J$3:$J$21</c:f>
              <c:numCache>
                <c:formatCode>0.00</c:formatCode>
                <c:ptCount val="19"/>
                <c:pt idx="0">
                  <c:v>0.54566875000000004</c:v>
                </c:pt>
                <c:pt idx="4">
                  <c:v>0.53624685999999999</c:v>
                </c:pt>
                <c:pt idx="5">
                  <c:v>0.53747915999999996</c:v>
                </c:pt>
                <c:pt idx="10">
                  <c:v>0.50623315000000002</c:v>
                </c:pt>
                <c:pt idx="12">
                  <c:v>0.48962708999999999</c:v>
                </c:pt>
                <c:pt idx="13">
                  <c:v>0.48464447999999999</c:v>
                </c:pt>
                <c:pt idx="14">
                  <c:v>0.48130264</c:v>
                </c:pt>
                <c:pt idx="16">
                  <c:v>0.47656148999999998</c:v>
                </c:pt>
                <c:pt idx="18">
                  <c:v>0.46712735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F0-4F97-8E92-A9040F89F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84808"/>
        <c:axId val="270584416"/>
      </c:lineChart>
      <c:catAx>
        <c:axId val="27058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270584024"/>
        <c:crosses val="autoZero"/>
        <c:auto val="1"/>
        <c:lblAlgn val="ctr"/>
        <c:lblOffset val="100"/>
        <c:noMultiLvlLbl val="0"/>
      </c:catAx>
      <c:valAx>
        <c:axId val="27058402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solidFill>
              <a:srgbClr val="C0504D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270583632"/>
        <c:crosses val="autoZero"/>
        <c:crossBetween val="between"/>
        <c:majorUnit val="10"/>
      </c:valAx>
      <c:valAx>
        <c:axId val="270584416"/>
        <c:scaling>
          <c:orientation val="minMax"/>
          <c:min val="0.4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solidFill>
              <a:srgbClr val="00B05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00B050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270584808"/>
        <c:crosses val="max"/>
        <c:crossBetween val="between"/>
        <c:majorUnit val="5.000000000000001E-2"/>
      </c:valAx>
      <c:catAx>
        <c:axId val="270584808"/>
        <c:scaling>
          <c:orientation val="minMax"/>
        </c:scaling>
        <c:delete val="1"/>
        <c:axPos val="b"/>
        <c:majorTickMark val="out"/>
        <c:minorTickMark val="none"/>
        <c:tickLblPos val="nextTo"/>
        <c:crossAx val="270584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26547827354913967"/>
          <c:y val="2.9170822397200345E-2"/>
          <c:w val="0.66497302420530779"/>
          <c:h val="0.743969269466316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29A-42D7-8D71-10C24D6EE96A}"/>
              </c:ext>
            </c:extLst>
          </c:dPt>
          <c:dPt>
            <c:idx val="1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29A-42D7-8D71-10C24D6EE96A}"/>
              </c:ext>
            </c:extLst>
          </c:dPt>
          <c:dPt>
            <c:idx val="2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29A-42D7-8D71-10C24D6EE96A}"/>
              </c:ext>
            </c:extLst>
          </c:dPt>
          <c:dPt>
            <c:idx val="3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29A-42D7-8D71-10C24D6EE96A}"/>
              </c:ext>
            </c:extLst>
          </c:dPt>
          <c:dPt>
            <c:idx val="4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29A-42D7-8D71-10C24D6EE96A}"/>
              </c:ext>
            </c:extLst>
          </c:dPt>
          <c:dPt>
            <c:idx val="5"/>
            <c:marker>
              <c:symbol val="diamond"/>
              <c:size val="7"/>
              <c:spPr>
                <a:solidFill>
                  <a:srgbClr val="C0504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29A-42D7-8D71-10C24D6EE96A}"/>
              </c:ext>
            </c:extLst>
          </c:dPt>
          <c:dPt>
            <c:idx val="6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29A-42D7-8D71-10C24D6EE96A}"/>
              </c:ext>
            </c:extLst>
          </c:dPt>
          <c:dPt>
            <c:idx val="7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E29A-42D7-8D71-10C24D6EE96A}"/>
              </c:ext>
            </c:extLst>
          </c:dPt>
          <c:dPt>
            <c:idx val="8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E29A-42D7-8D71-10C24D6EE96A}"/>
              </c:ext>
            </c:extLst>
          </c:dPt>
          <c:dPt>
            <c:idx val="9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E29A-42D7-8D71-10C24D6EE96A}"/>
              </c:ext>
            </c:extLst>
          </c:dPt>
          <c:dPt>
            <c:idx val="10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E29A-42D7-8D71-10C24D6EE96A}"/>
              </c:ext>
            </c:extLst>
          </c:dPt>
          <c:dPt>
            <c:idx val="11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29A-42D7-8D71-10C24D6EE96A}"/>
              </c:ext>
            </c:extLst>
          </c:dPt>
          <c:dPt>
            <c:idx val="12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E29A-42D7-8D71-10C24D6EE96A}"/>
              </c:ext>
            </c:extLst>
          </c:dPt>
          <c:dPt>
            <c:idx val="13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29A-42D7-8D71-10C24D6EE96A}"/>
              </c:ext>
            </c:extLst>
          </c:dPt>
          <c:dPt>
            <c:idx val="14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E29A-42D7-8D71-10C24D6EE96A}"/>
              </c:ext>
            </c:extLst>
          </c:dPt>
          <c:dPt>
            <c:idx val="15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E29A-42D7-8D71-10C24D6EE96A}"/>
              </c:ext>
            </c:extLst>
          </c:dPt>
          <c:dPt>
            <c:idx val="16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E29A-42D7-8D71-10C24D6EE96A}"/>
              </c:ext>
            </c:extLst>
          </c:dPt>
          <c:dPt>
            <c:idx val="17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E29A-42D7-8D71-10C24D6EE96A}"/>
              </c:ext>
            </c:extLst>
          </c:dPt>
          <c:dPt>
            <c:idx val="18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E29A-42D7-8D71-10C24D6EE96A}"/>
              </c:ext>
            </c:extLst>
          </c:dPt>
          <c:dPt>
            <c:idx val="19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E29A-42D7-8D71-10C24D6EE96A}"/>
              </c:ext>
            </c:extLst>
          </c:dPt>
          <c:dPt>
            <c:idx val="20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E29A-42D7-8D71-10C24D6EE96A}"/>
              </c:ext>
            </c:extLst>
          </c:dPt>
          <c:dPt>
            <c:idx val="21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E29A-42D7-8D71-10C24D6EE96A}"/>
              </c:ext>
            </c:extLst>
          </c:dPt>
          <c:dPt>
            <c:idx val="22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E29A-42D7-8D71-10C24D6EE96A}"/>
              </c:ext>
            </c:extLst>
          </c:dPt>
          <c:dPt>
            <c:idx val="23"/>
            <c:marker>
              <c:symbol val="diamond"/>
              <c:size val="7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E29A-42D7-8D71-10C24D6EE96A}"/>
              </c:ext>
            </c:extLst>
          </c:dPt>
          <c:dLbls>
            <c:dLbl>
              <c:idx val="0"/>
              <c:layout>
                <c:manualLayout>
                  <c:x val="0"/>
                  <c:y val="6.3232982911368529E-2"/>
                </c:manualLayout>
              </c:layout>
              <c:tx>
                <c:rich>
                  <a:bodyPr/>
                  <a:lstStyle/>
                  <a:p>
                    <a:fld id="{E997E3D9-B63D-471B-8247-3D0893D1F6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E29A-42D7-8D71-10C24D6EE96A}"/>
                </c:ext>
              </c:extLst>
            </c:dLbl>
            <c:dLbl>
              <c:idx val="1"/>
              <c:layout>
                <c:manualLayout>
                  <c:x val="0"/>
                  <c:y val="3.7914685654747989E-2"/>
                </c:manualLayout>
              </c:layout>
              <c:tx>
                <c:rich>
                  <a:bodyPr/>
                  <a:lstStyle/>
                  <a:p>
                    <a:fld id="{E1A02B06-5A60-4DDD-AA73-97AD480FBB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29A-42D7-8D71-10C24D6EE96A}"/>
                </c:ext>
              </c:extLst>
            </c:dLbl>
            <c:dLbl>
              <c:idx val="2"/>
              <c:layout>
                <c:manualLayout>
                  <c:x val="-1.3189631780246401E-2"/>
                  <c:y val="6.3219039512273173E-2"/>
                </c:manualLayout>
              </c:layout>
              <c:tx>
                <c:rich>
                  <a:bodyPr/>
                  <a:lstStyle/>
                  <a:p>
                    <a:fld id="{CFA8312B-6C0B-4E8F-8CE0-7FA378C99C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29A-42D7-8D71-10C24D6EE96A}"/>
                </c:ext>
              </c:extLst>
            </c:dLbl>
            <c:dLbl>
              <c:idx val="3"/>
              <c:layout>
                <c:manualLayout>
                  <c:x val="-5.1979440069991247E-3"/>
                  <c:y val="9.8426290463692043E-2"/>
                </c:manualLayout>
              </c:layout>
              <c:tx>
                <c:rich>
                  <a:bodyPr/>
                  <a:lstStyle/>
                  <a:p>
                    <a:fld id="{3EA63756-B38F-40E9-A0C9-D3AA0F72AA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29A-42D7-8D71-10C24D6EE96A}"/>
                </c:ext>
              </c:extLst>
            </c:dLbl>
            <c:dLbl>
              <c:idx val="4"/>
              <c:layout>
                <c:manualLayout>
                  <c:x val="-0.14413488631709059"/>
                  <c:y val="-2.5297309787137453E-2"/>
                </c:manualLayout>
              </c:layout>
              <c:tx>
                <c:rich>
                  <a:bodyPr/>
                  <a:lstStyle/>
                  <a:p>
                    <a:fld id="{A7042F6F-BDCD-4EEA-ADFD-9ED4556B27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29A-42D7-8D71-10C24D6EE96A}"/>
                </c:ext>
              </c:extLst>
            </c:dLbl>
            <c:dLbl>
              <c:idx val="5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rgbClr val="C000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68BF5351-E2BA-4B14-A3B0-F7AED158DA09}" type="CELLRANGE">
                      <a:rPr lang="en-US"/>
                      <a:pPr>
                        <a:defRPr>
                          <a:solidFill>
                            <a:srgbClr val="C000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C000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29A-42D7-8D71-10C24D6EE96A}"/>
                </c:ext>
              </c:extLst>
            </c:dLbl>
            <c:dLbl>
              <c:idx val="6"/>
              <c:layout>
                <c:manualLayout>
                  <c:x val="-2.1037212245702538E-2"/>
                  <c:y val="1.686490330760022E-2"/>
                </c:manualLayout>
              </c:layout>
              <c:tx>
                <c:rich>
                  <a:bodyPr/>
                  <a:lstStyle/>
                  <a:p>
                    <a:fld id="{12E940AF-ADA1-44DF-A14B-5F7745336E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29A-42D7-8D71-10C24D6EE96A}"/>
                </c:ext>
              </c:extLst>
            </c:dLbl>
            <c:dLbl>
              <c:idx val="7"/>
              <c:layout>
                <c:manualLayout>
                  <c:x val="-2.6206620005833027E-3"/>
                  <c:y val="-2.5049759405074364E-2"/>
                </c:manualLayout>
              </c:layout>
              <c:tx>
                <c:rich>
                  <a:bodyPr/>
                  <a:lstStyle/>
                  <a:p>
                    <a:fld id="{82D38549-81B8-4BF6-B7B2-B84F440024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29A-42D7-8D71-10C24D6EE96A}"/>
                </c:ext>
              </c:extLst>
            </c:dLbl>
            <c:dLbl>
              <c:idx val="8"/>
              <c:layout>
                <c:manualLayout>
                  <c:x val="-5.270092226613966E-3"/>
                  <c:y val="3.3701942804220494E-2"/>
                </c:manualLayout>
              </c:layout>
              <c:tx>
                <c:rich>
                  <a:bodyPr/>
                  <a:lstStyle/>
                  <a:p>
                    <a:fld id="{B10529DC-FE1A-437E-9553-EAD709D9E0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29A-42D7-8D71-10C24D6EE96A}"/>
                </c:ext>
              </c:extLst>
            </c:dLbl>
            <c:dLbl>
              <c:idx val="9"/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5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D8854C7-E922-455E-AD84-2E8351407858}" type="CELLRANGE">
                      <a:rPr lang="en-US"/>
                      <a:pPr>
                        <a:defRPr>
                          <a:solidFill>
                            <a:schemeClr val="accent5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5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29A-42D7-8D71-10C24D6EE96A}"/>
                </c:ext>
              </c:extLst>
            </c:dLbl>
            <c:dLbl>
              <c:idx val="10"/>
              <c:layout>
                <c:manualLayout>
                  <c:x val="-5.5409011373578385E-2"/>
                  <c:y val="6.9905402449693788E-2"/>
                </c:manualLayout>
              </c:layout>
              <c:tx>
                <c:rich>
                  <a:bodyPr/>
                  <a:lstStyle/>
                  <a:p>
                    <a:fld id="{3445CA7A-FFD2-4348-8126-328EE94AA0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29A-42D7-8D71-10C24D6EE96A}"/>
                </c:ext>
              </c:extLst>
            </c:dLbl>
            <c:dLbl>
              <c:idx val="11"/>
              <c:layout>
                <c:manualLayout>
                  <c:x val="7.4296014056504586E-3"/>
                  <c:y val="-2.1042913134615551E-2"/>
                </c:manualLayout>
              </c:layout>
              <c:tx>
                <c:rich>
                  <a:bodyPr/>
                  <a:lstStyle/>
                  <a:p>
                    <a:fld id="{7198C687-0345-4EFD-B58C-16A67D867F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29A-42D7-8D71-10C24D6EE96A}"/>
                </c:ext>
              </c:extLst>
            </c:dLbl>
            <c:dLbl>
              <c:idx val="12"/>
              <c:layout>
                <c:manualLayout>
                  <c:x val="-9.2299868766404197E-2"/>
                  <c:y val="-8.652559055118117E-2"/>
                </c:manualLayout>
              </c:layout>
              <c:tx>
                <c:rich>
                  <a:bodyPr/>
                  <a:lstStyle/>
                  <a:p>
                    <a:fld id="{7DA90853-C05A-475F-ADE0-535B0B78EC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29A-42D7-8D71-10C24D6EE96A}"/>
                </c:ext>
              </c:extLst>
            </c:dLbl>
            <c:dLbl>
              <c:idx val="13"/>
              <c:layout>
                <c:manualLayout>
                  <c:x val="-6.0606060606060608E-2"/>
                  <c:y val="3.7914685654748141E-2"/>
                </c:manualLayout>
              </c:layout>
              <c:tx>
                <c:rich>
                  <a:bodyPr/>
                  <a:lstStyle/>
                  <a:p>
                    <a:fld id="{F0B40425-9109-476C-97BE-BE3E164BDA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29A-42D7-8D71-10C24D6EE96A}"/>
                </c:ext>
              </c:extLst>
            </c:dLbl>
            <c:dLbl>
              <c:idx val="14"/>
              <c:layout>
                <c:manualLayout>
                  <c:x val="-6.3241106719367571E-2"/>
                  <c:y val="5.0552914206330776E-2"/>
                </c:manualLayout>
              </c:layout>
              <c:tx>
                <c:rich>
                  <a:bodyPr/>
                  <a:lstStyle/>
                  <a:p>
                    <a:fld id="{E45E42B0-E77A-40F2-AEEC-9A9F9DCEB5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29A-42D7-8D71-10C24D6EE96A}"/>
                </c:ext>
              </c:extLst>
            </c:dLbl>
            <c:dLbl>
              <c:idx val="15"/>
              <c:layout>
                <c:manualLayout>
                  <c:x val="-9.4861660079051405E-2"/>
                  <c:y val="5.055291420633086E-2"/>
                </c:manualLayout>
              </c:layout>
              <c:tx>
                <c:rich>
                  <a:bodyPr/>
                  <a:lstStyle/>
                  <a:p>
                    <a:fld id="{F419284F-D32F-4620-848D-890B47C3AB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E29A-42D7-8D71-10C24D6EE96A}"/>
                </c:ext>
              </c:extLst>
            </c:dLbl>
            <c:dLbl>
              <c:idx val="16"/>
              <c:layout>
                <c:manualLayout>
                  <c:x val="-1.3103171483371869E-2"/>
                  <c:y val="1.6864873191424941E-2"/>
                </c:manualLayout>
              </c:layout>
              <c:tx>
                <c:rich>
                  <a:bodyPr/>
                  <a:lstStyle/>
                  <a:p>
                    <a:fld id="{94866867-8180-4209-AA0D-8AB5700DD9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E29A-42D7-8D71-10C24D6EE96A}"/>
                </c:ext>
              </c:extLst>
            </c:dLbl>
            <c:dLbl>
              <c:idx val="17"/>
              <c:layout>
                <c:manualLayout>
                  <c:x val="-5.270092226613966E-3"/>
                  <c:y val="-7.7232726727289125E-17"/>
                </c:manualLayout>
              </c:layout>
              <c:tx>
                <c:rich>
                  <a:bodyPr/>
                  <a:lstStyle/>
                  <a:p>
                    <a:fld id="{4230F111-9486-45F5-B811-90B6A1D99C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E29A-42D7-8D71-10C24D6EE9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rgbClr val="00B050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Blog!$C$3:$C$20</c:f>
              <c:numCache>
                <c:formatCode>0.00</c:formatCode>
                <c:ptCount val="18"/>
                <c:pt idx="0">
                  <c:v>-7.8986599999999962E-2</c:v>
                </c:pt>
                <c:pt idx="1">
                  <c:v>-0.12098066000000002</c:v>
                </c:pt>
                <c:pt idx="2">
                  <c:v>-5.7459379999999949E-2</c:v>
                </c:pt>
                <c:pt idx="3">
                  <c:v>-4.2545129999999987E-2</c:v>
                </c:pt>
                <c:pt idx="4">
                  <c:v>-4.7670800000000013E-2</c:v>
                </c:pt>
                <c:pt idx="5">
                  <c:v>1.0795869999999985E-2</c:v>
                </c:pt>
                <c:pt idx="6">
                  <c:v>-3.0452339999999967E-2</c:v>
                </c:pt>
                <c:pt idx="7">
                  <c:v>-7.7022759999999968E-2</c:v>
                </c:pt>
                <c:pt idx="8">
                  <c:v>-6.232496000000004E-2</c:v>
                </c:pt>
                <c:pt idx="9">
                  <c:v>-5.1080750000000008E-2</c:v>
                </c:pt>
                <c:pt idx="10">
                  <c:v>-2.1063129999999985E-2</c:v>
                </c:pt>
                <c:pt idx="11">
                  <c:v>-6.5772219999999992E-2</c:v>
                </c:pt>
                <c:pt idx="12">
                  <c:v>-9.6734099999999934E-3</c:v>
                </c:pt>
                <c:pt idx="13">
                  <c:v>-6.4697890000000036E-2</c:v>
                </c:pt>
                <c:pt idx="14">
                  <c:v>-9.038838999999993E-2</c:v>
                </c:pt>
                <c:pt idx="15">
                  <c:v>-8.0229259999999969E-2</c:v>
                </c:pt>
                <c:pt idx="16">
                  <c:v>-4.5718930000000046E-2</c:v>
                </c:pt>
                <c:pt idx="17">
                  <c:v>-7.3254189999999997E-2</c:v>
                </c:pt>
              </c:numCache>
            </c:numRef>
          </c:xVal>
          <c:yVal>
            <c:numRef>
              <c:f>Blog!$D$3:$D$20</c:f>
              <c:numCache>
                <c:formatCode>0.00</c:formatCode>
                <c:ptCount val="18"/>
                <c:pt idx="0">
                  <c:v>-22.175750000000008</c:v>
                </c:pt>
                <c:pt idx="1">
                  <c:v>-24.6143</c:v>
                </c:pt>
                <c:pt idx="2">
                  <c:v>-5.0125299999999982</c:v>
                </c:pt>
                <c:pt idx="3">
                  <c:v>-0.44023999999998864</c:v>
                </c:pt>
                <c:pt idx="4">
                  <c:v>-3.7311399999999963</c:v>
                </c:pt>
                <c:pt idx="5">
                  <c:v>9.1371900000000039</c:v>
                </c:pt>
                <c:pt idx="6">
                  <c:v>-1.7183100000000024</c:v>
                </c:pt>
                <c:pt idx="7">
                  <c:v>-33.90605</c:v>
                </c:pt>
                <c:pt idx="8">
                  <c:v>-11.424880000000002</c:v>
                </c:pt>
                <c:pt idx="9">
                  <c:v>4.5653199999999998</c:v>
                </c:pt>
                <c:pt idx="10">
                  <c:v>-12.035150000000002</c:v>
                </c:pt>
                <c:pt idx="11">
                  <c:v>-23.440599999999996</c:v>
                </c:pt>
                <c:pt idx="12">
                  <c:v>-28.581350000000008</c:v>
                </c:pt>
                <c:pt idx="13">
                  <c:v>-4.2347699999999975</c:v>
                </c:pt>
                <c:pt idx="14">
                  <c:v>-3.0384199999999879</c:v>
                </c:pt>
                <c:pt idx="15">
                  <c:v>-10.318339999999992</c:v>
                </c:pt>
                <c:pt idx="16">
                  <c:v>-29.468060000000001</c:v>
                </c:pt>
                <c:pt idx="17">
                  <c:v>-18.91019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Blog!$B$3:$B$20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E29A-42D7-8D71-10C24D6EE96A}"/>
            </c:ext>
          </c:extLst>
        </c:ser>
        <c:ser>
          <c:idx val="1"/>
          <c:order val="1"/>
          <c:tx>
            <c:strRef>
              <c:f>Blog!$B$26</c:f>
              <c:strCache>
                <c:ptCount val="1"/>
                <c:pt idx="0">
                  <c:v>Change Gini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ysClr val="window" lastClr="FFFFFF">
                    <a:lumMod val="75000"/>
                  </a:sys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Blog!$B$27:$B$28</c:f>
              <c:numCache>
                <c:formatCode>0.00</c:formatCode>
                <c:ptCount val="2"/>
              </c:numCache>
            </c:numRef>
          </c:xVal>
          <c:yVal>
            <c:numRef>
              <c:f>Blog!$B$27:$B$28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E29A-42D7-8D71-10C24D6EE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73568"/>
        <c:axId val="270073960"/>
      </c:scatterChart>
      <c:valAx>
        <c:axId val="270073568"/>
        <c:scaling>
          <c:orientation val="minMax"/>
          <c:max val="0.1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270073960"/>
        <c:crosses val="autoZero"/>
        <c:crossBetween val="midCat"/>
      </c:valAx>
      <c:valAx>
        <c:axId val="270073960"/>
        <c:scaling>
          <c:orientation val="minMax"/>
          <c:min val="-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270073568"/>
        <c:crosses val="autoZero"/>
        <c:crossBetween val="midCat"/>
        <c:majorUnit val="10"/>
      </c:valAx>
      <c:spPr>
        <a:noFill/>
        <a:ln w="9525">
          <a:solidFill>
            <a:sysClr val="windowText" lastClr="000000"/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solidFill>
            <a:sysClr val="windowText" lastClr="000000"/>
          </a:solidFill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638894940503978"/>
          <c:y val="2.9170822397200345E-2"/>
          <c:w val="0.84320707935223516"/>
          <c:h val="0.83858063073716693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5F7-41B5-A1FB-3576A0528023}"/>
              </c:ext>
            </c:extLst>
          </c:dPt>
          <c:dPt>
            <c:idx val="1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5F7-41B5-A1FB-3576A0528023}"/>
              </c:ext>
            </c:extLst>
          </c:dPt>
          <c:dPt>
            <c:idx val="2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5F7-41B5-A1FB-3576A0528023}"/>
              </c:ext>
            </c:extLst>
          </c:dPt>
          <c:dPt>
            <c:idx val="3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5F7-41B5-A1FB-3576A0528023}"/>
              </c:ext>
            </c:extLst>
          </c:dPt>
          <c:dPt>
            <c:idx val="4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5F7-41B5-A1FB-3576A0528023}"/>
              </c:ext>
            </c:extLst>
          </c:dPt>
          <c:dPt>
            <c:idx val="5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5F7-41B5-A1FB-3576A0528023}"/>
              </c:ext>
            </c:extLst>
          </c:dPt>
          <c:dPt>
            <c:idx val="6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5F7-41B5-A1FB-3576A0528023}"/>
              </c:ext>
            </c:extLst>
          </c:dPt>
          <c:dPt>
            <c:idx val="7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5F7-41B5-A1FB-3576A0528023}"/>
              </c:ext>
            </c:extLst>
          </c:dPt>
          <c:dPt>
            <c:idx val="8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5F7-41B5-A1FB-3576A0528023}"/>
              </c:ext>
            </c:extLst>
          </c:dPt>
          <c:dPt>
            <c:idx val="9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5F7-41B5-A1FB-3576A0528023}"/>
              </c:ext>
            </c:extLst>
          </c:dPt>
          <c:dPt>
            <c:idx val="10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5F7-41B5-A1FB-3576A0528023}"/>
              </c:ext>
            </c:extLst>
          </c:dPt>
          <c:dPt>
            <c:idx val="11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5F7-41B5-A1FB-3576A0528023}"/>
              </c:ext>
            </c:extLst>
          </c:dPt>
          <c:dPt>
            <c:idx val="12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5F7-41B5-A1FB-3576A0528023}"/>
              </c:ext>
            </c:extLst>
          </c:dPt>
          <c:dPt>
            <c:idx val="13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D5F7-41B5-A1FB-3576A0528023}"/>
              </c:ext>
            </c:extLst>
          </c:dPt>
          <c:dPt>
            <c:idx val="14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D5F7-41B5-A1FB-3576A0528023}"/>
              </c:ext>
            </c:extLst>
          </c:dPt>
          <c:dPt>
            <c:idx val="15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D5F7-41B5-A1FB-3576A0528023}"/>
              </c:ext>
            </c:extLst>
          </c:dPt>
          <c:dPt>
            <c:idx val="16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D5F7-41B5-A1FB-3576A0528023}"/>
              </c:ext>
            </c:extLst>
          </c:dPt>
          <c:dPt>
            <c:idx val="17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D5F7-41B5-A1FB-3576A0528023}"/>
              </c:ext>
            </c:extLst>
          </c:dPt>
          <c:dPt>
            <c:idx val="18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D5F7-41B5-A1FB-3576A0528023}"/>
              </c:ext>
            </c:extLst>
          </c:dPt>
          <c:dPt>
            <c:idx val="19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D5F7-41B5-A1FB-3576A0528023}"/>
              </c:ext>
            </c:extLst>
          </c:dPt>
          <c:dPt>
            <c:idx val="20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D5F7-41B5-A1FB-3576A0528023}"/>
              </c:ext>
            </c:extLst>
          </c:dPt>
          <c:dPt>
            <c:idx val="21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D5F7-41B5-A1FB-3576A0528023}"/>
              </c:ext>
            </c:extLst>
          </c:dPt>
          <c:dPt>
            <c:idx val="22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D5F7-41B5-A1FB-3576A0528023}"/>
              </c:ext>
            </c:extLst>
          </c:dPt>
          <c:dPt>
            <c:idx val="23"/>
            <c:marker>
              <c:symbol val="circle"/>
              <c:size val="8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5F7-41B5-A1FB-3576A0528023}"/>
              </c:ext>
            </c:extLst>
          </c:dPt>
          <c:dLbls>
            <c:dLbl>
              <c:idx val="0"/>
              <c:layout>
                <c:manualLayout>
                  <c:x val="-1.3175230566534914E-2"/>
                  <c:y val="-1.2638228551582715E-2"/>
                </c:manualLayout>
              </c:layout>
              <c:tx>
                <c:rich>
                  <a:bodyPr/>
                  <a:lstStyle/>
                  <a:p>
                    <a:fld id="{2B7F15AE-9955-4DAA-AF3E-ADD5E1D5E8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5F7-41B5-A1FB-3576A052802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E5DFA7-573E-4846-8180-80543587B5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5F7-41B5-A1FB-3576A0528023}"/>
                </c:ext>
              </c:extLst>
            </c:dLbl>
            <c:dLbl>
              <c:idx val="2"/>
              <c:layout>
                <c:manualLayout>
                  <c:x val="-4.4795783926218712E-2"/>
                  <c:y val="5.0552914206330818E-2"/>
                </c:manualLayout>
              </c:layout>
              <c:tx>
                <c:rich>
                  <a:bodyPr/>
                  <a:lstStyle/>
                  <a:p>
                    <a:fld id="{0C31D49E-FDC1-4670-802D-DDDBAECD17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5F7-41B5-A1FB-3576A0528023}"/>
                </c:ext>
              </c:extLst>
            </c:dLbl>
            <c:dLbl>
              <c:idx val="3"/>
              <c:layout>
                <c:manualLayout>
                  <c:x val="2.3715415019762844E-2"/>
                  <c:y val="-1.6850971402110285E-2"/>
                </c:manualLayout>
              </c:layout>
              <c:tx>
                <c:rich>
                  <a:bodyPr/>
                  <a:lstStyle/>
                  <a:p>
                    <a:fld id="{9844E98B-C3F3-4C42-B1BB-7159E252EC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5F7-41B5-A1FB-3576A0528023}"/>
                </c:ext>
              </c:extLst>
            </c:dLbl>
            <c:dLbl>
              <c:idx val="4"/>
              <c:layout>
                <c:manualLayout>
                  <c:x val="-0.14229895753408911"/>
                  <c:y val="8.4009159320418691E-3"/>
                </c:manualLayout>
              </c:layout>
              <c:tx>
                <c:rich>
                  <a:bodyPr/>
                  <a:lstStyle/>
                  <a:p>
                    <a:fld id="{91001135-1024-4053-82AF-00AE8E9FB1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5F7-41B5-A1FB-3576A0528023}"/>
                </c:ext>
              </c:extLst>
            </c:dLbl>
            <c:dLbl>
              <c:idx val="5"/>
              <c:layout>
                <c:manualLayout>
                  <c:x val="-9.4861660079051335E-2"/>
                  <c:y val="-6.7403885608441141E-2"/>
                </c:manualLayout>
              </c:layout>
              <c:tx>
                <c:rich>
                  <a:bodyPr/>
                  <a:lstStyle/>
                  <a:p>
                    <a:fld id="{EE716752-477C-40F3-AAF1-1D76CE32BE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5F7-41B5-A1FB-3576A0528023}"/>
                </c:ext>
              </c:extLst>
            </c:dLbl>
            <c:dLbl>
              <c:idx val="6"/>
              <c:layout>
                <c:manualLayout>
                  <c:x val="-0.16600790513833996"/>
                  <c:y val="5.8978399907386E-2"/>
                </c:manualLayout>
              </c:layout>
              <c:tx>
                <c:rich>
                  <a:bodyPr/>
                  <a:lstStyle/>
                  <a:p>
                    <a:fld id="{482A887A-CFE4-4FDA-AA10-AC893008F9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5F7-41B5-A1FB-3576A0528023}"/>
                </c:ext>
              </c:extLst>
            </c:dLbl>
            <c:dLbl>
              <c:idx val="7"/>
              <c:layout>
                <c:manualLayout>
                  <c:x val="-2.6350461133070797E-3"/>
                  <c:y val="1.2638228551582637E-2"/>
                </c:manualLayout>
              </c:layout>
              <c:tx>
                <c:rich>
                  <a:bodyPr/>
                  <a:lstStyle/>
                  <a:p>
                    <a:fld id="{B7ACDBBD-D42A-4B09-9D88-421021C634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5F7-41B5-A1FB-3576A0528023}"/>
                </c:ext>
              </c:extLst>
            </c:dLbl>
            <c:dLbl>
              <c:idx val="8"/>
              <c:layout>
                <c:manualLayout>
                  <c:x val="-6.8511198945981649E-2"/>
                  <c:y val="-5.055291420633086E-2"/>
                </c:manualLayout>
              </c:layout>
              <c:tx>
                <c:rich>
                  <a:bodyPr/>
                  <a:lstStyle/>
                  <a:p>
                    <a:fld id="{2BFBC148-AD3B-446B-BDE4-2BBD4AF62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5F7-41B5-A1FB-3576A0528023}"/>
                </c:ext>
              </c:extLst>
            </c:dLbl>
            <c:dLbl>
              <c:idx val="9"/>
              <c:layout>
                <c:manualLayout>
                  <c:x val="-5.7932451969424759E-2"/>
                  <c:y val="-7.586636002720025E-2"/>
                </c:manualLayout>
              </c:layout>
              <c:tx>
                <c:rich>
                  <a:bodyPr/>
                  <a:lstStyle/>
                  <a:p>
                    <a:fld id="{5FAA69BB-BCF3-4FA3-BC8E-A8798F030D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5F7-41B5-A1FB-3576A0528023}"/>
                </c:ext>
              </c:extLst>
            </c:dLbl>
            <c:dLbl>
              <c:idx val="10"/>
              <c:layout>
                <c:manualLayout>
                  <c:x val="-2.6350461133069828E-2"/>
                  <c:y val="-5.8978399907386E-2"/>
                </c:manualLayout>
              </c:layout>
              <c:tx>
                <c:rich>
                  <a:bodyPr/>
                  <a:lstStyle/>
                  <a:p>
                    <a:fld id="{6AF6CBD3-1B82-44A1-B470-3C56D93B29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5F7-41B5-A1FB-3576A0528023}"/>
                </c:ext>
              </c:extLst>
            </c:dLbl>
            <c:dLbl>
              <c:idx val="11"/>
              <c:layout>
                <c:manualLayout>
                  <c:x val="5.1383399209486078E-2"/>
                  <c:y val="6.7404051464458881E-2"/>
                </c:manualLayout>
              </c:layout>
              <c:tx>
                <c:rich>
                  <a:bodyPr/>
                  <a:lstStyle/>
                  <a:p>
                    <a:fld id="{DA3C4204-577E-4016-858D-1F1B956114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067204050086625"/>
                      <c:h val="6.1822167187509838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5F7-41B5-A1FB-3576A0528023}"/>
                </c:ext>
              </c:extLst>
            </c:dLbl>
            <c:dLbl>
              <c:idx val="12"/>
              <c:layout>
                <c:manualLayout>
                  <c:x val="-2.635046113306983E-3"/>
                  <c:y val="-2.527645710316543E-2"/>
                </c:manualLayout>
              </c:layout>
              <c:tx>
                <c:rich>
                  <a:bodyPr/>
                  <a:lstStyle/>
                  <a:p>
                    <a:fld id="{AE4A8DA0-6C3D-4B5C-9947-93EE7140E0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5F7-41B5-A1FB-3576A0528023}"/>
                </c:ext>
              </c:extLst>
            </c:dLbl>
            <c:dLbl>
              <c:idx val="13"/>
              <c:layout>
                <c:manualLayout>
                  <c:x val="-0.12911725955204217"/>
                  <c:y val="3.7914685654748065E-2"/>
                </c:manualLayout>
              </c:layout>
              <c:tx>
                <c:rich>
                  <a:bodyPr/>
                  <a:lstStyle/>
                  <a:p>
                    <a:fld id="{ED3A90C9-8C04-43DE-9198-6792021B3A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5F7-41B5-A1FB-3576A0528023}"/>
                </c:ext>
              </c:extLst>
            </c:dLbl>
            <c:dLbl>
              <c:idx val="14"/>
              <c:layout>
                <c:manualLayout>
                  <c:x val="-3.4255599472990873E-2"/>
                  <c:y val="-4.6340171355803282E-2"/>
                </c:manualLayout>
              </c:layout>
              <c:tx>
                <c:rich>
                  <a:bodyPr/>
                  <a:lstStyle/>
                  <a:p>
                    <a:fld id="{15E14199-16E1-4EC5-8274-E13F8C9E03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5F7-41B5-A1FB-3576A0528023}"/>
                </c:ext>
              </c:extLst>
            </c:dLbl>
            <c:dLbl>
              <c:idx val="15"/>
              <c:layout>
                <c:manualLayout>
                  <c:x val="7.64163372859024E-2"/>
                  <c:y val="-4.2127428505274941E-3"/>
                </c:manualLayout>
              </c:layout>
              <c:tx>
                <c:rich>
                  <a:bodyPr/>
                  <a:lstStyle/>
                  <a:p>
                    <a:fld id="{31182F5E-7F7A-458F-A57B-39396F93BB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5F7-41B5-A1FB-3576A0528023}"/>
                </c:ext>
              </c:extLst>
            </c:dLbl>
            <c:dLbl>
              <c:idx val="16"/>
              <c:layout>
                <c:manualLayout>
                  <c:x val="-0.15497370140985345"/>
                  <c:y val="-1.2067683850566383E-3"/>
                </c:manualLayout>
              </c:layout>
              <c:tx>
                <c:rich>
                  <a:bodyPr/>
                  <a:lstStyle/>
                  <a:p>
                    <a:fld id="{284CB506-6DA3-418D-AC6E-3C152D6943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5F7-41B5-A1FB-3576A052802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9AA6D7C-E0AF-4D47-84C2-1EFC20D804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5F7-41B5-A1FB-3576A05280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'Fig1'!$C$3:$C$20</c:f>
              <c:numCache>
                <c:formatCode>0.00</c:formatCode>
                <c:ptCount val="18"/>
                <c:pt idx="0">
                  <c:v>0.50182499999999997</c:v>
                </c:pt>
                <c:pt idx="1">
                  <c:v>0.60158400000000001</c:v>
                </c:pt>
                <c:pt idx="2">
                  <c:v>0.586198</c:v>
                </c:pt>
                <c:pt idx="3">
                  <c:v>0.514899</c:v>
                </c:pt>
                <c:pt idx="4">
                  <c:v>0.58254899999999998</c:v>
                </c:pt>
                <c:pt idx="5">
                  <c:v>0.48096100000000003</c:v>
                </c:pt>
                <c:pt idx="6">
                  <c:v>0.50116799999999995</c:v>
                </c:pt>
                <c:pt idx="7">
                  <c:v>0.54991299999999999</c:v>
                </c:pt>
                <c:pt idx="8">
                  <c:v>0.54889500000000002</c:v>
                </c:pt>
                <c:pt idx="9">
                  <c:v>0.58779700000000001</c:v>
                </c:pt>
                <c:pt idx="10">
                  <c:v>0.51246700000000001</c:v>
                </c:pt>
                <c:pt idx="11">
                  <c:v>0.531416</c:v>
                </c:pt>
                <c:pt idx="12">
                  <c:v>0.52632199999999996</c:v>
                </c:pt>
                <c:pt idx="13">
                  <c:v>0.51196600000000003</c:v>
                </c:pt>
                <c:pt idx="14">
                  <c:v>0.57335499999999995</c:v>
                </c:pt>
                <c:pt idx="15">
                  <c:v>0.51535299999999995</c:v>
                </c:pt>
                <c:pt idx="16">
                  <c:v>0.46655200000000002</c:v>
                </c:pt>
                <c:pt idx="17">
                  <c:v>0.481547</c:v>
                </c:pt>
              </c:numCache>
            </c:numRef>
          </c:xVal>
          <c:yVal>
            <c:numRef>
              <c:f>'Fig1'!$D$3:$D$20</c:f>
              <c:numCache>
                <c:formatCode>0.00</c:formatCode>
                <c:ptCount val="18"/>
                <c:pt idx="0">
                  <c:v>0.4228384</c:v>
                </c:pt>
                <c:pt idx="1">
                  <c:v>0.48060333999999999</c:v>
                </c:pt>
                <c:pt idx="2">
                  <c:v>0.52873862000000005</c:v>
                </c:pt>
                <c:pt idx="3">
                  <c:v>0.47235387000000001</c:v>
                </c:pt>
                <c:pt idx="4">
                  <c:v>0.53487819999999997</c:v>
                </c:pt>
                <c:pt idx="5">
                  <c:v>0.49175687000000001</c:v>
                </c:pt>
                <c:pt idx="6">
                  <c:v>0.47071565999999998</c:v>
                </c:pt>
                <c:pt idx="7">
                  <c:v>0.47289024000000002</c:v>
                </c:pt>
                <c:pt idx="8">
                  <c:v>0.48657003999999998</c:v>
                </c:pt>
                <c:pt idx="9">
                  <c:v>0.53671625000000001</c:v>
                </c:pt>
                <c:pt idx="10">
                  <c:v>0.49140387000000002</c:v>
                </c:pt>
                <c:pt idx="11">
                  <c:v>0.46564378000000001</c:v>
                </c:pt>
                <c:pt idx="12">
                  <c:v>0.51664858999999996</c:v>
                </c:pt>
                <c:pt idx="13">
                  <c:v>0.44726811</c:v>
                </c:pt>
                <c:pt idx="14">
                  <c:v>0.48296661000000002</c:v>
                </c:pt>
                <c:pt idx="15">
                  <c:v>0.43512373999999998</c:v>
                </c:pt>
                <c:pt idx="16">
                  <c:v>0.42083306999999998</c:v>
                </c:pt>
                <c:pt idx="17">
                  <c:v>0.40829281000000001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'Fig1'!$B$3:$B$20</c15:f>
                <c15:dlblRangeCache>
                  <c:ptCount val="18"/>
                  <c:pt idx="0">
                    <c:v>Argentina</c:v>
                  </c:pt>
                  <c:pt idx="1">
                    <c:v>Bolivia</c:v>
                  </c:pt>
                  <c:pt idx="2">
                    <c:v>Brazil</c:v>
                  </c:pt>
                  <c:pt idx="3">
                    <c:v>Chile</c:v>
                  </c:pt>
                  <c:pt idx="4">
                    <c:v>Colombia</c:v>
                  </c:pt>
                  <c:pt idx="5">
                    <c:v>Costa Rica</c:v>
                  </c:pt>
                  <c:pt idx="6">
                    <c:v>Dominican Republic</c:v>
                  </c:pt>
                  <c:pt idx="7">
                    <c:v>Ecuador</c:v>
                  </c:pt>
                  <c:pt idx="8">
                    <c:v>Guatemala</c:v>
                  </c:pt>
                  <c:pt idx="9">
                    <c:v>Honduras</c:v>
                  </c:pt>
                  <c:pt idx="10">
                    <c:v>Mexico</c:v>
                  </c:pt>
                  <c:pt idx="11">
                    <c:v>Nicaragua</c:v>
                  </c:pt>
                  <c:pt idx="12">
                    <c:v>Panama</c:v>
                  </c:pt>
                  <c:pt idx="13">
                    <c:v>Peru</c:v>
                  </c:pt>
                  <c:pt idx="14">
                    <c:v>Paraguay</c:v>
                  </c:pt>
                  <c:pt idx="15">
                    <c:v>El Salvador</c:v>
                  </c:pt>
                  <c:pt idx="16">
                    <c:v>Uruguay</c:v>
                  </c:pt>
                  <c:pt idx="17">
                    <c:v>Venezuela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D5F7-41B5-A1FB-3576A0528023}"/>
            </c:ext>
          </c:extLst>
        </c:ser>
        <c:ser>
          <c:idx val="1"/>
          <c:order val="1"/>
          <c:tx>
            <c:strRef>
              <c:f>'Fig1'!$B$22</c:f>
              <c:strCache>
                <c:ptCount val="1"/>
                <c:pt idx="0">
                  <c:v>45 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flat" cmpd="sng" algn="ctr">
                <a:solidFill>
                  <a:srgbClr val="92D05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'Fig1'!$B$23:$B$24</c:f>
              <c:numCache>
                <c:formatCode>0.00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xVal>
          <c:yVal>
            <c:numRef>
              <c:f>'Fig1'!$B$23:$B$24</c:f>
              <c:numCache>
                <c:formatCode>0.00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5F7-41B5-A1FB-3576A0528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8042912"/>
        <c:axId val="268044088"/>
      </c:scatterChart>
      <c:valAx>
        <c:axId val="268042912"/>
        <c:scaling>
          <c:orientation val="minMax"/>
          <c:max val="0.60000000000000009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 circa 2002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68044088"/>
        <c:crosses val="autoZero"/>
        <c:crossBetween val="midCat"/>
        <c:majorUnit val="5.000000000000001E-2"/>
      </c:valAx>
      <c:valAx>
        <c:axId val="268044088"/>
        <c:scaling>
          <c:orientation val="minMax"/>
          <c:max val="0.6000000000000000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 circa 2013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68042912"/>
        <c:crosses val="autoZero"/>
        <c:crossBetween val="midCat"/>
        <c:majorUnit val="5.000000000000001E-2"/>
      </c:valAx>
      <c:spPr>
        <a:noFill/>
        <a:ln w="9525">
          <a:solidFill>
            <a:sysClr val="windowText" lastClr="000000"/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1378004626892"/>
          <c:y val="2.9170822397200345E-2"/>
          <c:w val="0.84057203323892804"/>
          <c:h val="0.83858063073716693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triangle"/>
            <c:size val="9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D72F-4268-BD95-7C0BAB575541}"/>
              </c:ext>
            </c:extLst>
          </c:dPt>
          <c:dPt>
            <c:idx val="1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72F-4268-BD95-7C0BAB575541}"/>
              </c:ext>
            </c:extLst>
          </c:dPt>
          <c:dPt>
            <c:idx val="2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72F-4268-BD95-7C0BAB575541}"/>
              </c:ext>
            </c:extLst>
          </c:dPt>
          <c:dPt>
            <c:idx val="3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72F-4268-BD95-7C0BAB575541}"/>
              </c:ext>
            </c:extLst>
          </c:dPt>
          <c:dPt>
            <c:idx val="4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D72F-4268-BD95-7C0BAB575541}"/>
              </c:ext>
            </c:extLst>
          </c:dPt>
          <c:dPt>
            <c:idx val="5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D72F-4268-BD95-7C0BAB575541}"/>
              </c:ext>
            </c:extLst>
          </c:dPt>
          <c:dPt>
            <c:idx val="6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D72F-4268-BD95-7C0BAB575541}"/>
              </c:ext>
            </c:extLst>
          </c:dPt>
          <c:dPt>
            <c:idx val="7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D72F-4268-BD95-7C0BAB575541}"/>
              </c:ext>
            </c:extLst>
          </c:dPt>
          <c:dPt>
            <c:idx val="8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D72F-4268-BD95-7C0BAB575541}"/>
              </c:ext>
            </c:extLst>
          </c:dPt>
          <c:dPt>
            <c:idx val="9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D72F-4268-BD95-7C0BAB575541}"/>
              </c:ext>
            </c:extLst>
          </c:dPt>
          <c:dPt>
            <c:idx val="10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D72F-4268-BD95-7C0BAB575541}"/>
              </c:ext>
            </c:extLst>
          </c:dPt>
          <c:dPt>
            <c:idx val="11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D72F-4268-BD95-7C0BAB575541}"/>
              </c:ext>
            </c:extLst>
          </c:dPt>
          <c:dPt>
            <c:idx val="12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D72F-4268-BD95-7C0BAB575541}"/>
              </c:ext>
            </c:extLst>
          </c:dPt>
          <c:dPt>
            <c:idx val="13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D72F-4268-BD95-7C0BAB575541}"/>
              </c:ext>
            </c:extLst>
          </c:dPt>
          <c:dPt>
            <c:idx val="14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D72F-4268-BD95-7C0BAB575541}"/>
              </c:ext>
            </c:extLst>
          </c:dPt>
          <c:dPt>
            <c:idx val="15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D72F-4268-BD95-7C0BAB575541}"/>
              </c:ext>
            </c:extLst>
          </c:dPt>
          <c:dPt>
            <c:idx val="16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D72F-4268-BD95-7C0BAB575541}"/>
              </c:ext>
            </c:extLst>
          </c:dPt>
          <c:dPt>
            <c:idx val="17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D72F-4268-BD95-7C0BAB575541}"/>
              </c:ext>
            </c:extLst>
          </c:dPt>
          <c:dPt>
            <c:idx val="18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D72F-4268-BD95-7C0BAB575541}"/>
              </c:ext>
            </c:extLst>
          </c:dPt>
          <c:dPt>
            <c:idx val="19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D72F-4268-BD95-7C0BAB575541}"/>
              </c:ext>
            </c:extLst>
          </c:dPt>
          <c:dPt>
            <c:idx val="20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D72F-4268-BD95-7C0BAB575541}"/>
              </c:ext>
            </c:extLst>
          </c:dPt>
          <c:dPt>
            <c:idx val="21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D72F-4268-BD95-7C0BAB575541}"/>
              </c:ext>
            </c:extLst>
          </c:dPt>
          <c:dPt>
            <c:idx val="22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D72F-4268-BD95-7C0BAB575541}"/>
              </c:ext>
            </c:extLst>
          </c:dPt>
          <c:dPt>
            <c:idx val="23"/>
            <c:marker>
              <c:symbol val="triangle"/>
              <c:size val="9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D72F-4268-BD95-7C0BAB575541}"/>
              </c:ext>
            </c:extLst>
          </c:dPt>
          <c:dLbls>
            <c:dLbl>
              <c:idx val="0"/>
              <c:layout>
                <c:manualLayout>
                  <c:x val="-5.2694030854553264E-2"/>
                  <c:y val="9.6915212678914869E-2"/>
                </c:manualLayout>
              </c:layout>
              <c:tx>
                <c:rich>
                  <a:bodyPr/>
                  <a:lstStyle/>
                  <a:p>
                    <a:fld id="{7EE17A73-26E9-4BEC-9E29-1F56668608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72F-4268-BD95-7C0BAB575541}"/>
                </c:ext>
              </c:extLst>
            </c:dLbl>
            <c:dLbl>
              <c:idx val="1"/>
              <c:layout>
                <c:manualLayout>
                  <c:x val="-8.959156785243752E-2"/>
                  <c:y val="7.5829371309496282E-2"/>
                </c:manualLayout>
              </c:layout>
              <c:tx>
                <c:rich>
                  <a:bodyPr/>
                  <a:lstStyle/>
                  <a:p>
                    <a:fld id="{E797D7F8-A00B-40DF-8AA7-DFD09DECBB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72F-4268-BD95-7C0BAB575541}"/>
                </c:ext>
              </c:extLst>
            </c:dLbl>
            <c:dLbl>
              <c:idx val="2"/>
              <c:layout>
                <c:manualLayout>
                  <c:x val="-0.11330698287220035"/>
                  <c:y val="5.476565705685843E-2"/>
                </c:manualLayout>
              </c:layout>
              <c:tx>
                <c:rich>
                  <a:bodyPr/>
                  <a:lstStyle/>
                  <a:p>
                    <a:fld id="{DA13A164-5C28-4B4B-BF8C-00D58A14DB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72F-4268-BD95-7C0BAB575541}"/>
                </c:ext>
              </c:extLst>
            </c:dLbl>
            <c:dLbl>
              <c:idx val="3"/>
              <c:layout>
                <c:manualLayout>
                  <c:x val="-0.1080368906455863"/>
                  <c:y val="-7.5829371309496282E-2"/>
                </c:manualLayout>
              </c:layout>
              <c:tx>
                <c:rich>
                  <a:bodyPr/>
                  <a:lstStyle/>
                  <a:p>
                    <a:fld id="{E2D6DD31-EAB4-4EB7-94CD-C0A8046DC4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72F-4268-BD95-7C0BAB575541}"/>
                </c:ext>
              </c:extLst>
            </c:dLbl>
            <c:dLbl>
              <c:idx val="4"/>
              <c:layout>
                <c:manualLayout>
                  <c:x val="-9.6617241357305873E-17"/>
                  <c:y val="-2.1063714252637838E-2"/>
                </c:manualLayout>
              </c:layout>
              <c:tx>
                <c:rich>
                  <a:bodyPr/>
                  <a:lstStyle/>
                  <a:p>
                    <a:fld id="{3286002B-6B12-4F42-BB6C-B2F53044E1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72F-4268-BD95-7C0BAB575541}"/>
                </c:ext>
              </c:extLst>
            </c:dLbl>
            <c:dLbl>
              <c:idx val="5"/>
              <c:layout>
                <c:manualLayout>
                  <c:x val="-0.19235836627140976"/>
                  <c:y val="-1.2638228551582715E-2"/>
                </c:manualLayout>
              </c:layout>
              <c:tx>
                <c:rich>
                  <a:bodyPr/>
                  <a:lstStyle/>
                  <a:p>
                    <a:fld id="{EB03D042-112D-46D7-8900-775070F746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72F-4268-BD95-7C0BAB575541}"/>
                </c:ext>
              </c:extLst>
            </c:dLbl>
            <c:dLbl>
              <c:idx val="6"/>
              <c:layout>
                <c:manualLayout>
                  <c:x val="-0.20553359683794467"/>
                  <c:y val="-1.2638228551582715E-2"/>
                </c:manualLayout>
              </c:layout>
              <c:tx>
                <c:rich>
                  <a:bodyPr/>
                  <a:lstStyle/>
                  <a:p>
                    <a:fld id="{A225837E-4647-4C91-A55E-F915D98753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72F-4268-BD95-7C0BAB575541}"/>
                </c:ext>
              </c:extLst>
            </c:dLbl>
            <c:dLbl>
              <c:idx val="7"/>
              <c:layout>
                <c:manualLayout>
                  <c:x val="-0.14492753623188415"/>
                  <c:y val="4.2127428505274169E-3"/>
                </c:manualLayout>
              </c:layout>
              <c:tx>
                <c:rich>
                  <a:bodyPr/>
                  <a:lstStyle/>
                  <a:p>
                    <a:fld id="{AA2BB675-8476-4A75-86C8-02C05EB7A7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72F-4268-BD95-7C0BAB575541}"/>
                </c:ext>
              </c:extLst>
            </c:dLbl>
            <c:dLbl>
              <c:idx val="8"/>
              <c:layout>
                <c:manualLayout>
                  <c:x val="-8.9591567852437326E-2"/>
                  <c:y val="6.7403885608441141E-2"/>
                </c:manualLayout>
              </c:layout>
              <c:tx>
                <c:rich>
                  <a:bodyPr/>
                  <a:lstStyle/>
                  <a:p>
                    <a:fld id="{DD0F1CFD-1E5C-44BB-806F-3D91DF603E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72F-4268-BD95-7C0BAB575541}"/>
                </c:ext>
              </c:extLst>
            </c:dLbl>
            <c:dLbl>
              <c:idx val="9"/>
              <c:layout>
                <c:manualLayout>
                  <c:x val="-0.15810276679841898"/>
                  <c:y val="-8.8467599861078994E-2"/>
                </c:manualLayout>
              </c:layout>
              <c:tx>
                <c:rich>
                  <a:bodyPr/>
                  <a:lstStyle/>
                  <a:p>
                    <a:fld id="{FD86D982-73D3-47AD-9C48-412D123B14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D72F-4268-BD95-7C0BAB575541}"/>
                </c:ext>
              </c:extLst>
            </c:dLbl>
            <c:dLbl>
              <c:idx val="10"/>
              <c:layout>
                <c:manualLayout>
                  <c:x val="-1.5810276679841993E-2"/>
                  <c:y val="-2.527645710316543E-2"/>
                </c:manualLayout>
              </c:layout>
              <c:tx>
                <c:rich>
                  <a:bodyPr/>
                  <a:lstStyle/>
                  <a:p>
                    <a:fld id="{2C06E600-F62F-4500-8A8A-29E41DC141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D72F-4268-BD95-7C0BAB575541}"/>
                </c:ext>
              </c:extLst>
            </c:dLbl>
            <c:dLbl>
              <c:idx val="11"/>
              <c:layout>
                <c:manualLayout>
                  <c:x val="-0.1840723457531015"/>
                  <c:y val="4.6326932068133604E-2"/>
                </c:manualLayout>
              </c:layout>
              <c:tx>
                <c:rich>
                  <a:bodyPr/>
                  <a:lstStyle/>
                  <a:p>
                    <a:fld id="{30735554-4260-490E-8DEB-1DC113CDD0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D72F-4268-BD95-7C0BAB575541}"/>
                </c:ext>
              </c:extLst>
            </c:dLbl>
            <c:dLbl>
              <c:idx val="12"/>
              <c:layout>
                <c:manualLayout>
                  <c:x val="-9.7503864388492928E-2"/>
                  <c:y val="0.15380266951338029"/>
                </c:manualLayout>
              </c:layout>
              <c:tx>
                <c:rich>
                  <a:bodyPr/>
                  <a:lstStyle/>
                  <a:p>
                    <a:fld id="{F13C308F-AA37-43BD-8767-5E346CBD5F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3603850902036455"/>
                      <c:h val="7.445588360305603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D72F-4268-BD95-7C0BAB575541}"/>
                </c:ext>
              </c:extLst>
            </c:dLbl>
            <c:dLbl>
              <c:idx val="13"/>
              <c:layout>
                <c:manualLayout>
                  <c:x val="-0.28455022667621094"/>
                  <c:y val="-9.2760289929762291E-2"/>
                </c:manualLayout>
              </c:layout>
              <c:tx>
                <c:rich>
                  <a:bodyPr/>
                  <a:lstStyle/>
                  <a:p>
                    <a:fld id="{C7423E0D-F1AF-4C84-8E8E-EC6BE62919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859149523305631"/>
                      <c:h val="7.875608337140974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72F-4268-BD95-7C0BAB575541}"/>
                </c:ext>
              </c:extLst>
            </c:dLbl>
            <c:dLbl>
              <c:idx val="14"/>
              <c:layout>
                <c:manualLayout>
                  <c:x val="-7.6416337285902497E-2"/>
                  <c:y val="-9.0008733977894051E-2"/>
                </c:manualLayout>
              </c:layout>
              <c:tx>
                <c:rich>
                  <a:bodyPr/>
                  <a:lstStyle/>
                  <a:p>
                    <a:fld id="{3F1E8003-5A04-4C84-86D1-DD4B4B1F52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D72F-4268-BD95-7C0BAB575541}"/>
                </c:ext>
              </c:extLst>
            </c:dLbl>
            <c:dLbl>
              <c:idx val="15"/>
              <c:layout>
                <c:manualLayout>
                  <c:x val="-8.695652173913053E-2"/>
                  <c:y val="7.1616628458968712E-2"/>
                </c:manualLayout>
              </c:layout>
              <c:tx>
                <c:rich>
                  <a:bodyPr/>
                  <a:lstStyle/>
                  <a:p>
                    <a:fld id="{CE4217E2-E79F-448A-8DA0-7678D2AFB8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D72F-4268-BD95-7C0BAB575541}"/>
                </c:ext>
              </c:extLst>
            </c:dLbl>
            <c:dLbl>
              <c:idx val="16"/>
              <c:layout>
                <c:manualLayout>
                  <c:x val="-3.9031672424346263E-2"/>
                  <c:y val="6.1984374372856935E-2"/>
                </c:manualLayout>
              </c:layout>
              <c:tx>
                <c:rich>
                  <a:bodyPr/>
                  <a:lstStyle/>
                  <a:p>
                    <a:fld id="{D2754888-487C-419D-82E1-8A22F22EA5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72F-4268-BD95-7C0BAB575541}"/>
                </c:ext>
              </c:extLst>
            </c:dLbl>
            <c:dLbl>
              <c:idx val="17"/>
              <c:layout>
                <c:manualLayout>
                  <c:x val="-0.17380922325576584"/>
                  <c:y val="-2.5347602248456579E-2"/>
                </c:manualLayout>
              </c:layout>
              <c:tx>
                <c:rich>
                  <a:bodyPr/>
                  <a:lstStyle/>
                  <a:p>
                    <a:fld id="{92974D95-986A-4A35-A23D-CEF11AAD13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72F-4268-BD95-7C0BAB5755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'Fig2'!$C$3:$C$20</c:f>
              <c:numCache>
                <c:formatCode>0.00</c:formatCode>
                <c:ptCount val="18"/>
                <c:pt idx="0">
                  <c:v>97.215190000000007</c:v>
                </c:pt>
                <c:pt idx="1">
                  <c:v>88.047139999999999</c:v>
                </c:pt>
                <c:pt idx="2">
                  <c:v>85.964910000000003</c:v>
                </c:pt>
                <c:pt idx="3">
                  <c:v>89.948449999999994</c:v>
                </c:pt>
                <c:pt idx="4">
                  <c:v>89.115039999999993</c:v>
                </c:pt>
                <c:pt idx="5">
                  <c:v>75</c:v>
                </c:pt>
                <c:pt idx="6" formatCode="_(* #,##0.00_);_(* \(#,##0.00\);_(* &quot;-&quot;??_);_(@_)">
                  <c:v>74.32978</c:v>
                </c:pt>
                <c:pt idx="7">
                  <c:v>87.584460000000007</c:v>
                </c:pt>
                <c:pt idx="8">
                  <c:v>87.678759999999997</c:v>
                </c:pt>
                <c:pt idx="9">
                  <c:v>82.486490000000003</c:v>
                </c:pt>
                <c:pt idx="10">
                  <c:v>92</c:v>
                </c:pt>
                <c:pt idx="11">
                  <c:v>78.390299999999996</c:v>
                </c:pt>
                <c:pt idx="12">
                  <c:v>91.794880000000006</c:v>
                </c:pt>
                <c:pt idx="13">
                  <c:v>86.240139999999997</c:v>
                </c:pt>
                <c:pt idx="14">
                  <c:v>93.254639999999995</c:v>
                </c:pt>
                <c:pt idx="15">
                  <c:v>80.231219999999993</c:v>
                </c:pt>
                <c:pt idx="16">
                  <c:v>92.912700000000001</c:v>
                </c:pt>
                <c:pt idx="17">
                  <c:v>74.532499999999999</c:v>
                </c:pt>
              </c:numCache>
            </c:numRef>
          </c:xVal>
          <c:yVal>
            <c:numRef>
              <c:f>'Fig2'!$D$3:$D$20</c:f>
              <c:numCache>
                <c:formatCode>0.00</c:formatCode>
                <c:ptCount val="18"/>
                <c:pt idx="0">
                  <c:v>75.039439999999999</c:v>
                </c:pt>
                <c:pt idx="1">
                  <c:v>63.432839999999999</c:v>
                </c:pt>
                <c:pt idx="2">
                  <c:v>80.952380000000005</c:v>
                </c:pt>
                <c:pt idx="3">
                  <c:v>89.508210000000005</c:v>
                </c:pt>
                <c:pt idx="4">
                  <c:v>85.383899999999997</c:v>
                </c:pt>
                <c:pt idx="5">
                  <c:v>84.137190000000004</c:v>
                </c:pt>
                <c:pt idx="6">
                  <c:v>72.611469999999997</c:v>
                </c:pt>
                <c:pt idx="7">
                  <c:v>43.67841</c:v>
                </c:pt>
                <c:pt idx="8">
                  <c:v>76.253879999999995</c:v>
                </c:pt>
                <c:pt idx="9">
                  <c:v>87.051810000000003</c:v>
                </c:pt>
                <c:pt idx="10">
                  <c:v>79.964849999999998</c:v>
                </c:pt>
                <c:pt idx="11">
                  <c:v>54.9497</c:v>
                </c:pt>
                <c:pt idx="12">
                  <c:v>63.213529999999999</c:v>
                </c:pt>
                <c:pt idx="13">
                  <c:v>82.005369999999999</c:v>
                </c:pt>
                <c:pt idx="14">
                  <c:v>90.216220000000007</c:v>
                </c:pt>
                <c:pt idx="15">
                  <c:v>69.912880000000001</c:v>
                </c:pt>
                <c:pt idx="16">
                  <c:v>63.44464</c:v>
                </c:pt>
                <c:pt idx="17">
                  <c:v>55.622309999999999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'Fig2'!$B$3:$B$20</c15:f>
                <c15:dlblRangeCache>
                  <c:ptCount val="18"/>
                  <c:pt idx="0">
                    <c:v>Argentina</c:v>
                  </c:pt>
                  <c:pt idx="1">
                    <c:v>Bolivia</c:v>
                  </c:pt>
                  <c:pt idx="2">
                    <c:v>Brazil</c:v>
                  </c:pt>
                  <c:pt idx="3">
                    <c:v>Chile</c:v>
                  </c:pt>
                  <c:pt idx="4">
                    <c:v>Colombia</c:v>
                  </c:pt>
                  <c:pt idx="5">
                    <c:v>Costa Rica</c:v>
                  </c:pt>
                  <c:pt idx="6">
                    <c:v>Dominican Republic</c:v>
                  </c:pt>
                  <c:pt idx="7">
                    <c:v>Ecuador</c:v>
                  </c:pt>
                  <c:pt idx="8">
                    <c:v>Guatemala</c:v>
                  </c:pt>
                  <c:pt idx="9">
                    <c:v>Honduras</c:v>
                  </c:pt>
                  <c:pt idx="10">
                    <c:v>Mexico</c:v>
                  </c:pt>
                  <c:pt idx="11">
                    <c:v>Nicaragua</c:v>
                  </c:pt>
                  <c:pt idx="12">
                    <c:v>Panama</c:v>
                  </c:pt>
                  <c:pt idx="13">
                    <c:v>Peru</c:v>
                  </c:pt>
                  <c:pt idx="14">
                    <c:v>Paraguay</c:v>
                  </c:pt>
                  <c:pt idx="15">
                    <c:v>El Salvador</c:v>
                  </c:pt>
                  <c:pt idx="16">
                    <c:v>Uruguay</c:v>
                  </c:pt>
                  <c:pt idx="17">
                    <c:v>Venezuela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D72F-4268-BD95-7C0BAB575541}"/>
            </c:ext>
          </c:extLst>
        </c:ser>
        <c:ser>
          <c:idx val="1"/>
          <c:order val="1"/>
          <c:tx>
            <c:strRef>
              <c:f>'Fig2'!$B$26</c:f>
              <c:strCache>
                <c:ptCount val="1"/>
                <c:pt idx="0">
                  <c:v>45 line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00B0F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'Fig2'!$B$27:$B$28</c:f>
              <c:numCache>
                <c:formatCode>0.00</c:formatCode>
                <c:ptCount val="2"/>
                <c:pt idx="0">
                  <c:v>30</c:v>
                </c:pt>
                <c:pt idx="1">
                  <c:v>100</c:v>
                </c:pt>
              </c:numCache>
            </c:numRef>
          </c:xVal>
          <c:yVal>
            <c:numRef>
              <c:f>'Fig2'!$B$27:$B$28</c:f>
              <c:numCache>
                <c:formatCode>0.00</c:formatCode>
                <c:ptCount val="2"/>
                <c:pt idx="0">
                  <c:v>30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D72F-4268-BD95-7C0BAB57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72000"/>
        <c:axId val="270072392"/>
      </c:scatterChart>
      <c:valAx>
        <c:axId val="270072000"/>
        <c:scaling>
          <c:orientation val="minMax"/>
          <c:max val="10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 Unfair or very unfair (2002)</a:t>
                </a:r>
              </a:p>
            </c:rich>
          </c:tx>
          <c:layout>
            <c:manualLayout>
              <c:xMode val="edge"/>
              <c:yMode val="edge"/>
              <c:x val="0.35778386397352502"/>
              <c:y val="0.937120998267468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072392"/>
        <c:crosses val="autoZero"/>
        <c:crossBetween val="midCat"/>
        <c:majorUnit val="20"/>
      </c:valAx>
      <c:valAx>
        <c:axId val="270072392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 Unfair or very unfair (2013)</a:t>
                </a:r>
              </a:p>
            </c:rich>
          </c:tx>
          <c:layout>
            <c:manualLayout>
              <c:xMode val="edge"/>
              <c:yMode val="edge"/>
              <c:x val="7.9051383399209481E-3"/>
              <c:y val="0.199961654088699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072000"/>
        <c:crosses val="autoZero"/>
        <c:crossBetween val="midCat"/>
        <c:majorUnit val="20"/>
      </c:valAx>
      <c:spPr>
        <a:noFill/>
        <a:ln w="9525">
          <a:solidFill>
            <a:sysClr val="windowText" lastClr="000000"/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1378004626892"/>
          <c:y val="2.9170822397200345E-2"/>
          <c:w val="0.84057203323892804"/>
          <c:h val="0.83858063073716693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17F-4518-8D10-FEB5A54FDFE2}"/>
              </c:ext>
            </c:extLst>
          </c:dPt>
          <c:dPt>
            <c:idx val="1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17F-4518-8D10-FEB5A54FDFE2}"/>
              </c:ext>
            </c:extLst>
          </c:dPt>
          <c:dPt>
            <c:idx val="2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17F-4518-8D10-FEB5A54FDFE2}"/>
              </c:ext>
            </c:extLst>
          </c:dPt>
          <c:dPt>
            <c:idx val="3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17F-4518-8D10-FEB5A54FDFE2}"/>
              </c:ext>
            </c:extLst>
          </c:dPt>
          <c:dPt>
            <c:idx val="4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17F-4518-8D10-FEB5A54FDFE2}"/>
              </c:ext>
            </c:extLst>
          </c:dPt>
          <c:dPt>
            <c:idx val="5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17F-4518-8D10-FEB5A54FDFE2}"/>
              </c:ext>
            </c:extLst>
          </c:dPt>
          <c:dPt>
            <c:idx val="6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17F-4518-8D10-FEB5A54FDFE2}"/>
              </c:ext>
            </c:extLst>
          </c:dPt>
          <c:dPt>
            <c:idx val="7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17F-4518-8D10-FEB5A54FDFE2}"/>
              </c:ext>
            </c:extLst>
          </c:dPt>
          <c:dPt>
            <c:idx val="8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17F-4518-8D10-FEB5A54FDFE2}"/>
              </c:ext>
            </c:extLst>
          </c:dPt>
          <c:dPt>
            <c:idx val="9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17F-4518-8D10-FEB5A54FDFE2}"/>
              </c:ext>
            </c:extLst>
          </c:dPt>
          <c:dPt>
            <c:idx val="10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17F-4518-8D10-FEB5A54FDFE2}"/>
              </c:ext>
            </c:extLst>
          </c:dPt>
          <c:dPt>
            <c:idx val="11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17F-4518-8D10-FEB5A54FDFE2}"/>
              </c:ext>
            </c:extLst>
          </c:dPt>
          <c:dPt>
            <c:idx val="12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A17F-4518-8D10-FEB5A54FDFE2}"/>
              </c:ext>
            </c:extLst>
          </c:dPt>
          <c:dPt>
            <c:idx val="13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17F-4518-8D10-FEB5A54FDFE2}"/>
              </c:ext>
            </c:extLst>
          </c:dPt>
          <c:dPt>
            <c:idx val="14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A17F-4518-8D10-FEB5A54FDFE2}"/>
              </c:ext>
            </c:extLst>
          </c:dPt>
          <c:dPt>
            <c:idx val="15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A17F-4518-8D10-FEB5A54FDFE2}"/>
              </c:ext>
            </c:extLst>
          </c:dPt>
          <c:dPt>
            <c:idx val="16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A17F-4518-8D10-FEB5A54FDFE2}"/>
              </c:ext>
            </c:extLst>
          </c:dPt>
          <c:dPt>
            <c:idx val="17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A17F-4518-8D10-FEB5A54FDFE2}"/>
              </c:ext>
            </c:extLst>
          </c:dPt>
          <c:dPt>
            <c:idx val="18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A17F-4518-8D10-FEB5A54FDFE2}"/>
              </c:ext>
            </c:extLst>
          </c:dPt>
          <c:dPt>
            <c:idx val="19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A17F-4518-8D10-FEB5A54FDFE2}"/>
              </c:ext>
            </c:extLst>
          </c:dPt>
          <c:dPt>
            <c:idx val="20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A17F-4518-8D10-FEB5A54FDFE2}"/>
              </c:ext>
            </c:extLst>
          </c:dPt>
          <c:dPt>
            <c:idx val="21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A17F-4518-8D10-FEB5A54FDFE2}"/>
              </c:ext>
            </c:extLst>
          </c:dPt>
          <c:dPt>
            <c:idx val="22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A17F-4518-8D10-FEB5A54FDFE2}"/>
              </c:ext>
            </c:extLst>
          </c:dPt>
          <c:dPt>
            <c:idx val="23"/>
            <c:marker>
              <c:symbol val="diamond"/>
              <c:size val="7"/>
              <c:spPr>
                <a:solidFill>
                  <a:srgbClr val="4BACC6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A17F-4518-8D10-FEB5A54FDFE2}"/>
              </c:ext>
            </c:extLst>
          </c:dPt>
          <c:dLbls>
            <c:dLbl>
              <c:idx val="0"/>
              <c:layout>
                <c:manualLayout>
                  <c:x val="0"/>
                  <c:y val="6.3232982911368529E-2"/>
                </c:manualLayout>
              </c:layout>
              <c:tx>
                <c:rich>
                  <a:bodyPr/>
                  <a:lstStyle/>
                  <a:p>
                    <a:fld id="{66A3809A-6058-4882-B66D-95C7D04238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17F-4518-8D10-FEB5A54FDFE2}"/>
                </c:ext>
              </c:extLst>
            </c:dLbl>
            <c:dLbl>
              <c:idx val="1"/>
              <c:layout>
                <c:manualLayout>
                  <c:x val="0"/>
                  <c:y val="3.7914685654747989E-2"/>
                </c:manualLayout>
              </c:layout>
              <c:tx>
                <c:rich>
                  <a:bodyPr/>
                  <a:lstStyle/>
                  <a:p>
                    <a:fld id="{32E9591C-04A7-4A51-8EB1-10958DB9B4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17F-4518-8D10-FEB5A54FDFE2}"/>
                </c:ext>
              </c:extLst>
            </c:dLbl>
            <c:dLbl>
              <c:idx val="2"/>
              <c:layout>
                <c:manualLayout>
                  <c:x val="-1.3189631780246401E-2"/>
                  <c:y val="6.3219039512273173E-2"/>
                </c:manualLayout>
              </c:layout>
              <c:tx>
                <c:rich>
                  <a:bodyPr/>
                  <a:lstStyle/>
                  <a:p>
                    <a:fld id="{C19FD980-F269-42B7-883C-DB5FAEE61A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17F-4518-8D10-FEB5A54FDFE2}"/>
                </c:ext>
              </c:extLst>
            </c:dLbl>
            <c:dLbl>
              <c:idx val="3"/>
              <c:layout>
                <c:manualLayout>
                  <c:x val="-5.1978878134304844E-3"/>
                  <c:y val="0.10537065005275879"/>
                </c:manualLayout>
              </c:layout>
              <c:tx>
                <c:rich>
                  <a:bodyPr/>
                  <a:lstStyle/>
                  <a:p>
                    <a:fld id="{E9409802-A2A0-4E71-AE5E-920F9E8DDD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17F-4518-8D10-FEB5A54FDFE2}"/>
                </c:ext>
              </c:extLst>
            </c:dLbl>
            <c:dLbl>
              <c:idx val="4"/>
              <c:layout>
                <c:manualLayout>
                  <c:x val="-0.14413488631709059"/>
                  <c:y val="-2.5297309787137453E-2"/>
                </c:manualLayout>
              </c:layout>
              <c:tx>
                <c:rich>
                  <a:bodyPr/>
                  <a:lstStyle/>
                  <a:p>
                    <a:fld id="{1C51BA7E-A053-4C30-88A4-EC9A3F8000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17F-4518-8D10-FEB5A54FDFE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3A75D0C-29C3-4C38-A759-32DF81BC60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17F-4518-8D10-FEB5A54FDFE2}"/>
                </c:ext>
              </c:extLst>
            </c:dLbl>
            <c:dLbl>
              <c:idx val="6"/>
              <c:layout>
                <c:manualLayout>
                  <c:x val="-2.1037212245702538E-2"/>
                  <c:y val="1.686490330760022E-2"/>
                </c:manualLayout>
              </c:layout>
              <c:tx>
                <c:rich>
                  <a:bodyPr/>
                  <a:lstStyle/>
                  <a:p>
                    <a:fld id="{8BA0E5C2-BF9A-4E5D-80FD-BBA1102407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17F-4518-8D10-FEB5A54FDFE2}"/>
                </c:ext>
              </c:extLst>
            </c:dLbl>
            <c:dLbl>
              <c:idx val="7"/>
              <c:layout>
                <c:manualLayout>
                  <c:x val="-2.6206342966743736E-3"/>
                  <c:y val="-4.2162182978562352E-3"/>
                </c:manualLayout>
              </c:layout>
              <c:tx>
                <c:rich>
                  <a:bodyPr/>
                  <a:lstStyle/>
                  <a:p>
                    <a:fld id="{273FD661-852C-4CD7-9163-4E09EE6C38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17F-4518-8D10-FEB5A54FDFE2}"/>
                </c:ext>
              </c:extLst>
            </c:dLbl>
            <c:dLbl>
              <c:idx val="8"/>
              <c:layout>
                <c:manualLayout>
                  <c:x val="-5.270092226613966E-3"/>
                  <c:y val="3.3701942804220494E-2"/>
                </c:manualLayout>
              </c:layout>
              <c:tx>
                <c:rich>
                  <a:bodyPr/>
                  <a:lstStyle/>
                  <a:p>
                    <a:fld id="{B0667501-713B-49CD-AA00-669B50810C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A17F-4518-8D10-FEB5A54FDFE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69DEF76-517F-4614-B494-5C8A6F515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17F-4518-8D10-FEB5A54FDFE2}"/>
                </c:ext>
              </c:extLst>
            </c:dLbl>
            <c:dLbl>
              <c:idx val="10"/>
              <c:layout>
                <c:manualLayout>
                  <c:x val="-3.6890645586297857E-2"/>
                  <c:y val="4.2127428505275712E-2"/>
                </c:manualLayout>
              </c:layout>
              <c:tx>
                <c:rich>
                  <a:bodyPr/>
                  <a:lstStyle/>
                  <a:p>
                    <a:fld id="{F265E90A-BE11-436F-912B-B5A06C262A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A17F-4518-8D10-FEB5A54FDFE2}"/>
                </c:ext>
              </c:extLst>
            </c:dLbl>
            <c:dLbl>
              <c:idx val="11"/>
              <c:layout>
                <c:manualLayout>
                  <c:x val="7.4296014056504586E-3"/>
                  <c:y val="-2.1042913134615551E-2"/>
                </c:manualLayout>
              </c:layout>
              <c:tx>
                <c:rich>
                  <a:bodyPr/>
                  <a:lstStyle/>
                  <a:p>
                    <a:fld id="{272AEBF9-FF41-46DF-B49E-9AC95F50ED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17F-4518-8D10-FEB5A54FDFE2}"/>
                </c:ext>
              </c:extLst>
            </c:dLbl>
            <c:dLbl>
              <c:idx val="12"/>
              <c:layout>
                <c:manualLayout>
                  <c:x val="-7.3781291172595617E-2"/>
                  <c:y val="-3.7914685654748141E-2"/>
                </c:manualLayout>
              </c:layout>
              <c:tx>
                <c:rich>
                  <a:bodyPr/>
                  <a:lstStyle/>
                  <a:p>
                    <a:fld id="{843ACB16-7CA0-476E-A82F-CBE72D96F9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17F-4518-8D10-FEB5A54FDFE2}"/>
                </c:ext>
              </c:extLst>
            </c:dLbl>
            <c:dLbl>
              <c:idx val="13"/>
              <c:layout>
                <c:manualLayout>
                  <c:x val="-6.0606060606060608E-2"/>
                  <c:y val="3.7914685654748141E-2"/>
                </c:manualLayout>
              </c:layout>
              <c:tx>
                <c:rich>
                  <a:bodyPr/>
                  <a:lstStyle/>
                  <a:p>
                    <a:fld id="{47AD826B-76A8-4072-97BE-BAF5D20019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A17F-4518-8D10-FEB5A54FDFE2}"/>
                </c:ext>
              </c:extLst>
            </c:dLbl>
            <c:dLbl>
              <c:idx val="14"/>
              <c:layout>
                <c:manualLayout>
                  <c:x val="-6.3241106719367571E-2"/>
                  <c:y val="5.0552914206330776E-2"/>
                </c:manualLayout>
              </c:layout>
              <c:tx>
                <c:rich>
                  <a:bodyPr/>
                  <a:lstStyle/>
                  <a:p>
                    <a:fld id="{972546C8-A14E-48C3-83A7-386409F965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A17F-4518-8D10-FEB5A54FDFE2}"/>
                </c:ext>
              </c:extLst>
            </c:dLbl>
            <c:dLbl>
              <c:idx val="15"/>
              <c:layout>
                <c:manualLayout>
                  <c:x val="-9.4861660079051405E-2"/>
                  <c:y val="5.055291420633086E-2"/>
                </c:manualLayout>
              </c:layout>
              <c:tx>
                <c:rich>
                  <a:bodyPr/>
                  <a:lstStyle/>
                  <a:p>
                    <a:fld id="{A88627E0-350E-44AD-8840-458A1F724E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A17F-4518-8D10-FEB5A54FDFE2}"/>
                </c:ext>
              </c:extLst>
            </c:dLbl>
            <c:dLbl>
              <c:idx val="16"/>
              <c:layout>
                <c:manualLayout>
                  <c:x val="-1.3103171483371869E-2"/>
                  <c:y val="1.6864873191424941E-2"/>
                </c:manualLayout>
              </c:layout>
              <c:tx>
                <c:rich>
                  <a:bodyPr/>
                  <a:lstStyle/>
                  <a:p>
                    <a:fld id="{FDEBA1D7-A6CA-4B68-8833-636E95A19A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A17F-4518-8D10-FEB5A54FDFE2}"/>
                </c:ext>
              </c:extLst>
            </c:dLbl>
            <c:dLbl>
              <c:idx val="17"/>
              <c:layout>
                <c:manualLayout>
                  <c:x val="-5.270092226613966E-3"/>
                  <c:y val="-7.7232726727289125E-17"/>
                </c:manualLayout>
              </c:layout>
              <c:tx>
                <c:rich>
                  <a:bodyPr/>
                  <a:lstStyle/>
                  <a:p>
                    <a:fld id="{ECE1B764-EFBE-44BE-B348-C7B14263E8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A17F-4518-8D10-FEB5A54FDFE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'Fig3'!$C$3:$C$20</c:f>
              <c:numCache>
                <c:formatCode>0.00</c:formatCode>
                <c:ptCount val="18"/>
                <c:pt idx="0">
                  <c:v>-7.8986599999999962E-2</c:v>
                </c:pt>
                <c:pt idx="1">
                  <c:v>-0.12098066000000002</c:v>
                </c:pt>
                <c:pt idx="2">
                  <c:v>-5.7459379999999949E-2</c:v>
                </c:pt>
                <c:pt idx="3">
                  <c:v>-4.2545129999999987E-2</c:v>
                </c:pt>
                <c:pt idx="4">
                  <c:v>-4.7670800000000013E-2</c:v>
                </c:pt>
                <c:pt idx="5">
                  <c:v>1.0795869999999985E-2</c:v>
                </c:pt>
                <c:pt idx="6">
                  <c:v>-3.0452339999999967E-2</c:v>
                </c:pt>
                <c:pt idx="7">
                  <c:v>-7.7022759999999968E-2</c:v>
                </c:pt>
                <c:pt idx="8">
                  <c:v>-6.232496000000004E-2</c:v>
                </c:pt>
                <c:pt idx="9">
                  <c:v>-5.1080750000000008E-2</c:v>
                </c:pt>
                <c:pt idx="10">
                  <c:v>-2.1063129999999985E-2</c:v>
                </c:pt>
                <c:pt idx="11">
                  <c:v>-6.5772219999999992E-2</c:v>
                </c:pt>
                <c:pt idx="12">
                  <c:v>-9.6734099999999934E-3</c:v>
                </c:pt>
                <c:pt idx="13">
                  <c:v>-6.4697890000000036E-2</c:v>
                </c:pt>
                <c:pt idx="14">
                  <c:v>-9.038838999999993E-2</c:v>
                </c:pt>
                <c:pt idx="15">
                  <c:v>-8.0229259999999969E-2</c:v>
                </c:pt>
                <c:pt idx="16">
                  <c:v>-4.5718930000000046E-2</c:v>
                </c:pt>
                <c:pt idx="17">
                  <c:v>-7.3254189999999997E-2</c:v>
                </c:pt>
              </c:numCache>
            </c:numRef>
          </c:xVal>
          <c:yVal>
            <c:numRef>
              <c:f>'Fig3'!$D$3:$D$20</c:f>
              <c:numCache>
                <c:formatCode>0.00</c:formatCode>
                <c:ptCount val="18"/>
                <c:pt idx="0">
                  <c:v>-22.175750000000008</c:v>
                </c:pt>
                <c:pt idx="1">
                  <c:v>-24.6143</c:v>
                </c:pt>
                <c:pt idx="2">
                  <c:v>-5.0125299999999982</c:v>
                </c:pt>
                <c:pt idx="3">
                  <c:v>-0.44023999999998864</c:v>
                </c:pt>
                <c:pt idx="4">
                  <c:v>-3.7311399999999963</c:v>
                </c:pt>
                <c:pt idx="5">
                  <c:v>9.1371900000000039</c:v>
                </c:pt>
                <c:pt idx="6">
                  <c:v>-1.7183100000000024</c:v>
                </c:pt>
                <c:pt idx="7">
                  <c:v>-33.90605</c:v>
                </c:pt>
                <c:pt idx="8">
                  <c:v>-11.424880000000002</c:v>
                </c:pt>
                <c:pt idx="9">
                  <c:v>4.5653199999999998</c:v>
                </c:pt>
                <c:pt idx="10">
                  <c:v>-12.035150000000002</c:v>
                </c:pt>
                <c:pt idx="11">
                  <c:v>-23.440599999999996</c:v>
                </c:pt>
                <c:pt idx="12">
                  <c:v>-28.581350000000008</c:v>
                </c:pt>
                <c:pt idx="13">
                  <c:v>-4.2347699999999975</c:v>
                </c:pt>
                <c:pt idx="14">
                  <c:v>-3.0384199999999879</c:v>
                </c:pt>
                <c:pt idx="15">
                  <c:v>-10.318339999999992</c:v>
                </c:pt>
                <c:pt idx="16">
                  <c:v>-29.468060000000001</c:v>
                </c:pt>
                <c:pt idx="17">
                  <c:v>-18.91019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'Fig3'!$B$3:$B$20</c15:f>
                <c15:dlblRangeCache>
                  <c:ptCount val="18"/>
                  <c:pt idx="0">
                    <c:v>Argentina</c:v>
                  </c:pt>
                  <c:pt idx="1">
                    <c:v>Bolivia</c:v>
                  </c:pt>
                  <c:pt idx="2">
                    <c:v>Brazil</c:v>
                  </c:pt>
                  <c:pt idx="3">
                    <c:v>Chile</c:v>
                  </c:pt>
                  <c:pt idx="4">
                    <c:v>Colombia</c:v>
                  </c:pt>
                  <c:pt idx="5">
                    <c:v>Costa Rica</c:v>
                  </c:pt>
                  <c:pt idx="6">
                    <c:v>Dominican Republic</c:v>
                  </c:pt>
                  <c:pt idx="7">
                    <c:v>Ecuador</c:v>
                  </c:pt>
                  <c:pt idx="8">
                    <c:v>Guatemala</c:v>
                  </c:pt>
                  <c:pt idx="9">
                    <c:v>Honduras</c:v>
                  </c:pt>
                  <c:pt idx="10">
                    <c:v>Mexico</c:v>
                  </c:pt>
                  <c:pt idx="11">
                    <c:v>Nicaragua</c:v>
                  </c:pt>
                  <c:pt idx="12">
                    <c:v>Panama</c:v>
                  </c:pt>
                  <c:pt idx="13">
                    <c:v>Peru</c:v>
                  </c:pt>
                  <c:pt idx="14">
                    <c:v>Paraguay</c:v>
                  </c:pt>
                  <c:pt idx="15">
                    <c:v>El Salvador</c:v>
                  </c:pt>
                  <c:pt idx="16">
                    <c:v>Uruguay</c:v>
                  </c:pt>
                  <c:pt idx="17">
                    <c:v>Venezuela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A17F-4518-8D10-FEB5A54FDFE2}"/>
            </c:ext>
          </c:extLst>
        </c:ser>
        <c:ser>
          <c:idx val="1"/>
          <c:order val="1"/>
          <c:tx>
            <c:strRef>
              <c:f>'Fig3'!$B$26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ysClr val="window" lastClr="FFFFFF">
                    <a:lumMod val="75000"/>
                  </a:sysClr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'Fig3'!$B$27:$B$28</c:f>
              <c:numCache>
                <c:formatCode>0.00</c:formatCode>
                <c:ptCount val="2"/>
              </c:numCache>
            </c:numRef>
          </c:xVal>
          <c:yVal>
            <c:numRef>
              <c:f>'Fig3'!$B$27:$B$28</c:f>
              <c:numCache>
                <c:formatCode>0.00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A17F-4518-8D10-FEB5A54FDF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73568"/>
        <c:axId val="270073960"/>
      </c:scatterChart>
      <c:valAx>
        <c:axId val="270073568"/>
        <c:scaling>
          <c:orientation val="minMax"/>
          <c:max val="0.1"/>
          <c:min val="-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Change in Gini (2002-13)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073960"/>
        <c:crosses val="autoZero"/>
        <c:crossBetween val="midCat"/>
      </c:valAx>
      <c:valAx>
        <c:axId val="270073960"/>
        <c:scaling>
          <c:orientation val="minMax"/>
          <c:min val="-3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Change in perceptions in p.p. (2002-13)</a:t>
                </a:r>
              </a:p>
            </c:rich>
          </c:tx>
          <c:layout>
            <c:manualLayout>
              <c:xMode val="edge"/>
              <c:yMode val="edge"/>
              <c:x val="5.270092226613966E-3"/>
              <c:y val="4.82750476587267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073568"/>
        <c:crosses val="autoZero"/>
        <c:crossBetween val="midCat"/>
        <c:majorUnit val="10"/>
      </c:valAx>
      <c:spPr>
        <a:noFill/>
        <a:ln w="9525">
          <a:solidFill>
            <a:sysClr val="windowText" lastClr="000000"/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2136920384952"/>
          <c:y val="2.9170822397200345E-2"/>
          <c:w val="0.8563823272090989"/>
          <c:h val="0.85121885928874974"/>
        </c:manualLayout>
      </c:layout>
      <c:scatterChart>
        <c:scatterStyle val="lineMarker"/>
        <c:varyColors val="0"/>
        <c:ser>
          <c:idx val="0"/>
          <c:order val="0"/>
          <c:tx>
            <c:strRef>
              <c:f>Fig4a!$D$2</c:f>
              <c:strCache>
                <c:ptCount val="1"/>
                <c:pt idx="0">
                  <c:v>Gini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773-462D-8B25-31D8DF1A1E48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773-462D-8B25-31D8DF1A1E48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773-462D-8B25-31D8DF1A1E48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773-462D-8B25-31D8DF1A1E48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773-462D-8B25-31D8DF1A1E48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773-462D-8B25-31D8DF1A1E48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773-462D-8B25-31D8DF1A1E48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773-462D-8B25-31D8DF1A1E48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773-462D-8B25-31D8DF1A1E48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773-462D-8B25-31D8DF1A1E48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773-462D-8B25-31D8DF1A1E48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773-462D-8B25-31D8DF1A1E48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0773-462D-8B25-31D8DF1A1E48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773-462D-8B25-31D8DF1A1E48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773-462D-8B25-31D8DF1A1E48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0773-462D-8B25-31D8DF1A1E48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0773-462D-8B25-31D8DF1A1E48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0773-462D-8B25-31D8DF1A1E48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0773-462D-8B25-31D8DF1A1E48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0773-462D-8B25-31D8DF1A1E48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0773-462D-8B25-31D8DF1A1E48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0773-462D-8B25-31D8DF1A1E48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0773-462D-8B25-31D8DF1A1E48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0773-462D-8B25-31D8DF1A1E4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4FA30D8-4B90-4913-B7EB-4D05A0193F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773-462D-8B25-31D8DF1A1E4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AEF57F7-C11B-402D-8C67-2A1DCF4461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773-462D-8B25-31D8DF1A1E4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23066F9-795A-4B4A-8BCF-A7F0A97334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773-462D-8B25-31D8DF1A1E4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1270847-139C-465D-8B50-B4B6D48187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773-462D-8B25-31D8DF1A1E4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933DEE8-FE64-4D2B-AD27-280E8E7FE9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773-462D-8B25-31D8DF1A1E4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AFFCD44-EEC2-4449-BD6D-41810F5B6B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773-462D-8B25-31D8DF1A1E4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46604AA-0D1F-412B-A07F-3D4020AD7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773-462D-8B25-31D8DF1A1E4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5CC96FA-DB03-4EBE-9F7D-400E0A681F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773-462D-8B25-31D8DF1A1E4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C0910DC-48AC-45A7-B9AB-26A620F7BF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773-462D-8B25-31D8DF1A1E4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EC90B55-0D80-4B00-9CF6-93BFCD1E33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773-462D-8B25-31D8DF1A1E4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5C6AD3A-3588-4785-80C8-47CBA2F0FF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773-462D-8B25-31D8DF1A1E4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9110985-B610-4B42-A0FC-28093F20D0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773-462D-8B25-31D8DF1A1E4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EA2AAF4-135F-4B44-890A-5ACA93C853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773-462D-8B25-31D8DF1A1E4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F3135E3-3E9D-4041-AEBB-F7EA4E9C1A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773-462D-8B25-31D8DF1A1E4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271F035-8837-4B99-A3C4-E41682935C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773-462D-8B25-31D8DF1A1E4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D762B7E-7149-459C-A129-113F0B6860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773-462D-8B25-31D8DF1A1E4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1D85962-0F7D-4A52-81D1-D2BE73E08A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773-462D-8B25-31D8DF1A1E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.0000000000000006E-2"/>
            <c:backward val="3.0000000000000006E-2"/>
            <c:dispRSqr val="1"/>
            <c:dispEq val="1"/>
            <c:trendlineLbl>
              <c:layout>
                <c:manualLayout>
                  <c:x val="-1.4178415445104935E-2"/>
                  <c:y val="0.58662245166375149"/>
                </c:manualLayout>
              </c:layout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ysClr val="window" lastClr="FFFFFF">
                      <a:lumMod val="85000"/>
                    </a:sys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Bell MT" panose="020205030603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Fig4a!$T$3:$T$19</c:f>
              <c:numCache>
                <c:formatCode>0.00</c:formatCode>
                <c:ptCount val="17"/>
                <c:pt idx="0">
                  <c:v>0.42666016000000001</c:v>
                </c:pt>
                <c:pt idx="1">
                  <c:v>0.45777488</c:v>
                </c:pt>
                <c:pt idx="2">
                  <c:v>0.51350794</c:v>
                </c:pt>
                <c:pt idx="3">
                  <c:v>0.47651670000000002</c:v>
                </c:pt>
                <c:pt idx="4">
                  <c:v>0.51069376</c:v>
                </c:pt>
                <c:pt idx="5">
                  <c:v>0.48174398000000002</c:v>
                </c:pt>
                <c:pt idx="6">
                  <c:v>0.44880756999999999</c:v>
                </c:pt>
                <c:pt idx="7">
                  <c:v>0.46544669999999999</c:v>
                </c:pt>
                <c:pt idx="8">
                  <c:v>0.48657003999999998</c:v>
                </c:pt>
                <c:pt idx="9">
                  <c:v>0.50096061000000003</c:v>
                </c:pt>
                <c:pt idx="10">
                  <c:v>0.49140387000000002</c:v>
                </c:pt>
                <c:pt idx="11">
                  <c:v>0.46564378000000001</c:v>
                </c:pt>
                <c:pt idx="12">
                  <c:v>0.50981854999999998</c:v>
                </c:pt>
                <c:pt idx="13">
                  <c:v>0.44290905000000003</c:v>
                </c:pt>
                <c:pt idx="14">
                  <c:v>0.47981648999999998</c:v>
                </c:pt>
                <c:pt idx="15">
                  <c:v>0.40752209</c:v>
                </c:pt>
                <c:pt idx="16">
                  <c:v>0.42006956000000001</c:v>
                </c:pt>
              </c:numCache>
            </c:numRef>
          </c:xVal>
          <c:yVal>
            <c:numRef>
              <c:f>Fig4a!$U$3:$U$19</c:f>
              <c:numCache>
                <c:formatCode>0.00</c:formatCode>
                <c:ptCount val="17"/>
                <c:pt idx="0">
                  <c:v>78.533159999999995</c:v>
                </c:pt>
                <c:pt idx="1">
                  <c:v>52.990659999999998</c:v>
                </c:pt>
                <c:pt idx="2">
                  <c:v>92.326530000000005</c:v>
                </c:pt>
                <c:pt idx="3">
                  <c:v>94.941569999999999</c:v>
                </c:pt>
                <c:pt idx="4">
                  <c:v>85.589370000000002</c:v>
                </c:pt>
                <c:pt idx="5">
                  <c:v>81.294970000000006</c:v>
                </c:pt>
                <c:pt idx="6">
                  <c:v>74.406750000000002</c:v>
                </c:pt>
                <c:pt idx="7">
                  <c:v>46.210039999999999</c:v>
                </c:pt>
                <c:pt idx="8">
                  <c:v>78.605419999999995</c:v>
                </c:pt>
                <c:pt idx="9">
                  <c:v>79.836330000000004</c:v>
                </c:pt>
                <c:pt idx="10">
                  <c:v>82.423209999999997</c:v>
                </c:pt>
                <c:pt idx="11">
                  <c:v>57.824069999999999</c:v>
                </c:pt>
                <c:pt idx="12">
                  <c:v>62.108559999999997</c:v>
                </c:pt>
                <c:pt idx="13">
                  <c:v>82.273949999999999</c:v>
                </c:pt>
                <c:pt idx="14">
                  <c:v>85.678319999999999</c:v>
                </c:pt>
                <c:pt idx="15">
                  <c:v>76.740939999999995</c:v>
                </c:pt>
                <c:pt idx="16">
                  <c:v>65.706810000000004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Fig4a!$R$3:$R$19</c15:f>
                <c15:dlblRangeCache>
                  <c:ptCount val="17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0773-462D-8B25-31D8DF1A1E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074744"/>
        <c:axId val="270075136"/>
      </c:scatterChart>
      <c:valAx>
        <c:axId val="270074744"/>
        <c:scaling>
          <c:orientation val="minMax"/>
          <c:max val="0.55000000000000004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075136"/>
        <c:crosses val="autoZero"/>
        <c:crossBetween val="midCat"/>
        <c:majorUnit val="5.000000000000001E-2"/>
      </c:valAx>
      <c:valAx>
        <c:axId val="270075136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% Unfair or Very Unfair</a:t>
                </a:r>
                <a:endParaRPr lang="en-US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1.5713632923295216E-3"/>
              <c:y val="0.254179654574988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317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074744"/>
        <c:crosses val="autoZero"/>
        <c:crossBetween val="midCat"/>
      </c:valAx>
      <c:spPr>
        <a:noFill/>
        <a:ln>
          <a:solidFill>
            <a:sysClr val="windowText" lastClr="000000">
              <a:lumMod val="50000"/>
              <a:lumOff val="50000"/>
            </a:sys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2136920384952"/>
          <c:y val="2.9170822397200345E-2"/>
          <c:w val="0.8563823272090989"/>
          <c:h val="0.85121885928874974"/>
        </c:manualLayout>
      </c:layout>
      <c:scatterChart>
        <c:scatterStyle val="lineMarker"/>
        <c:varyColors val="0"/>
        <c:ser>
          <c:idx val="0"/>
          <c:order val="0"/>
          <c:tx>
            <c:strRef>
              <c:f>Fig4a!$D$2</c:f>
              <c:strCache>
                <c:ptCount val="1"/>
                <c:pt idx="0">
                  <c:v>Gini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7A9-491E-BDFD-6526D296EBC4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7A9-491E-BDFD-6526D296EBC4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7A9-491E-BDFD-6526D296EBC4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7A9-491E-BDFD-6526D296EBC4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7A9-491E-BDFD-6526D296EBC4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7A9-491E-BDFD-6526D296EBC4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7A9-491E-BDFD-6526D296EBC4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7A9-491E-BDFD-6526D296EBC4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7A9-491E-BDFD-6526D296EBC4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7A9-491E-BDFD-6526D296EBC4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7A9-491E-BDFD-6526D296EBC4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7A9-491E-BDFD-6526D296EBC4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7A9-491E-BDFD-6526D296EBC4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7A9-491E-BDFD-6526D296EBC4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7A9-491E-BDFD-6526D296EBC4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7A9-491E-BDFD-6526D296EBC4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47A9-491E-BDFD-6526D296EBC4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47A9-491E-BDFD-6526D296EBC4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47A9-491E-BDFD-6526D296EBC4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47A9-491E-BDFD-6526D296EBC4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47A9-491E-BDFD-6526D296EBC4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47A9-491E-BDFD-6526D296EBC4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47A9-491E-BDFD-6526D296EBC4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47A9-491E-BDFD-6526D296EBC4}"/>
              </c:ext>
            </c:extLst>
          </c:dPt>
          <c:trendline>
            <c:spPr>
              <a:ln w="19050" cap="rnd">
                <a:solidFill>
                  <a:srgbClr val="C0504D"/>
                </a:solidFill>
                <a:prstDash val="sysDot"/>
              </a:ln>
              <a:effectLst/>
            </c:spPr>
            <c:trendlineType val="linear"/>
            <c:backward val="3.0000000000000006E-2"/>
            <c:dispRSqr val="1"/>
            <c:dispEq val="1"/>
            <c:trendlineLbl>
              <c:layout>
                <c:manualLayout>
                  <c:x val="5.193350831146107E-3"/>
                  <c:y val="0.6339432050160396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1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Bell MT" panose="02020503060305020303" pitchFamily="18" charset="0"/>
                        <a:ea typeface="+mn-ea"/>
                        <a:cs typeface="+mn-cs"/>
                      </a:defRPr>
                    </a:pPr>
                    <a:r>
                      <a:rPr lang="en-US"/>
                      <a:t>Unfairness = 91.35 Gini + 33.4</a:t>
                    </a:r>
                    <a:br>
                      <a:rPr lang="en-US"/>
                    </a:br>
                    <a:r>
                      <a:rPr lang="en-US"/>
                      <a:t>R² = 0.15</a:t>
                    </a:r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ysClr val="window" lastClr="FFFFFF">
                      <a:lumMod val="85000"/>
                    </a:sys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Bell MT" panose="020205030603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Fig4a!$D$3:$D$126</c:f>
              <c:numCache>
                <c:formatCode>0.00</c:formatCode>
                <c:ptCount val="124"/>
                <c:pt idx="0">
                  <c:v>0.47371701999999999</c:v>
                </c:pt>
                <c:pt idx="1">
                  <c:v>0.45273023000000001</c:v>
                </c:pt>
                <c:pt idx="2">
                  <c:v>0.44495506000000001</c:v>
                </c:pt>
                <c:pt idx="3">
                  <c:v>0.43572284</c:v>
                </c:pt>
                <c:pt idx="4">
                  <c:v>0.4228384</c:v>
                </c:pt>
                <c:pt idx="5">
                  <c:v>0.42666016000000001</c:v>
                </c:pt>
                <c:pt idx="6">
                  <c:v>0.58164428000000001</c:v>
                </c:pt>
                <c:pt idx="7">
                  <c:v>0.58876695000000001</c:v>
                </c:pt>
                <c:pt idx="8">
                  <c:v>0.6015836</c:v>
                </c:pt>
                <c:pt idx="9">
                  <c:v>0.55444921000000003</c:v>
                </c:pt>
                <c:pt idx="10">
                  <c:v>0.49653070999999999</c:v>
                </c:pt>
                <c:pt idx="11">
                  <c:v>0.46260467999999999</c:v>
                </c:pt>
                <c:pt idx="12">
                  <c:v>0.48060333999999999</c:v>
                </c:pt>
                <c:pt idx="13">
                  <c:v>0.45777488</c:v>
                </c:pt>
                <c:pt idx="14">
                  <c:v>0.59799658</c:v>
                </c:pt>
                <c:pt idx="15">
                  <c:v>0.59330161999999997</c:v>
                </c:pt>
                <c:pt idx="16">
                  <c:v>0.58619825999999997</c:v>
                </c:pt>
                <c:pt idx="17">
                  <c:v>0.55233233000000004</c:v>
                </c:pt>
                <c:pt idx="18">
                  <c:v>0.53873230000000005</c:v>
                </c:pt>
                <c:pt idx="19">
                  <c:v>0.53094680999999999</c:v>
                </c:pt>
                <c:pt idx="20">
                  <c:v>0.52873862000000005</c:v>
                </c:pt>
                <c:pt idx="21">
                  <c:v>0.51350794</c:v>
                </c:pt>
                <c:pt idx="22">
                  <c:v>0.55522068999999996</c:v>
                </c:pt>
                <c:pt idx="23">
                  <c:v>0.52772008999999998</c:v>
                </c:pt>
                <c:pt idx="24">
                  <c:v>0.51489868000000005</c:v>
                </c:pt>
                <c:pt idx="25">
                  <c:v>0.48217711000000002</c:v>
                </c:pt>
                <c:pt idx="26">
                  <c:v>0.48972760999999998</c:v>
                </c:pt>
                <c:pt idx="27">
                  <c:v>0.47617691000000001</c:v>
                </c:pt>
                <c:pt idx="28">
                  <c:v>0.47263495</c:v>
                </c:pt>
                <c:pt idx="29">
                  <c:v>0.47651670000000002</c:v>
                </c:pt>
                <c:pt idx="30">
                  <c:v>0.58254918</c:v>
                </c:pt>
                <c:pt idx="31">
                  <c:v>0.56042272000000004</c:v>
                </c:pt>
                <c:pt idx="32">
                  <c:v>0.55918040000000002</c:v>
                </c:pt>
                <c:pt idx="33">
                  <c:v>0.55499443999999998</c:v>
                </c:pt>
                <c:pt idx="34">
                  <c:v>0.54175656000000005</c:v>
                </c:pt>
                <c:pt idx="35">
                  <c:v>0.53487819999999997</c:v>
                </c:pt>
                <c:pt idx="36">
                  <c:v>0.51069376</c:v>
                </c:pt>
                <c:pt idx="37">
                  <c:v>0.48096070000000002</c:v>
                </c:pt>
                <c:pt idx="38">
                  <c:v>0.4859695</c:v>
                </c:pt>
                <c:pt idx="39">
                  <c:v>0.49175687000000001</c:v>
                </c:pt>
                <c:pt idx="40">
                  <c:v>0.48174398000000002</c:v>
                </c:pt>
                <c:pt idx="41">
                  <c:v>0.48685249000000003</c:v>
                </c:pt>
                <c:pt idx="42">
                  <c:v>0.48859053000000002</c:v>
                </c:pt>
                <c:pt idx="43">
                  <c:v>0.47395080000000001</c:v>
                </c:pt>
                <c:pt idx="44">
                  <c:v>0.47071565999999998</c:v>
                </c:pt>
                <c:pt idx="45">
                  <c:v>0.44880756999999999</c:v>
                </c:pt>
                <c:pt idx="46">
                  <c:v>0.54991343000000004</c:v>
                </c:pt>
                <c:pt idx="47">
                  <c:v>0.54327815999999995</c:v>
                </c:pt>
                <c:pt idx="48">
                  <c:v>0.49284985999999997</c:v>
                </c:pt>
                <c:pt idx="49">
                  <c:v>0.49254531000000001</c:v>
                </c:pt>
                <c:pt idx="50">
                  <c:v>0.46209179</c:v>
                </c:pt>
                <c:pt idx="51">
                  <c:v>0.47289024000000002</c:v>
                </c:pt>
                <c:pt idx="52">
                  <c:v>0.46544669999999999</c:v>
                </c:pt>
                <c:pt idx="53">
                  <c:v>0.54836390999999995</c:v>
                </c:pt>
                <c:pt idx="54">
                  <c:v>0.52354537000000001</c:v>
                </c:pt>
                <c:pt idx="55">
                  <c:v>0.48657003999999998</c:v>
                </c:pt>
                <c:pt idx="56">
                  <c:v>0.52734000000000003</c:v>
                </c:pt>
                <c:pt idx="57">
                  <c:v>0.54079770000000005</c:v>
                </c:pt>
                <c:pt idx="58">
                  <c:v>0.58779693</c:v>
                </c:pt>
                <c:pt idx="59">
                  <c:v>0.56160790999999999</c:v>
                </c:pt>
                <c:pt idx="60">
                  <c:v>0.51563250999999999</c:v>
                </c:pt>
                <c:pt idx="61">
                  <c:v>0.53391564999999996</c:v>
                </c:pt>
                <c:pt idx="62">
                  <c:v>0.57398718000000004</c:v>
                </c:pt>
                <c:pt idx="63">
                  <c:v>0.53671625000000001</c:v>
                </c:pt>
                <c:pt idx="64">
                  <c:v>0.50096061000000003</c:v>
                </c:pt>
                <c:pt idx="65">
                  <c:v>0.53401189999999998</c:v>
                </c:pt>
                <c:pt idx="66">
                  <c:v>0.53942997999999998</c:v>
                </c:pt>
                <c:pt idx="67">
                  <c:v>0.51246681000000005</c:v>
                </c:pt>
                <c:pt idx="68">
                  <c:v>0.49783226000000003</c:v>
                </c:pt>
                <c:pt idx="69">
                  <c:v>0.50525710000000001</c:v>
                </c:pt>
                <c:pt idx="70">
                  <c:v>0.47549319000000001</c:v>
                </c:pt>
                <c:pt idx="71">
                  <c:v>0.49355238000000001</c:v>
                </c:pt>
                <c:pt idx="72">
                  <c:v>0.49140387000000002</c:v>
                </c:pt>
                <c:pt idx="73">
                  <c:v>0.54432835999999996</c:v>
                </c:pt>
                <c:pt idx="74">
                  <c:v>0.53141592000000004</c:v>
                </c:pt>
                <c:pt idx="75">
                  <c:v>0.49219562</c:v>
                </c:pt>
                <c:pt idx="76">
                  <c:v>0.44170883999999999</c:v>
                </c:pt>
                <c:pt idx="77">
                  <c:v>0.46564378000000001</c:v>
                </c:pt>
                <c:pt idx="78">
                  <c:v>0.52031280000000002</c:v>
                </c:pt>
                <c:pt idx="79">
                  <c:v>0.51911792999999995</c:v>
                </c:pt>
                <c:pt idx="80">
                  <c:v>0.51830704999999999</c:v>
                </c:pt>
                <c:pt idx="81">
                  <c:v>0.51664858999999996</c:v>
                </c:pt>
                <c:pt idx="82">
                  <c:v>0.50981854999999998</c:v>
                </c:pt>
                <c:pt idx="83">
                  <c:v>0.51352755000000005</c:v>
                </c:pt>
                <c:pt idx="84">
                  <c:v>0.47957114000000001</c:v>
                </c:pt>
                <c:pt idx="85">
                  <c:v>0.46206256000000001</c:v>
                </c:pt>
                <c:pt idx="86">
                  <c:v>0.45476773999999998</c:v>
                </c:pt>
                <c:pt idx="87">
                  <c:v>0.44726811</c:v>
                </c:pt>
                <c:pt idx="88">
                  <c:v>0.44290905000000003</c:v>
                </c:pt>
                <c:pt idx="89">
                  <c:v>0.54892432000000002</c:v>
                </c:pt>
                <c:pt idx="90">
                  <c:v>0.54830040000000002</c:v>
                </c:pt>
                <c:pt idx="91">
                  <c:v>0.57335537000000003</c:v>
                </c:pt>
                <c:pt idx="92">
                  <c:v>0.52089498999999995</c:v>
                </c:pt>
                <c:pt idx="93">
                  <c:v>0.49665879000000002</c:v>
                </c:pt>
                <c:pt idx="94">
                  <c:v>0.51834696999999996</c:v>
                </c:pt>
                <c:pt idx="95">
                  <c:v>0.52601081999999999</c:v>
                </c:pt>
                <c:pt idx="96">
                  <c:v>0.48296661000000002</c:v>
                </c:pt>
                <c:pt idx="97">
                  <c:v>0.47981648999999998</c:v>
                </c:pt>
                <c:pt idx="98">
                  <c:v>0.54515711</c:v>
                </c:pt>
                <c:pt idx="99">
                  <c:v>0.51144626000000004</c:v>
                </c:pt>
                <c:pt idx="100">
                  <c:v>0.51535317999999997</c:v>
                </c:pt>
                <c:pt idx="101">
                  <c:v>0.45238268999999998</c:v>
                </c:pt>
                <c:pt idx="102">
                  <c:v>0.45928237999999999</c:v>
                </c:pt>
                <c:pt idx="103">
                  <c:v>0.44525523</c:v>
                </c:pt>
                <c:pt idx="104">
                  <c:v>0.42429789000000001</c:v>
                </c:pt>
                <c:pt idx="105">
                  <c:v>0.43512373999999998</c:v>
                </c:pt>
                <c:pt idx="106">
                  <c:v>0.40752209</c:v>
                </c:pt>
                <c:pt idx="107">
                  <c:v>0.42728695999999999</c:v>
                </c:pt>
                <c:pt idx="108">
                  <c:v>0.46167232000000002</c:v>
                </c:pt>
                <c:pt idx="109">
                  <c:v>0.46655236999999999</c:v>
                </c:pt>
                <c:pt idx="110">
                  <c:v>0.47909996999999999</c:v>
                </c:pt>
                <c:pt idx="111">
                  <c:v>0.46476558000000001</c:v>
                </c:pt>
                <c:pt idx="112">
                  <c:v>0.45482158</c:v>
                </c:pt>
                <c:pt idx="113">
                  <c:v>0.43591302999999998</c:v>
                </c:pt>
                <c:pt idx="114">
                  <c:v>0.42083306999999998</c:v>
                </c:pt>
                <c:pt idx="115">
                  <c:v>0.42006956000000001</c:v>
                </c:pt>
                <c:pt idx="116">
                  <c:v>0.48248467</c:v>
                </c:pt>
                <c:pt idx="117">
                  <c:v>0.46893898000000001</c:v>
                </c:pt>
                <c:pt idx="118">
                  <c:v>0.4815468</c:v>
                </c:pt>
                <c:pt idx="119">
                  <c:v>0.41931698000000001</c:v>
                </c:pt>
                <c:pt idx="120">
                  <c:v>0.40729585000000001</c:v>
                </c:pt>
                <c:pt idx="121">
                  <c:v>0.39077666999999999</c:v>
                </c:pt>
                <c:pt idx="122">
                  <c:v>0.39415910999999998</c:v>
                </c:pt>
                <c:pt idx="123">
                  <c:v>0.40829281000000001</c:v>
                </c:pt>
              </c:numCache>
            </c:numRef>
          </c:xVal>
          <c:yVal>
            <c:numRef>
              <c:f>Fig4a!$E$3:$E$126</c:f>
              <c:numCache>
                <c:formatCode>0.00</c:formatCode>
                <c:ptCount val="124"/>
                <c:pt idx="0">
                  <c:v>89.662819999999996</c:v>
                </c:pt>
                <c:pt idx="1">
                  <c:v>95.546229999999994</c:v>
                </c:pt>
                <c:pt idx="2">
                  <c:v>87.601699999999994</c:v>
                </c:pt>
                <c:pt idx="3">
                  <c:v>83.662099999999995</c:v>
                </c:pt>
                <c:pt idx="4">
                  <c:v>75.039439999999999</c:v>
                </c:pt>
                <c:pt idx="5">
                  <c:v>78.533159999999995</c:v>
                </c:pt>
                <c:pt idx="6">
                  <c:v>90.07732</c:v>
                </c:pt>
                <c:pt idx="7">
                  <c:v>91.390730000000005</c:v>
                </c:pt>
                <c:pt idx="8">
                  <c:v>86.814019999999999</c:v>
                </c:pt>
                <c:pt idx="9">
                  <c:v>68.598619999999997</c:v>
                </c:pt>
                <c:pt idx="10">
                  <c:v>63.668430000000001</c:v>
                </c:pt>
                <c:pt idx="11">
                  <c:v>78.10284</c:v>
                </c:pt>
                <c:pt idx="12">
                  <c:v>63.432839999999999</c:v>
                </c:pt>
                <c:pt idx="13">
                  <c:v>52.990659999999998</c:v>
                </c:pt>
                <c:pt idx="14">
                  <c:v>92.622960000000006</c:v>
                </c:pt>
                <c:pt idx="15">
                  <c:v>86.378039999999999</c:v>
                </c:pt>
                <c:pt idx="16">
                  <c:v>85.964910000000003</c:v>
                </c:pt>
                <c:pt idx="17">
                  <c:v>86.277869999999993</c:v>
                </c:pt>
                <c:pt idx="18">
                  <c:v>83.375960000000006</c:v>
                </c:pt>
                <c:pt idx="19">
                  <c:v>85.135140000000007</c:v>
                </c:pt>
                <c:pt idx="20">
                  <c:v>80.952380000000005</c:v>
                </c:pt>
                <c:pt idx="21">
                  <c:v>92.326530000000005</c:v>
                </c:pt>
                <c:pt idx="22">
                  <c:v>88.393770000000004</c:v>
                </c:pt>
                <c:pt idx="23">
                  <c:v>90.204470000000001</c:v>
                </c:pt>
                <c:pt idx="24">
                  <c:v>90.867090000000005</c:v>
                </c:pt>
                <c:pt idx="25">
                  <c:v>90.230310000000003</c:v>
                </c:pt>
                <c:pt idx="26">
                  <c:v>85.074929999999995</c:v>
                </c:pt>
                <c:pt idx="27">
                  <c:v>94.086110000000005</c:v>
                </c:pt>
                <c:pt idx="28">
                  <c:v>89.508210000000005</c:v>
                </c:pt>
                <c:pt idx="29">
                  <c:v>94.941569999999999</c:v>
                </c:pt>
                <c:pt idx="30">
                  <c:v>90.709680000000006</c:v>
                </c:pt>
                <c:pt idx="31">
                  <c:v>81.378489999999999</c:v>
                </c:pt>
                <c:pt idx="32">
                  <c:v>80.838480000000004</c:v>
                </c:pt>
                <c:pt idx="33">
                  <c:v>84.779049999999998</c:v>
                </c:pt>
                <c:pt idx="34">
                  <c:v>87.821979999999996</c:v>
                </c:pt>
                <c:pt idx="35">
                  <c:v>85.383899999999997</c:v>
                </c:pt>
                <c:pt idx="36">
                  <c:v>85.589370000000002</c:v>
                </c:pt>
                <c:pt idx="37">
                  <c:v>73.084879999999998</c:v>
                </c:pt>
                <c:pt idx="38">
                  <c:v>75.436800000000005</c:v>
                </c:pt>
                <c:pt idx="39">
                  <c:v>84.137190000000004</c:v>
                </c:pt>
                <c:pt idx="40">
                  <c:v>81.294970000000006</c:v>
                </c:pt>
                <c:pt idx="41">
                  <c:v>74.32978</c:v>
                </c:pt>
                <c:pt idx="42">
                  <c:v>71.554130000000001</c:v>
                </c:pt>
                <c:pt idx="43">
                  <c:v>92.418300000000002</c:v>
                </c:pt>
                <c:pt idx="44">
                  <c:v>72.611469999999997</c:v>
                </c:pt>
                <c:pt idx="45">
                  <c:v>74.406750000000002</c:v>
                </c:pt>
                <c:pt idx="46">
                  <c:v>88.320390000000003</c:v>
                </c:pt>
                <c:pt idx="47">
                  <c:v>77.392039999999994</c:v>
                </c:pt>
                <c:pt idx="48">
                  <c:v>71.041120000000006</c:v>
                </c:pt>
                <c:pt idx="49">
                  <c:v>65.532290000000003</c:v>
                </c:pt>
                <c:pt idx="50">
                  <c:v>55.584409999999998</c:v>
                </c:pt>
                <c:pt idx="51">
                  <c:v>38.67841</c:v>
                </c:pt>
                <c:pt idx="52">
                  <c:v>46.210039999999999</c:v>
                </c:pt>
                <c:pt idx="53">
                  <c:v>85.035960000000003</c:v>
                </c:pt>
                <c:pt idx="54">
                  <c:v>83.17747</c:v>
                </c:pt>
                <c:pt idx="55">
                  <c:v>78.605419999999995</c:v>
                </c:pt>
                <c:pt idx="56">
                  <c:v>75.644999999999996</c:v>
                </c:pt>
                <c:pt idx="57">
                  <c:v>91.724000000000004</c:v>
                </c:pt>
                <c:pt idx="58">
                  <c:v>81.613979999999998</c:v>
                </c:pt>
                <c:pt idx="59">
                  <c:v>78.85266</c:v>
                </c:pt>
                <c:pt idx="60">
                  <c:v>79.390820000000005</c:v>
                </c:pt>
                <c:pt idx="61">
                  <c:v>78.82235</c:v>
                </c:pt>
                <c:pt idx="62">
                  <c:v>87.641959999999997</c:v>
                </c:pt>
                <c:pt idx="63">
                  <c:v>87.051810000000003</c:v>
                </c:pt>
                <c:pt idx="64">
                  <c:v>79.836330000000004</c:v>
                </c:pt>
                <c:pt idx="65">
                  <c:v>71.216340000000002</c:v>
                </c:pt>
                <c:pt idx="66">
                  <c:v>82.625609999999995</c:v>
                </c:pt>
                <c:pt idx="67">
                  <c:v>92.273700000000005</c:v>
                </c:pt>
                <c:pt idx="68">
                  <c:v>74.957120000000003</c:v>
                </c:pt>
                <c:pt idx="69">
                  <c:v>84.364260000000002</c:v>
                </c:pt>
                <c:pt idx="70">
                  <c:v>84.563190000000006</c:v>
                </c:pt>
                <c:pt idx="71">
                  <c:v>84.721029999999999</c:v>
                </c:pt>
                <c:pt idx="72">
                  <c:v>82.423209999999997</c:v>
                </c:pt>
                <c:pt idx="73">
                  <c:v>62.538069999999998</c:v>
                </c:pt>
                <c:pt idx="74">
                  <c:v>84.591520000000003</c:v>
                </c:pt>
                <c:pt idx="75">
                  <c:v>69.577060000000003</c:v>
                </c:pt>
                <c:pt idx="76">
                  <c:v>80.7119</c:v>
                </c:pt>
                <c:pt idx="77">
                  <c:v>57.824069999999999</c:v>
                </c:pt>
                <c:pt idx="78">
                  <c:v>73.024240000000006</c:v>
                </c:pt>
                <c:pt idx="79">
                  <c:v>66.701350000000005</c:v>
                </c:pt>
                <c:pt idx="80">
                  <c:v>66.145830000000004</c:v>
                </c:pt>
                <c:pt idx="81">
                  <c:v>63.213529999999999</c:v>
                </c:pt>
                <c:pt idx="82">
                  <c:v>62.108559999999997</c:v>
                </c:pt>
                <c:pt idx="83">
                  <c:v>91.262979999999999</c:v>
                </c:pt>
                <c:pt idx="84">
                  <c:v>88.849559999999997</c:v>
                </c:pt>
                <c:pt idx="85">
                  <c:v>85.548609999999996</c:v>
                </c:pt>
                <c:pt idx="86">
                  <c:v>85.826089999999994</c:v>
                </c:pt>
                <c:pt idx="87">
                  <c:v>82.005369999999999</c:v>
                </c:pt>
                <c:pt idx="88">
                  <c:v>82.273949999999999</c:v>
                </c:pt>
                <c:pt idx="89">
                  <c:v>88.026820000000001</c:v>
                </c:pt>
                <c:pt idx="90">
                  <c:v>94.464699999999993</c:v>
                </c:pt>
                <c:pt idx="91">
                  <c:v>92.275170000000003</c:v>
                </c:pt>
                <c:pt idx="92">
                  <c:v>93.774919999999995</c:v>
                </c:pt>
                <c:pt idx="93">
                  <c:v>82.643550000000005</c:v>
                </c:pt>
                <c:pt idx="94">
                  <c:v>79.688190000000006</c:v>
                </c:pt>
                <c:pt idx="95">
                  <c:v>77.247990000000001</c:v>
                </c:pt>
                <c:pt idx="96">
                  <c:v>90.216220000000007</c:v>
                </c:pt>
                <c:pt idx="97">
                  <c:v>85.678319999999999</c:v>
                </c:pt>
                <c:pt idx="98">
                  <c:v>60.909089999999999</c:v>
                </c:pt>
                <c:pt idx="99">
                  <c:v>83.627110000000002</c:v>
                </c:pt>
                <c:pt idx="100">
                  <c:v>81.354699999999994</c:v>
                </c:pt>
                <c:pt idx="101">
                  <c:v>72.958439999999996</c:v>
                </c:pt>
                <c:pt idx="102">
                  <c:v>73.908580000000001</c:v>
                </c:pt>
                <c:pt idx="103">
                  <c:v>82.044470000000004</c:v>
                </c:pt>
                <c:pt idx="104">
                  <c:v>81.586429999999993</c:v>
                </c:pt>
                <c:pt idx="105">
                  <c:v>69.912880000000001</c:v>
                </c:pt>
                <c:pt idx="106">
                  <c:v>76.740939999999995</c:v>
                </c:pt>
                <c:pt idx="107">
                  <c:v>78.871799999999993</c:v>
                </c:pt>
                <c:pt idx="108">
                  <c:v>91.863259999999997</c:v>
                </c:pt>
                <c:pt idx="109">
                  <c:v>91.61054</c:v>
                </c:pt>
                <c:pt idx="110">
                  <c:v>79.505300000000005</c:v>
                </c:pt>
                <c:pt idx="111">
                  <c:v>66.188339999999997</c:v>
                </c:pt>
                <c:pt idx="112">
                  <c:v>72.783690000000007</c:v>
                </c:pt>
                <c:pt idx="113">
                  <c:v>71.543270000000007</c:v>
                </c:pt>
                <c:pt idx="114">
                  <c:v>63.44464</c:v>
                </c:pt>
                <c:pt idx="115">
                  <c:v>65.706810000000004</c:v>
                </c:pt>
                <c:pt idx="116">
                  <c:v>85.227270000000004</c:v>
                </c:pt>
                <c:pt idx="117">
                  <c:v>72.188540000000003</c:v>
                </c:pt>
                <c:pt idx="118">
                  <c:v>74.600369999999998</c:v>
                </c:pt>
                <c:pt idx="119">
                  <c:v>43.096890000000002</c:v>
                </c:pt>
                <c:pt idx="120">
                  <c:v>66.365520000000004</c:v>
                </c:pt>
                <c:pt idx="121">
                  <c:v>59.727310000000003</c:v>
                </c:pt>
                <c:pt idx="122">
                  <c:v>67.350399999999993</c:v>
                </c:pt>
                <c:pt idx="123">
                  <c:v>55.622309999999999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47A9-491E-BDFD-6526D296E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0582456"/>
        <c:axId val="270582848"/>
      </c:scatterChart>
      <c:valAx>
        <c:axId val="270582456"/>
        <c:scaling>
          <c:orientation val="minMax"/>
          <c:max val="0.60000000000000009"/>
          <c:min val="0.35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582848"/>
        <c:crosses val="autoZero"/>
        <c:crossBetween val="midCat"/>
      </c:valAx>
      <c:valAx>
        <c:axId val="270582848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 Unfair or Very Unfair</a:t>
                </a:r>
              </a:p>
            </c:rich>
          </c:tx>
          <c:layout>
            <c:manualLayout>
              <c:xMode val="edge"/>
              <c:yMode val="edge"/>
              <c:x val="1.5713035870516187E-3"/>
              <c:y val="0.166216827063283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317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582456"/>
        <c:crosses val="autoZero"/>
        <c:crossBetween val="midCat"/>
      </c:valAx>
      <c:spPr>
        <a:noFill/>
        <a:ln>
          <a:solidFill>
            <a:sysClr val="windowText" lastClr="000000">
              <a:lumMod val="50000"/>
              <a:lumOff val="50000"/>
            </a:sys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8396421938349661E-2"/>
          <c:y val="3.4749242203310444E-2"/>
          <c:w val="0.85275935152515547"/>
          <c:h val="0.88072218245446587"/>
        </c:manualLayout>
      </c:layout>
      <c:lineChart>
        <c:grouping val="standard"/>
        <c:varyColors val="0"/>
        <c:ser>
          <c:idx val="1"/>
          <c:order val="0"/>
          <c:tx>
            <c:strRef>
              <c:f>Fig4b!$E$2</c:f>
              <c:strCache>
                <c:ptCount val="1"/>
                <c:pt idx="0">
                  <c:v> Unfair or Very Unfair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75-47B3-BADE-4B503500C532}"/>
              </c:ext>
            </c:extLst>
          </c:dPt>
          <c:cat>
            <c:numRef>
              <c:f>Fig4b!$B$3:$B$21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Fig4b!$E$3:$E$21</c:f>
              <c:numCache>
                <c:formatCode>0.00</c:formatCode>
                <c:ptCount val="19"/>
                <c:pt idx="0">
                  <c:v>80.390069999999994</c:v>
                </c:pt>
                <c:pt idx="4">
                  <c:v>88.869709999999998</c:v>
                </c:pt>
                <c:pt idx="5">
                  <c:v>86.606800000000007</c:v>
                </c:pt>
                <c:pt idx="10">
                  <c:v>77.753230000000002</c:v>
                </c:pt>
                <c:pt idx="12">
                  <c:v>77.851070000000007</c:v>
                </c:pt>
                <c:pt idx="13">
                  <c:v>77.948580000000007</c:v>
                </c:pt>
                <c:pt idx="14">
                  <c:v>79.455070000000006</c:v>
                </c:pt>
                <c:pt idx="16">
                  <c:v>72.909949999999995</c:v>
                </c:pt>
                <c:pt idx="18">
                  <c:v>75.084630000000004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75-47B3-BADE-4B503500C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83632"/>
        <c:axId val="270584024"/>
      </c:lineChart>
      <c:lineChart>
        <c:grouping val="standard"/>
        <c:varyColors val="0"/>
        <c:ser>
          <c:idx val="0"/>
          <c:order val="1"/>
          <c:tx>
            <c:strRef>
              <c:f>Fig4b!$F$2</c:f>
              <c:strCache>
                <c:ptCount val="1"/>
                <c:pt idx="0">
                  <c:v> Gini 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val>
            <c:numRef>
              <c:f>Fig4b!$F$3:$F$21</c:f>
              <c:numCache>
                <c:formatCode>0.00</c:formatCode>
                <c:ptCount val="19"/>
                <c:pt idx="0">
                  <c:v>0.54566875000000004</c:v>
                </c:pt>
                <c:pt idx="4">
                  <c:v>0.53624685999999999</c:v>
                </c:pt>
                <c:pt idx="5">
                  <c:v>0.53747915999999996</c:v>
                </c:pt>
                <c:pt idx="10">
                  <c:v>0.50623315000000002</c:v>
                </c:pt>
                <c:pt idx="12">
                  <c:v>0.48962708999999999</c:v>
                </c:pt>
                <c:pt idx="13">
                  <c:v>0.48464447999999999</c:v>
                </c:pt>
                <c:pt idx="14">
                  <c:v>0.48130264</c:v>
                </c:pt>
                <c:pt idx="16">
                  <c:v>0.47656148999999998</c:v>
                </c:pt>
                <c:pt idx="18">
                  <c:v>0.46712735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75-47B3-BADE-4B503500C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84808"/>
        <c:axId val="270584416"/>
      </c:lineChart>
      <c:catAx>
        <c:axId val="27058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584024"/>
        <c:crosses val="autoZero"/>
        <c:auto val="1"/>
        <c:lblAlgn val="ctr"/>
        <c:lblOffset val="100"/>
        <c:noMultiLvlLbl val="0"/>
      </c:catAx>
      <c:valAx>
        <c:axId val="27058402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583632"/>
        <c:crosses val="autoZero"/>
        <c:crossBetween val="between"/>
        <c:majorUnit val="10"/>
      </c:valAx>
      <c:valAx>
        <c:axId val="270584416"/>
        <c:scaling>
          <c:orientation val="minMax"/>
          <c:min val="0.4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584808"/>
        <c:crosses val="max"/>
        <c:crossBetween val="between"/>
        <c:majorUnit val="5.000000000000001E-2"/>
      </c:valAx>
      <c:catAx>
        <c:axId val="270584808"/>
        <c:scaling>
          <c:orientation val="minMax"/>
        </c:scaling>
        <c:delete val="1"/>
        <c:axPos val="b"/>
        <c:majorTickMark val="out"/>
        <c:minorTickMark val="none"/>
        <c:tickLblPos val="nextTo"/>
        <c:crossAx val="270584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02712160979878"/>
          <c:y val="3.0260042775072278E-2"/>
          <c:w val="0.86100627594961032"/>
          <c:h val="0.79458285667312867"/>
        </c:manualLayout>
      </c:layout>
      <c:lineChart>
        <c:grouping val="standard"/>
        <c:varyColors val="0"/>
        <c:ser>
          <c:idx val="0"/>
          <c:order val="0"/>
          <c:tx>
            <c:strRef>
              <c:f>'Fig5'!$C$2</c:f>
              <c:strCache>
                <c:ptCount val="1"/>
                <c:pt idx="0">
                  <c:v> 18-24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C0-4A29-9E73-BD272333CE5F}"/>
              </c:ext>
            </c:extLst>
          </c:dPt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'Fig5'!$C$3:$C$21</c:f>
              <c:numCache>
                <c:formatCode>_(* #,##0.00_);_(* \(#,##0.00\);_(* "-"??_);_(@_)</c:formatCode>
                <c:ptCount val="19"/>
                <c:pt idx="0">
                  <c:v>79.995687000000004</c:v>
                </c:pt>
                <c:pt idx="4">
                  <c:v>86.419657000000001</c:v>
                </c:pt>
                <c:pt idx="5">
                  <c:v>83.822205000000011</c:v>
                </c:pt>
                <c:pt idx="11">
                  <c:v>75.642606999999998</c:v>
                </c:pt>
                <c:pt idx="12">
                  <c:v>75.606471999999997</c:v>
                </c:pt>
                <c:pt idx="13">
                  <c:v>75.345437000000004</c:v>
                </c:pt>
                <c:pt idx="14">
                  <c:v>76.004722999999998</c:v>
                </c:pt>
                <c:pt idx="16">
                  <c:v>69.700099999999992</c:v>
                </c:pt>
                <c:pt idx="18">
                  <c:v>73.113595000000004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C0-4A29-9E73-BD272333CE5F}"/>
            </c:ext>
          </c:extLst>
        </c:ser>
        <c:ser>
          <c:idx val="1"/>
          <c:order val="1"/>
          <c:tx>
            <c:strRef>
              <c:f>'Fig5'!$D$2</c:f>
              <c:strCache>
                <c:ptCount val="1"/>
                <c:pt idx="0">
                  <c:v> 25-40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8C0-4A29-9E73-BD272333CE5F}"/>
              </c:ext>
            </c:extLst>
          </c:dPt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'Fig5'!$D$3:$D$21</c:f>
              <c:numCache>
                <c:formatCode>_(* #,##0.00_);_(* \(#,##0.00\);_(* "-"??_);_(@_)</c:formatCode>
                <c:ptCount val="19"/>
                <c:pt idx="0">
                  <c:v>79.997158999999996</c:v>
                </c:pt>
                <c:pt idx="4">
                  <c:v>89.348585</c:v>
                </c:pt>
                <c:pt idx="5">
                  <c:v>86.855999999999995</c:v>
                </c:pt>
                <c:pt idx="11">
                  <c:v>78.227128999999991</c:v>
                </c:pt>
                <c:pt idx="12">
                  <c:v>78.149146999999999</c:v>
                </c:pt>
                <c:pt idx="13">
                  <c:v>78.91923899999999</c:v>
                </c:pt>
                <c:pt idx="14">
                  <c:v>80.145009999999999</c:v>
                </c:pt>
                <c:pt idx="16">
                  <c:v>73.490540999999993</c:v>
                </c:pt>
                <c:pt idx="18">
                  <c:v>74.614304000000004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8C0-4A29-9E73-BD272333CE5F}"/>
            </c:ext>
          </c:extLst>
        </c:ser>
        <c:ser>
          <c:idx val="2"/>
          <c:order val="2"/>
          <c:tx>
            <c:strRef>
              <c:f>'Fig5'!$E$2</c:f>
              <c:strCache>
                <c:ptCount val="1"/>
                <c:pt idx="0">
                  <c:v> 41-64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'Fig5'!$E$3:$E$21</c:f>
              <c:numCache>
                <c:formatCode>_(* #,##0.00_);_(* \(#,##0.00\);_(* "-"??_);_(@_)</c:formatCode>
                <c:ptCount val="19"/>
                <c:pt idx="0">
                  <c:v>80.762372999999997</c:v>
                </c:pt>
                <c:pt idx="4">
                  <c:v>90.281579999999991</c:v>
                </c:pt>
                <c:pt idx="5">
                  <c:v>88.557156000000006</c:v>
                </c:pt>
                <c:pt idx="11">
                  <c:v>78.987487000000002</c:v>
                </c:pt>
                <c:pt idx="12">
                  <c:v>78.628555000000006</c:v>
                </c:pt>
                <c:pt idx="13">
                  <c:v>78.079686999999993</c:v>
                </c:pt>
                <c:pt idx="14">
                  <c:v>80.564804999999993</c:v>
                </c:pt>
                <c:pt idx="16">
                  <c:v>74.402009000000007</c:v>
                </c:pt>
                <c:pt idx="18">
                  <c:v>77.348819000000006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8C0-4A29-9E73-BD272333CE5F}"/>
            </c:ext>
          </c:extLst>
        </c:ser>
        <c:ser>
          <c:idx val="3"/>
          <c:order val="3"/>
          <c:tx>
            <c:strRef>
              <c:f>'Fig5'!$F$2</c:f>
              <c:strCache>
                <c:ptCount val="1"/>
                <c:pt idx="0">
                  <c:v> 65+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'Fig5'!$F$3:$F$21</c:f>
              <c:numCache>
                <c:formatCode>_(* #,##0.00_);_(* \(#,##0.00\);_(* "-"??_);_(@_)</c:formatCode>
                <c:ptCount val="19"/>
                <c:pt idx="0">
                  <c:v>84.155242999999999</c:v>
                </c:pt>
                <c:pt idx="4">
                  <c:v>89.193924999999993</c:v>
                </c:pt>
                <c:pt idx="5">
                  <c:v>86.511872999999994</c:v>
                </c:pt>
                <c:pt idx="11">
                  <c:v>76.793695999999997</c:v>
                </c:pt>
                <c:pt idx="12">
                  <c:v>78.659948</c:v>
                </c:pt>
                <c:pt idx="13">
                  <c:v>78.780118000000002</c:v>
                </c:pt>
                <c:pt idx="14">
                  <c:v>79.880309000000011</c:v>
                </c:pt>
                <c:pt idx="16">
                  <c:v>73.474797999999993</c:v>
                </c:pt>
                <c:pt idx="18">
                  <c:v>75.369001999999995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8C0-4A29-9E73-BD272333C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85592"/>
        <c:axId val="270585984"/>
      </c:lineChart>
      <c:catAx>
        <c:axId val="27058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585984"/>
        <c:crosses val="autoZero"/>
        <c:auto val="1"/>
        <c:lblAlgn val="ctr"/>
        <c:lblOffset val="100"/>
        <c:noMultiLvlLbl val="0"/>
      </c:catAx>
      <c:valAx>
        <c:axId val="27058598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48946139545056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58559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779454651501897"/>
          <c:y val="3.5073818897637797E-2"/>
          <c:w val="0.62632072032662589"/>
          <c:h val="0.184447178477690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02712160979878"/>
          <c:y val="3.0260042775072278E-2"/>
          <c:w val="0.86100627594961032"/>
          <c:h val="0.79458285667312867"/>
        </c:manualLayout>
      </c:layout>
      <c:lineChart>
        <c:grouping val="standard"/>
        <c:varyColors val="0"/>
        <c:ser>
          <c:idx val="0"/>
          <c:order val="0"/>
          <c:tx>
            <c:strRef>
              <c:f>'Fig5'!$I$2</c:f>
              <c:strCache>
                <c:ptCount val="1"/>
                <c:pt idx="0">
                  <c:v> Less than Primary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1D-4288-8DE5-F015EE0A4FA2}"/>
              </c:ext>
            </c:extLst>
          </c:dPt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'Fig5'!$I$3:$I$21</c:f>
              <c:numCache>
                <c:formatCode>_(* #,##0.00_);_(* \(#,##0.00\);_(* "-"??_);_(@_)</c:formatCode>
                <c:ptCount val="19"/>
                <c:pt idx="0">
                  <c:v>81.948172</c:v>
                </c:pt>
                <c:pt idx="4">
                  <c:v>88.411320000000003</c:v>
                </c:pt>
                <c:pt idx="5">
                  <c:v>86.995268999999993</c:v>
                </c:pt>
                <c:pt idx="11">
                  <c:v>77.296756000000002</c:v>
                </c:pt>
                <c:pt idx="12">
                  <c:v>76.659176000000002</c:v>
                </c:pt>
                <c:pt idx="13">
                  <c:v>78.338312000000002</c:v>
                </c:pt>
                <c:pt idx="14">
                  <c:v>80.809550999999999</c:v>
                </c:pt>
                <c:pt idx="16">
                  <c:v>73.354649999999992</c:v>
                </c:pt>
                <c:pt idx="18">
                  <c:v>76.021299999999997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1D-4288-8DE5-F015EE0A4FA2}"/>
            </c:ext>
          </c:extLst>
        </c:ser>
        <c:ser>
          <c:idx val="1"/>
          <c:order val="1"/>
          <c:tx>
            <c:strRef>
              <c:f>'Fig5'!$J$2</c:f>
              <c:strCache>
                <c:ptCount val="1"/>
                <c:pt idx="0">
                  <c:v> Complete Primary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DA1D-4288-8DE5-F015EE0A4FA2}"/>
              </c:ext>
            </c:extLst>
          </c:dPt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'Fig5'!$J$3:$J$21</c:f>
              <c:numCache>
                <c:formatCode>_(* #,##0.00_);_(* \(#,##0.00\);_(* "-"??_);_(@_)</c:formatCode>
                <c:ptCount val="19"/>
                <c:pt idx="0">
                  <c:v>80.97505000000001</c:v>
                </c:pt>
                <c:pt idx="4">
                  <c:v>88.528540000000007</c:v>
                </c:pt>
                <c:pt idx="5">
                  <c:v>85.999650000000003</c:v>
                </c:pt>
                <c:pt idx="11">
                  <c:v>77.584600000000009</c:v>
                </c:pt>
                <c:pt idx="12">
                  <c:v>78.354146999999998</c:v>
                </c:pt>
                <c:pt idx="13">
                  <c:v>77.768523999999999</c:v>
                </c:pt>
                <c:pt idx="14">
                  <c:v>78.490051000000008</c:v>
                </c:pt>
                <c:pt idx="16">
                  <c:v>72.724763999999993</c:v>
                </c:pt>
                <c:pt idx="18">
                  <c:v>74.643186999999998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1D-4288-8DE5-F015EE0A4FA2}"/>
            </c:ext>
          </c:extLst>
        </c:ser>
        <c:ser>
          <c:idx val="2"/>
          <c:order val="2"/>
          <c:tx>
            <c:strRef>
              <c:f>'Fig5'!$K$2</c:f>
              <c:strCache>
                <c:ptCount val="1"/>
                <c:pt idx="0">
                  <c:v> Complete Secondary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'Fig5'!$K$3:$K$21</c:f>
              <c:numCache>
                <c:formatCode>_(* #,##0.00_);_(* \(#,##0.00\);_(* "-"??_);_(@_)</c:formatCode>
                <c:ptCount val="19"/>
                <c:pt idx="0">
                  <c:v>81.203034000000002</c:v>
                </c:pt>
                <c:pt idx="4">
                  <c:v>90.402914999999993</c:v>
                </c:pt>
                <c:pt idx="5">
                  <c:v>88.854792000000003</c:v>
                </c:pt>
                <c:pt idx="11">
                  <c:v>79.735293999999996</c:v>
                </c:pt>
                <c:pt idx="12">
                  <c:v>77.786152000000001</c:v>
                </c:pt>
                <c:pt idx="13">
                  <c:v>77.013451000000003</c:v>
                </c:pt>
                <c:pt idx="14">
                  <c:v>78.744664</c:v>
                </c:pt>
                <c:pt idx="16">
                  <c:v>73.605366000000004</c:v>
                </c:pt>
                <c:pt idx="18">
                  <c:v>74.673173000000006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1D-4288-8DE5-F015EE0A4FA2}"/>
            </c:ext>
          </c:extLst>
        </c:ser>
        <c:ser>
          <c:idx val="3"/>
          <c:order val="3"/>
          <c:tx>
            <c:strRef>
              <c:f>'Fig5'!$L$2</c:f>
              <c:strCache>
                <c:ptCount val="1"/>
                <c:pt idx="0">
                  <c:v> Complete Tertiary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'Fig5'!$L$3:$L$21</c:f>
              <c:numCache>
                <c:formatCode>_(* #,##0.00_);_(* \(#,##0.00\);_(* "-"??_);_(@_)</c:formatCode>
                <c:ptCount val="19"/>
                <c:pt idx="0">
                  <c:v>77.871672000000004</c:v>
                </c:pt>
                <c:pt idx="4">
                  <c:v>91.215444999999988</c:v>
                </c:pt>
                <c:pt idx="5">
                  <c:v>89.395166000000003</c:v>
                </c:pt>
                <c:pt idx="11">
                  <c:v>80.606464000000003</c:v>
                </c:pt>
                <c:pt idx="12">
                  <c:v>80.252566999999999</c:v>
                </c:pt>
                <c:pt idx="13">
                  <c:v>77.825896</c:v>
                </c:pt>
                <c:pt idx="14">
                  <c:v>80.874221000000006</c:v>
                </c:pt>
                <c:pt idx="16">
                  <c:v>75.466129000000009</c:v>
                </c:pt>
                <c:pt idx="18">
                  <c:v>76.811977999999996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1D-4288-8DE5-F015EE0A4F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81672"/>
        <c:axId val="270581280"/>
      </c:lineChart>
      <c:catAx>
        <c:axId val="270581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581280"/>
        <c:crosses val="autoZero"/>
        <c:auto val="1"/>
        <c:lblAlgn val="ctr"/>
        <c:lblOffset val="100"/>
        <c:noMultiLvlLbl val="0"/>
      </c:catAx>
      <c:valAx>
        <c:axId val="270581280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48946139545056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58167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6501676873724118"/>
          <c:y val="0"/>
          <c:w val="0.52909849810440357"/>
          <c:h val="0.316391622922134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02712160979878"/>
          <c:y val="3.0260042775072278E-2"/>
          <c:w val="0.86100627594961032"/>
          <c:h val="0.79458285667312867"/>
        </c:manualLayout>
      </c:layout>
      <c:lineChart>
        <c:grouping val="standard"/>
        <c:varyColors val="0"/>
        <c:ser>
          <c:idx val="0"/>
          <c:order val="0"/>
          <c:tx>
            <c:strRef>
              <c:f>'Fig5'!$O$2</c:f>
              <c:strCache>
                <c:ptCount val="1"/>
                <c:pt idx="0">
                  <c:v> Females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57-4A43-B852-3A4F57F6B703}"/>
              </c:ext>
            </c:extLst>
          </c:dPt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'Fig5'!$O$3:$O$21</c:f>
              <c:numCache>
                <c:formatCode>_(* #,##0.00_);_(* \(#,##0.00\);_(* "-"??_);_(@_)</c:formatCode>
                <c:ptCount val="19"/>
                <c:pt idx="0">
                  <c:v>80.988665999999995</c:v>
                </c:pt>
                <c:pt idx="4">
                  <c:v>89.044743999999994</c:v>
                </c:pt>
                <c:pt idx="5">
                  <c:v>86.515649999999994</c:v>
                </c:pt>
                <c:pt idx="11">
                  <c:v>78.116998000000009</c:v>
                </c:pt>
                <c:pt idx="12">
                  <c:v>78.517917999999995</c:v>
                </c:pt>
                <c:pt idx="13">
                  <c:v>78.896540999999999</c:v>
                </c:pt>
                <c:pt idx="14">
                  <c:v>80.604292999999998</c:v>
                </c:pt>
                <c:pt idx="16">
                  <c:v>73.854361999999995</c:v>
                </c:pt>
                <c:pt idx="18">
                  <c:v>75.875060000000005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57-4A43-B852-3A4F57F6B703}"/>
            </c:ext>
          </c:extLst>
        </c:ser>
        <c:ser>
          <c:idx val="1"/>
          <c:order val="1"/>
          <c:tx>
            <c:strRef>
              <c:f>'Fig5'!$P$2</c:f>
              <c:strCache>
                <c:ptCount val="1"/>
                <c:pt idx="0">
                  <c:v> Males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957-4A43-B852-3A4F57F6B703}"/>
              </c:ext>
            </c:extLst>
          </c:dPt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'Fig5'!$P$3:$P$21</c:f>
              <c:numCache>
                <c:formatCode>_(* #,##0.00_);_(* \(#,##0.00\);_(* "-"??_);_(@_)</c:formatCode>
                <c:ptCount val="19"/>
                <c:pt idx="0">
                  <c:v>79.773455999999996</c:v>
                </c:pt>
                <c:pt idx="4">
                  <c:v>88.706262000000009</c:v>
                </c:pt>
                <c:pt idx="5">
                  <c:v>86.683240999999995</c:v>
                </c:pt>
                <c:pt idx="11">
                  <c:v>77.374377999999993</c:v>
                </c:pt>
                <c:pt idx="12">
                  <c:v>77.16372299999999</c:v>
                </c:pt>
                <c:pt idx="13">
                  <c:v>76.977158000000003</c:v>
                </c:pt>
                <c:pt idx="14">
                  <c:v>78.258538000000001</c:v>
                </c:pt>
                <c:pt idx="16">
                  <c:v>71.915323000000001</c:v>
                </c:pt>
                <c:pt idx="18">
                  <c:v>74.269975000000002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957-4A43-B852-3A4F57F6B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82064"/>
        <c:axId val="270580496"/>
      </c:lineChart>
      <c:catAx>
        <c:axId val="27058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580496"/>
        <c:crosses val="autoZero"/>
        <c:auto val="1"/>
        <c:lblAlgn val="ctr"/>
        <c:lblOffset val="100"/>
        <c:noMultiLvlLbl val="0"/>
      </c:catAx>
      <c:valAx>
        <c:axId val="270580496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48946139545056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582064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6779454651501897"/>
          <c:y val="3.5073818897637797E-2"/>
          <c:w val="0.62632072032662589"/>
          <c:h val="0.142780511811023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02712160979878"/>
          <c:y val="3.0260042775072278E-2"/>
          <c:w val="0.86100627594961032"/>
          <c:h val="0.79458285667312867"/>
        </c:manualLayout>
      </c:layout>
      <c:lineChart>
        <c:grouping val="standard"/>
        <c:varyColors val="0"/>
        <c:ser>
          <c:idx val="0"/>
          <c:order val="0"/>
          <c:tx>
            <c:strRef>
              <c:f>'Fig5'!$S$2</c:f>
              <c:strCache>
                <c:ptCount val="1"/>
                <c:pt idx="0">
                  <c:v> Employer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6E7-4FF4-AA50-58336826D29C}"/>
              </c:ext>
            </c:extLst>
          </c:dPt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'Fig5'!$S$3:$S$21</c:f>
              <c:numCache>
                <c:formatCode>_(* #,##0.00_);_(* \(#,##0.00\);_(* "-"??_);_(@_)</c:formatCode>
                <c:ptCount val="19"/>
                <c:pt idx="0">
                  <c:v>79.950642999999999</c:v>
                </c:pt>
                <c:pt idx="4">
                  <c:v>89.322752000000008</c:v>
                </c:pt>
                <c:pt idx="5">
                  <c:v>90.437393999999998</c:v>
                </c:pt>
                <c:pt idx="11">
                  <c:v>77.189726000000007</c:v>
                </c:pt>
                <c:pt idx="12">
                  <c:v>77.236523999999989</c:v>
                </c:pt>
                <c:pt idx="13">
                  <c:v>80.504812000000001</c:v>
                </c:pt>
                <c:pt idx="14">
                  <c:v>78.237469000000004</c:v>
                </c:pt>
                <c:pt idx="16">
                  <c:v>73.851133000000004</c:v>
                </c:pt>
                <c:pt idx="18">
                  <c:v>74.390512999999999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E7-4FF4-AA50-58336826D29C}"/>
            </c:ext>
          </c:extLst>
        </c:ser>
        <c:ser>
          <c:idx val="1"/>
          <c:order val="1"/>
          <c:tx>
            <c:strRef>
              <c:f>'Fig5'!$T$2</c:f>
              <c:strCache>
                <c:ptCount val="1"/>
                <c:pt idx="0">
                  <c:v> Employee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6E7-4FF4-AA50-58336826D29C}"/>
              </c:ext>
            </c:extLst>
          </c:dPt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'Fig5'!$T$3:$T$21</c:f>
              <c:numCache>
                <c:formatCode>_(* #,##0.00_);_(* \(#,##0.00\);_(* "-"??_);_(@_)</c:formatCode>
                <c:ptCount val="19"/>
                <c:pt idx="0">
                  <c:v>80.601230000000001</c:v>
                </c:pt>
                <c:pt idx="4">
                  <c:v>89.789024999999995</c:v>
                </c:pt>
                <c:pt idx="5">
                  <c:v>87.210194000000001</c:v>
                </c:pt>
                <c:pt idx="11">
                  <c:v>77.837672999999995</c:v>
                </c:pt>
                <c:pt idx="12">
                  <c:v>77.589825000000005</c:v>
                </c:pt>
                <c:pt idx="13">
                  <c:v>77.629990000000006</c:v>
                </c:pt>
                <c:pt idx="14">
                  <c:v>78.902963999999997</c:v>
                </c:pt>
                <c:pt idx="16">
                  <c:v>72.020234000000002</c:v>
                </c:pt>
                <c:pt idx="18">
                  <c:v>74.377744000000007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E7-4FF4-AA50-58336826D29C}"/>
            </c:ext>
          </c:extLst>
        </c:ser>
        <c:ser>
          <c:idx val="2"/>
          <c:order val="2"/>
          <c:tx>
            <c:strRef>
              <c:f>'Fig5'!$U$2</c:f>
              <c:strCache>
                <c:ptCount val="1"/>
                <c:pt idx="0">
                  <c:v>Self-Employed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'Fig5'!$U$3:$U$21</c:f>
              <c:numCache>
                <c:formatCode>_(* #,##0.00_);_(* \(#,##0.00\);_(* "-"??_);_(@_)</c:formatCode>
                <c:ptCount val="19"/>
                <c:pt idx="0">
                  <c:v>79.180558999999988</c:v>
                </c:pt>
                <c:pt idx="4">
                  <c:v>88.611321000000004</c:v>
                </c:pt>
                <c:pt idx="5">
                  <c:v>86.34030700000001</c:v>
                </c:pt>
                <c:pt idx="11">
                  <c:v>76.558554000000001</c:v>
                </c:pt>
                <c:pt idx="12">
                  <c:v>77.656452999999999</c:v>
                </c:pt>
                <c:pt idx="13">
                  <c:v>78.018067000000002</c:v>
                </c:pt>
                <c:pt idx="14">
                  <c:v>78.922623000000002</c:v>
                </c:pt>
                <c:pt idx="16">
                  <c:v>73.094014000000001</c:v>
                </c:pt>
                <c:pt idx="18">
                  <c:v>76.248154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6E7-4FF4-AA50-58336826D29C}"/>
            </c:ext>
          </c:extLst>
        </c:ser>
        <c:ser>
          <c:idx val="3"/>
          <c:order val="3"/>
          <c:tx>
            <c:strRef>
              <c:f>'Fig5'!$V$2</c:f>
              <c:strCache>
                <c:ptCount val="1"/>
                <c:pt idx="0">
                  <c:v> Unemployed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'Fig5'!$B$3:$B$21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'Fig5'!$V$3:$V$21</c:f>
              <c:numCache>
                <c:formatCode>_(* #,##0.00_);_(* \(#,##0.00\);_(* "-"??_);_(@_)</c:formatCode>
                <c:ptCount val="19"/>
                <c:pt idx="0">
                  <c:v>82.256940999999998</c:v>
                </c:pt>
                <c:pt idx="4">
                  <c:v>89.404089999999997</c:v>
                </c:pt>
                <c:pt idx="5">
                  <c:v>85.695162999999994</c:v>
                </c:pt>
                <c:pt idx="11">
                  <c:v>80.766166999999996</c:v>
                </c:pt>
                <c:pt idx="12">
                  <c:v>78.972774000000001</c:v>
                </c:pt>
                <c:pt idx="13">
                  <c:v>80.298821000000004</c:v>
                </c:pt>
                <c:pt idx="14">
                  <c:v>80.676726000000002</c:v>
                </c:pt>
                <c:pt idx="16">
                  <c:v>73.663313000000002</c:v>
                </c:pt>
                <c:pt idx="18">
                  <c:v>75.080169999999995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6E7-4FF4-AA50-58336826D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587552"/>
        <c:axId val="270587944"/>
      </c:lineChart>
      <c:catAx>
        <c:axId val="270587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587944"/>
        <c:crosses val="autoZero"/>
        <c:auto val="1"/>
        <c:lblAlgn val="ctr"/>
        <c:lblOffset val="100"/>
        <c:noMultiLvlLbl val="0"/>
      </c:catAx>
      <c:valAx>
        <c:axId val="270587944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48946139545056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058755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37204724409449"/>
          <c:y val="0"/>
          <c:w val="0.4503947944006999"/>
          <c:h val="0.344169400699912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ell MT" panose="02020503060305020303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9.7175853018372699E-2"/>
          <c:y val="3.025991542723826E-2"/>
          <c:w val="0.85295384951881004"/>
          <c:h val="0.87202641217125798"/>
        </c:manualLayout>
      </c:layout>
      <c:lineChart>
        <c:grouping val="standard"/>
        <c:varyColors val="0"/>
        <c:ser>
          <c:idx val="1"/>
          <c:order val="0"/>
          <c:tx>
            <c:strRef>
              <c:f>'Fig6'!$C$2</c:f>
              <c:strCache>
                <c:ptCount val="1"/>
                <c:pt idx="0">
                  <c:v>Very Unfair</c:v>
                </c:pt>
              </c:strCache>
            </c:strRef>
          </c:tx>
          <c:spPr>
            <a:ln w="28575" cap="rnd">
              <a:solidFill>
                <a:srgbClr val="C0504D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504D"/>
              </a:solidFill>
              <a:ln w="9525">
                <a:solidFill>
                  <a:srgbClr val="C0504D"/>
                </a:solidFill>
              </a:ln>
              <a:effectLst/>
            </c:spPr>
          </c:marker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0-22AA-4632-B755-3B49A51E340E}"/>
              </c:ext>
            </c:extLst>
          </c:dPt>
          <c:cat>
            <c:numRef>
              <c:f>'Fig6'!$B$3:$B$21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'Fig6'!$C$3:$C$21</c:f>
              <c:numCache>
                <c:formatCode>General</c:formatCode>
                <c:ptCount val="19"/>
                <c:pt idx="0" formatCode="0.00">
                  <c:v>28.757022857666016</c:v>
                </c:pt>
                <c:pt idx="4" formatCode="0.00">
                  <c:v>37.434867858886719</c:v>
                </c:pt>
                <c:pt idx="5" formatCode="0.00">
                  <c:v>33.083198547363281</c:v>
                </c:pt>
                <c:pt idx="10" formatCode="0.00">
                  <c:v>27.591503143310547</c:v>
                </c:pt>
                <c:pt idx="12" formatCode="0.00">
                  <c:v>24.425638198852539</c:v>
                </c:pt>
                <c:pt idx="13" formatCode="0.00">
                  <c:v>24.716573715209961</c:v>
                </c:pt>
                <c:pt idx="14" formatCode="0.00">
                  <c:v>24.469806671142578</c:v>
                </c:pt>
                <c:pt idx="16" formatCode="0.00">
                  <c:v>25.637388229370117</c:v>
                </c:pt>
                <c:pt idx="18" formatCode="0.00">
                  <c:v>25.82835578918457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AA-4632-B755-3B49A51E3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560768"/>
        <c:axId val="271561160"/>
      </c:lineChart>
      <c:lineChart>
        <c:grouping val="standard"/>
        <c:varyColors val="0"/>
        <c:ser>
          <c:idx val="0"/>
          <c:order val="1"/>
          <c:tx>
            <c:strRef>
              <c:f>'Fig6'!$D$2</c:f>
              <c:strCache>
                <c:ptCount val="1"/>
                <c:pt idx="0">
                  <c:v>Unfair</c:v>
                </c:pt>
              </c:strCache>
            </c:strRef>
          </c:tx>
          <c:spPr>
            <a:ln w="28575" cap="rnd">
              <a:solidFill>
                <a:srgbClr val="C0504D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rgbClr val="C0504D">
                  <a:lumMod val="40000"/>
                  <a:lumOff val="60000"/>
                </a:srgbClr>
              </a:solidFill>
              <a:ln w="9525">
                <a:solidFill>
                  <a:srgbClr val="C0504D">
                    <a:lumMod val="40000"/>
                    <a:lumOff val="60000"/>
                  </a:srgbClr>
                </a:solidFill>
              </a:ln>
              <a:effectLst/>
            </c:spPr>
          </c:marker>
          <c:cat>
            <c:numRef>
              <c:f>'Fig6'!$B$3:$B$21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'Fig6'!$D$3:$D$21</c:f>
              <c:numCache>
                <c:formatCode>General</c:formatCode>
                <c:ptCount val="19"/>
                <c:pt idx="0" formatCode="0.00">
                  <c:v>51.633045196533203</c:v>
                </c:pt>
                <c:pt idx="4" formatCode="0.00">
                  <c:v>51.434837341308594</c:v>
                </c:pt>
                <c:pt idx="5" formatCode="0.00">
                  <c:v>53.523593902587891</c:v>
                </c:pt>
                <c:pt idx="10" formatCode="0.00">
                  <c:v>50.161735534667969</c:v>
                </c:pt>
                <c:pt idx="12" formatCode="0.00">
                  <c:v>53.425437927246094</c:v>
                </c:pt>
                <c:pt idx="13" formatCode="0.00">
                  <c:v>53.232002258300781</c:v>
                </c:pt>
                <c:pt idx="14" formatCode="0.00">
                  <c:v>54.985263824462891</c:v>
                </c:pt>
                <c:pt idx="16" formatCode="0.00">
                  <c:v>47.272560119628906</c:v>
                </c:pt>
                <c:pt idx="18" formatCode="0.00">
                  <c:v>49.256275177001953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2AA-4632-B755-3B49A51E340E}"/>
            </c:ext>
          </c:extLst>
        </c:ser>
        <c:ser>
          <c:idx val="2"/>
          <c:order val="2"/>
          <c:tx>
            <c:strRef>
              <c:f>'Fig6'!$E$2</c:f>
              <c:strCache>
                <c:ptCount val="1"/>
                <c:pt idx="0">
                  <c:v>Fair</c:v>
                </c:pt>
              </c:strCache>
            </c:strRef>
          </c:tx>
          <c:spPr>
            <a:ln w="28575" cap="rnd">
              <a:solidFill>
                <a:srgbClr val="1F497D">
                  <a:lumMod val="20000"/>
                  <a:lumOff val="80000"/>
                </a:srgbClr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1F497D">
                  <a:lumMod val="20000"/>
                  <a:lumOff val="80000"/>
                </a:srgbClr>
              </a:solidFill>
              <a:ln w="9525">
                <a:solidFill>
                  <a:srgbClr val="1F497D">
                    <a:lumMod val="20000"/>
                    <a:lumOff val="80000"/>
                  </a:srgbClr>
                </a:solidFill>
              </a:ln>
              <a:effectLst/>
            </c:spPr>
          </c:marker>
          <c:cat>
            <c:numRef>
              <c:f>'Fig6'!$B$3:$B$21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'Fig6'!$E$3:$E$21</c:f>
              <c:numCache>
                <c:formatCode>General</c:formatCode>
                <c:ptCount val="19"/>
                <c:pt idx="0" formatCode="0.00">
                  <c:v>14.324299999999999</c:v>
                </c:pt>
                <c:pt idx="4" formatCode="0.00">
                  <c:v>9.4469799999999999</c:v>
                </c:pt>
                <c:pt idx="5" formatCode="0.00">
                  <c:v>11.283899999999999</c:v>
                </c:pt>
                <c:pt idx="10" formatCode="0.00">
                  <c:v>17.914300000000001</c:v>
                </c:pt>
                <c:pt idx="12" formatCode="0.00">
                  <c:v>19.534700000000001</c:v>
                </c:pt>
                <c:pt idx="13" formatCode="0.00">
                  <c:v>19.430800000000001</c:v>
                </c:pt>
                <c:pt idx="14" formatCode="0.00">
                  <c:v>18.173999999999999</c:v>
                </c:pt>
                <c:pt idx="16" formatCode="0.00">
                  <c:v>23.711400000000001</c:v>
                </c:pt>
                <c:pt idx="18" formatCode="0.00">
                  <c:v>22.657499999999999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AA-4632-B755-3B49A51E340E}"/>
            </c:ext>
          </c:extLst>
        </c:ser>
        <c:ser>
          <c:idx val="3"/>
          <c:order val="3"/>
          <c:tx>
            <c:strRef>
              <c:f>'Fig6'!$F$2</c:f>
              <c:strCache>
                <c:ptCount val="1"/>
                <c:pt idx="0">
                  <c:v>Very Fair</c:v>
                </c:pt>
              </c:strCache>
            </c:strRef>
          </c:tx>
          <c:spPr>
            <a:ln w="28575" cap="rnd">
              <a:solidFill>
                <a:srgbClr val="1F497D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1F497D"/>
              </a:solidFill>
              <a:ln w="9525">
                <a:solidFill>
                  <a:srgbClr val="1F497D"/>
                </a:solidFill>
              </a:ln>
              <a:effectLst/>
            </c:spPr>
          </c:marker>
          <c:cat>
            <c:numRef>
              <c:f>'Fig6'!$B$3:$B$21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'Fig6'!$F$3:$F$21</c:f>
              <c:numCache>
                <c:formatCode>0.00</c:formatCode>
                <c:ptCount val="19"/>
                <c:pt idx="0">
                  <c:v>5.2856199999999998</c:v>
                </c:pt>
                <c:pt idx="4">
                  <c:v>1.6833100000000005</c:v>
                </c:pt>
                <c:pt idx="5">
                  <c:v>2.1093499999999992</c:v>
                </c:pt>
                <c:pt idx="10">
                  <c:v>4.3324499999999979</c:v>
                </c:pt>
                <c:pt idx="12">
                  <c:v>2.6141800000000011</c:v>
                </c:pt>
                <c:pt idx="13">
                  <c:v>2.6205800000000004</c:v>
                </c:pt>
                <c:pt idx="14">
                  <c:v>2.3708999999999989</c:v>
                </c:pt>
                <c:pt idx="16">
                  <c:v>3.3786500000000004</c:v>
                </c:pt>
                <c:pt idx="18">
                  <c:v>2.2578999999999994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AA-4632-B755-3B49A51E34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561944"/>
        <c:axId val="271561552"/>
      </c:lineChart>
      <c:catAx>
        <c:axId val="27156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71561160"/>
        <c:crosses val="autoZero"/>
        <c:auto val="1"/>
        <c:lblAlgn val="ctr"/>
        <c:lblOffset val="100"/>
        <c:noMultiLvlLbl val="0"/>
      </c:catAx>
      <c:valAx>
        <c:axId val="27156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%</a:t>
                </a:r>
              </a:p>
            </c:rich>
          </c:tx>
          <c:layout>
            <c:manualLayout>
              <c:xMode val="edge"/>
              <c:yMode val="edge"/>
              <c:x val="1.1327635659357968E-2"/>
              <c:y val="0.4401401830501846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271560768"/>
        <c:crosses val="autoZero"/>
        <c:crossBetween val="between"/>
        <c:majorUnit val="20"/>
      </c:valAx>
      <c:valAx>
        <c:axId val="271561552"/>
        <c:scaling>
          <c:orientation val="minMax"/>
          <c:min val="0.4"/>
        </c:scaling>
        <c:delete val="1"/>
        <c:axPos val="r"/>
        <c:numFmt formatCode="0.00" sourceLinked="1"/>
        <c:majorTickMark val="out"/>
        <c:minorTickMark val="none"/>
        <c:tickLblPos val="nextTo"/>
        <c:crossAx val="271561944"/>
        <c:crosses val="max"/>
        <c:crossBetween val="between"/>
        <c:majorUnit val="5.000000000000001E-2"/>
      </c:valAx>
      <c:catAx>
        <c:axId val="271561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1561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2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2136920384952"/>
          <c:y val="2.9170822397200345E-2"/>
          <c:w val="0.8563823272090989"/>
          <c:h val="0.85121885928874974"/>
        </c:manualLayout>
      </c:layout>
      <c:scatterChart>
        <c:scatterStyle val="lineMarker"/>
        <c:varyColors val="0"/>
        <c:ser>
          <c:idx val="0"/>
          <c:order val="0"/>
          <c:tx>
            <c:strRef>
              <c:f>Fig7a!$D$2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5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E09-4FA9-A4D0-2B302D876A77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E09-4FA9-A4D0-2B302D876A77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E09-4FA9-A4D0-2B302D876A77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E09-4FA9-A4D0-2B302D876A77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E09-4FA9-A4D0-2B302D876A77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E09-4FA9-A4D0-2B302D876A77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E09-4FA9-A4D0-2B302D876A77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E09-4FA9-A4D0-2B302D876A77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E09-4FA9-A4D0-2B302D876A77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E09-4FA9-A4D0-2B302D876A77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E09-4FA9-A4D0-2B302D876A77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E09-4FA9-A4D0-2B302D876A77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E09-4FA9-A4D0-2B302D876A77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E09-4FA9-A4D0-2B302D876A77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E09-4FA9-A4D0-2B302D876A77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E09-4FA9-A4D0-2B302D876A77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4E09-4FA9-A4D0-2B302D876A77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4E09-4FA9-A4D0-2B302D876A77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4E09-4FA9-A4D0-2B302D876A77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4E09-4FA9-A4D0-2B302D876A77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4E09-4FA9-A4D0-2B302D876A77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4E09-4FA9-A4D0-2B302D876A77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4E09-4FA9-A4D0-2B302D876A77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00B05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4E09-4FA9-A4D0-2B302D876A7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C9F8CAB-0C9D-4472-9674-FB0E4E710E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E09-4FA9-A4D0-2B302D876A7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5247B99-1B9A-4D9F-B2C7-8B4239E96B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E09-4FA9-A4D0-2B302D876A7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85C4F7-8257-46F2-88F3-83BCCFB2C5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E09-4FA9-A4D0-2B302D876A7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D7129E9-CDCA-4C0C-854D-84415C876C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E09-4FA9-A4D0-2B302D876A7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36AD65D-2F51-4D55-9852-E66051FC32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E09-4FA9-A4D0-2B302D876A7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8BFC2D2-1649-46A2-A4B8-8E293A29B3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E09-4FA9-A4D0-2B302D876A7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C59774F-202F-44B1-8914-77B5D1EECB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E09-4FA9-A4D0-2B302D876A7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B5DA37D-FD5E-4D72-AC11-0EC69FF81D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E09-4FA9-A4D0-2B302D876A7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455366E-3775-4571-BE2C-ED8EA54E25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E09-4FA9-A4D0-2B302D876A7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825E7DC-9C3B-4447-998F-73415910FF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E09-4FA9-A4D0-2B302D876A7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E5EDAB4-D67C-4206-BF80-B6174AA9FB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E09-4FA9-A4D0-2B302D876A7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273D714-F9E4-4826-B000-CBF9CA60E8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E09-4FA9-A4D0-2B302D876A7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56AE709-79AE-4FEB-969A-820F093223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E09-4FA9-A4D0-2B302D876A7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C502CFE-754B-40A8-80E4-EA05FF67EA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E09-4FA9-A4D0-2B302D876A7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9B3D853-ABB1-4686-8748-A254EB857B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E09-4FA9-A4D0-2B302D876A77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567EB2B-51A5-47AF-80CC-3310272F4E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E09-4FA9-A4D0-2B302D876A7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55CFE5F-D3B6-4DF3-BDFC-283E8F403D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E09-4FA9-A4D0-2B302D876A7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3.0000000000000006E-2"/>
            <c:backward val="3.0000000000000006E-2"/>
            <c:dispRSqr val="0"/>
            <c:dispEq val="0"/>
          </c:trendline>
          <c:xVal>
            <c:numRef>
              <c:f>Fig7a!$T$3:$T$19</c:f>
              <c:numCache>
                <c:formatCode>_(* #,##0.00_);_(* \(#,##0.00\);_(* "-"??_);_(@_)</c:formatCode>
                <c:ptCount val="17"/>
                <c:pt idx="0">
                  <c:v>93.101282999999995</c:v>
                </c:pt>
                <c:pt idx="1">
                  <c:v>106.25109999999999</c:v>
                </c:pt>
                <c:pt idx="2">
                  <c:v>110.43559</c:v>
                </c:pt>
                <c:pt idx="3">
                  <c:v>123.73514</c:v>
                </c:pt>
                <c:pt idx="4">
                  <c:v>104.01599</c:v>
                </c:pt>
                <c:pt idx="5">
                  <c:v>103.47058</c:v>
                </c:pt>
                <c:pt idx="6">
                  <c:v>105.34493999999999</c:v>
                </c:pt>
                <c:pt idx="7">
                  <c:v>107.54549</c:v>
                </c:pt>
                <c:pt idx="8">
                  <c:v>85.947304000000003</c:v>
                </c:pt>
                <c:pt idx="9">
                  <c:v>83.739396999999997</c:v>
                </c:pt>
                <c:pt idx="10">
                  <c:v>99.529844999999995</c:v>
                </c:pt>
                <c:pt idx="11">
                  <c:v>127.55759</c:v>
                </c:pt>
                <c:pt idx="12">
                  <c:v>114.05432999999999</c:v>
                </c:pt>
                <c:pt idx="13">
                  <c:v>105.29304999999999</c:v>
                </c:pt>
                <c:pt idx="14">
                  <c:v>116.94574</c:v>
                </c:pt>
                <c:pt idx="15">
                  <c:v>95.495216999999997</c:v>
                </c:pt>
                <c:pt idx="16">
                  <c:v>110.99782999999999</c:v>
                </c:pt>
              </c:numCache>
            </c:numRef>
          </c:xVal>
          <c:yVal>
            <c:numRef>
              <c:f>Fig7a!$U$3:$U$19</c:f>
              <c:numCache>
                <c:formatCode>0.00</c:formatCode>
                <c:ptCount val="17"/>
                <c:pt idx="0">
                  <c:v>78.533159999999995</c:v>
                </c:pt>
                <c:pt idx="1">
                  <c:v>52.990659999999998</c:v>
                </c:pt>
                <c:pt idx="2">
                  <c:v>92.326530000000005</c:v>
                </c:pt>
                <c:pt idx="3">
                  <c:v>94.941569999999999</c:v>
                </c:pt>
                <c:pt idx="4">
                  <c:v>85.589370000000002</c:v>
                </c:pt>
                <c:pt idx="5">
                  <c:v>81.294970000000006</c:v>
                </c:pt>
                <c:pt idx="6">
                  <c:v>74.406750000000002</c:v>
                </c:pt>
                <c:pt idx="7">
                  <c:v>46.210039999999999</c:v>
                </c:pt>
                <c:pt idx="8">
                  <c:v>78.605419999999995</c:v>
                </c:pt>
                <c:pt idx="9">
                  <c:v>79.836330000000004</c:v>
                </c:pt>
                <c:pt idx="10">
                  <c:v>82.423209999999997</c:v>
                </c:pt>
                <c:pt idx="11">
                  <c:v>57.824069999999999</c:v>
                </c:pt>
                <c:pt idx="12">
                  <c:v>62.108559999999997</c:v>
                </c:pt>
                <c:pt idx="13">
                  <c:v>82.273949999999999</c:v>
                </c:pt>
                <c:pt idx="14">
                  <c:v>85.678319999999999</c:v>
                </c:pt>
                <c:pt idx="15">
                  <c:v>76.740939999999995</c:v>
                </c:pt>
                <c:pt idx="16">
                  <c:v>65.706810000000004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Fig7a!$R$3:$R$19</c15:f>
                <c15:dlblRangeCache>
                  <c:ptCount val="17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4E09-4FA9-A4D0-2B302D876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315000"/>
        <c:axId val="524315392"/>
      </c:scatterChart>
      <c:valAx>
        <c:axId val="524315000"/>
        <c:scaling>
          <c:orientation val="minMax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Gini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524315392"/>
        <c:crosses val="autoZero"/>
        <c:crossBetween val="midCat"/>
      </c:valAx>
      <c:valAx>
        <c:axId val="524315392"/>
        <c:scaling>
          <c:orientation val="minMax"/>
          <c:max val="100"/>
          <c:min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 sz="1000" b="0" i="0" baseline="0">
                    <a:effectLst/>
                  </a:rPr>
                  <a:t>% Unfair or Very Unfair</a:t>
                </a:r>
                <a:endParaRPr lang="en-US" sz="1000">
                  <a:effectLst/>
                </a:endParaRPr>
              </a:p>
            </c:rich>
          </c:tx>
          <c:layout>
            <c:manualLayout>
              <c:xMode val="edge"/>
              <c:yMode val="edge"/>
              <c:x val="1.5713632923295216E-3"/>
              <c:y val="0.254179654574988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317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524315000"/>
        <c:crosses val="autoZero"/>
        <c:crossBetween val="midCat"/>
      </c:valAx>
      <c:spPr>
        <a:noFill/>
        <a:ln>
          <a:solidFill>
            <a:sysClr val="windowText" lastClr="000000">
              <a:lumMod val="50000"/>
              <a:lumOff val="50000"/>
            </a:sys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307611548556431"/>
          <c:y val="2.9170676582093904E-2"/>
          <c:w val="0.8563823272090989"/>
          <c:h val="0.83733012540099172"/>
        </c:manualLayout>
      </c:layout>
      <c:scatterChart>
        <c:scatterStyle val="lineMarker"/>
        <c:varyColors val="0"/>
        <c:ser>
          <c:idx val="0"/>
          <c:order val="0"/>
          <c:tx>
            <c:strRef>
              <c:f>Fig7a!$D$2</c:f>
              <c:strCache>
                <c:ptCount val="1"/>
                <c:pt idx="0">
                  <c:v>Absolute Gini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00B0F0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9E7-482A-9337-FC64AAC7A6EB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9E7-482A-9337-FC64AAC7A6EB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9E7-482A-9337-FC64AAC7A6EB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9E7-482A-9337-FC64AAC7A6EB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9E7-482A-9337-FC64AAC7A6EB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9E7-482A-9337-FC64AAC7A6EB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C9E7-482A-9337-FC64AAC7A6EB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C9E7-482A-9337-FC64AAC7A6EB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C9E7-482A-9337-FC64AAC7A6EB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C9E7-482A-9337-FC64AAC7A6EB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C9E7-482A-9337-FC64AAC7A6EB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9E7-482A-9337-FC64AAC7A6EB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C9E7-482A-9337-FC64AAC7A6EB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C9E7-482A-9337-FC64AAC7A6EB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C9E7-482A-9337-FC64AAC7A6EB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C9E7-482A-9337-FC64AAC7A6EB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C9E7-482A-9337-FC64AAC7A6EB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C9E7-482A-9337-FC64AAC7A6EB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C9E7-482A-9337-FC64AAC7A6EB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C9E7-482A-9337-FC64AAC7A6EB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C9E7-482A-9337-FC64AAC7A6EB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C9E7-482A-9337-FC64AAC7A6EB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C9E7-482A-9337-FC64AAC7A6EB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00B0F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C9E7-482A-9337-FC64AAC7A6EB}"/>
              </c:ext>
            </c:extLst>
          </c:dPt>
          <c:trendline>
            <c:spPr>
              <a:ln w="19050" cap="rnd">
                <a:solidFill>
                  <a:srgbClr val="C0504D"/>
                </a:solidFill>
                <a:prstDash val="sysDot"/>
              </a:ln>
              <a:effectLst/>
            </c:spPr>
            <c:trendlineType val="linear"/>
            <c:backward val="3.0000000000000006E-2"/>
            <c:dispRSqr val="1"/>
            <c:dispEq val="1"/>
            <c:trendlineLbl>
              <c:layout>
                <c:manualLayout>
                  <c:x val="-0.41980555555555554"/>
                  <c:y val="0.3711978710994458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105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Bell MT" panose="02020503060305020303" pitchFamily="18" charset="0"/>
                        <a:ea typeface="+mn-ea"/>
                        <a:cs typeface="+mn-cs"/>
                      </a:defRPr>
                    </a:pPr>
                    <a:r>
                      <a:rPr lang="en-US" sz="1050" baseline="0"/>
                      <a:t>Unfairness = -0.24 Abs Gini + 102.9</a:t>
                    </a:r>
                    <a:br>
                      <a:rPr lang="en-US" sz="1050" baseline="0"/>
                    </a:br>
                    <a:r>
                      <a:rPr lang="en-US" sz="1050" baseline="0"/>
                      <a:t>R² = 0.04</a:t>
                    </a:r>
                    <a:endParaRPr lang="en-US" sz="1050"/>
                  </a:p>
                </c:rich>
              </c:tx>
              <c:numFmt formatCode="General" sourceLinked="0"/>
              <c:spPr>
                <a:solidFill>
                  <a:sysClr val="window" lastClr="FFFFFF"/>
                </a:solidFill>
                <a:ln>
                  <a:solidFill>
                    <a:sysClr val="window" lastClr="FFFFFF">
                      <a:lumMod val="85000"/>
                    </a:sysClr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Bell MT" panose="02020503060305020303" pitchFamily="18" charset="0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Fig7a!$D$3:$D$126</c:f>
              <c:numCache>
                <c:formatCode>0.00</c:formatCode>
                <c:ptCount val="124"/>
                <c:pt idx="0">
                  <c:v>97.203468000000001</c:v>
                </c:pt>
                <c:pt idx="1">
                  <c:v>100.84667</c:v>
                </c:pt>
                <c:pt idx="2">
                  <c:v>100.82579</c:v>
                </c:pt>
                <c:pt idx="3">
                  <c:v>106.47556</c:v>
                </c:pt>
                <c:pt idx="4">
                  <c:v>101.54722</c:v>
                </c:pt>
                <c:pt idx="5">
                  <c:v>93.101282999999995</c:v>
                </c:pt>
                <c:pt idx="6">
                  <c:v>99.547072</c:v>
                </c:pt>
                <c:pt idx="7">
                  <c:v>88.436081000000001</c:v>
                </c:pt>
                <c:pt idx="8">
                  <c:v>89.836106000000001</c:v>
                </c:pt>
                <c:pt idx="9">
                  <c:v>99.471558999999999</c:v>
                </c:pt>
                <c:pt idx="10">
                  <c:v>98.062417999999994</c:v>
                </c:pt>
                <c:pt idx="11">
                  <c:v>100.79937</c:v>
                </c:pt>
                <c:pt idx="12">
                  <c:v>117.5963</c:v>
                </c:pt>
                <c:pt idx="13">
                  <c:v>106.25109999999999</c:v>
                </c:pt>
                <c:pt idx="14">
                  <c:v>90.969897000000003</c:v>
                </c:pt>
                <c:pt idx="15">
                  <c:v>88.580033</c:v>
                </c:pt>
                <c:pt idx="16">
                  <c:v>88.953266999999997</c:v>
                </c:pt>
                <c:pt idx="17">
                  <c:v>95.331945000000005</c:v>
                </c:pt>
                <c:pt idx="18">
                  <c:v>100.76626</c:v>
                </c:pt>
                <c:pt idx="19">
                  <c:v>105.93178</c:v>
                </c:pt>
                <c:pt idx="20">
                  <c:v>119.03122</c:v>
                </c:pt>
                <c:pt idx="21">
                  <c:v>110.43559</c:v>
                </c:pt>
                <c:pt idx="22">
                  <c:v>110.38593</c:v>
                </c:pt>
                <c:pt idx="23">
                  <c:v>89.578145000000006</c:v>
                </c:pt>
                <c:pt idx="24">
                  <c:v>85.647926999999996</c:v>
                </c:pt>
                <c:pt idx="25">
                  <c:v>86.534575000000004</c:v>
                </c:pt>
                <c:pt idx="26">
                  <c:v>92.362655000000004</c:v>
                </c:pt>
                <c:pt idx="27">
                  <c:v>96.760579000000007</c:v>
                </c:pt>
                <c:pt idx="28">
                  <c:v>114.99505000000001</c:v>
                </c:pt>
                <c:pt idx="29">
                  <c:v>123.73514</c:v>
                </c:pt>
                <c:pt idx="30">
                  <c:v>85.624814999999998</c:v>
                </c:pt>
                <c:pt idx="31">
                  <c:v>92.772654000000003</c:v>
                </c:pt>
                <c:pt idx="32">
                  <c:v>97.917850000000001</c:v>
                </c:pt>
                <c:pt idx="33">
                  <c:v>103.26976999999999</c:v>
                </c:pt>
                <c:pt idx="34">
                  <c:v>106.2166</c:v>
                </c:pt>
                <c:pt idx="35">
                  <c:v>110.1823</c:v>
                </c:pt>
                <c:pt idx="36">
                  <c:v>104.01599</c:v>
                </c:pt>
                <c:pt idx="37">
                  <c:v>93.91592</c:v>
                </c:pt>
                <c:pt idx="38">
                  <c:v>97.070368000000002</c:v>
                </c:pt>
                <c:pt idx="39">
                  <c:v>105.54313999999999</c:v>
                </c:pt>
                <c:pt idx="40">
                  <c:v>103.47058</c:v>
                </c:pt>
                <c:pt idx="41">
                  <c:v>97.043296999999995</c:v>
                </c:pt>
                <c:pt idx="42">
                  <c:v>101.49663</c:v>
                </c:pt>
                <c:pt idx="43">
                  <c:v>98.606707</c:v>
                </c:pt>
                <c:pt idx="44">
                  <c:v>97.508427999999995</c:v>
                </c:pt>
                <c:pt idx="45">
                  <c:v>105.34493999999999</c:v>
                </c:pt>
                <c:pt idx="46">
                  <c:v>84.896395999999996</c:v>
                </c:pt>
                <c:pt idx="47">
                  <c:v>112.75785</c:v>
                </c:pt>
                <c:pt idx="48">
                  <c:v>90.941399000000004</c:v>
                </c:pt>
                <c:pt idx="49">
                  <c:v>99.440752000000003</c:v>
                </c:pt>
                <c:pt idx="50">
                  <c:v>95.882574000000005</c:v>
                </c:pt>
                <c:pt idx="51">
                  <c:v>108.53556</c:v>
                </c:pt>
                <c:pt idx="52">
                  <c:v>107.54549</c:v>
                </c:pt>
                <c:pt idx="53">
                  <c:v>122.38585</c:v>
                </c:pt>
                <c:pt idx="54">
                  <c:v>91.666838999999996</c:v>
                </c:pt>
                <c:pt idx="55">
                  <c:v>85.947304000000003</c:v>
                </c:pt>
                <c:pt idx="56">
                  <c:v>80.547578999999999</c:v>
                </c:pt>
                <c:pt idx="57">
                  <c:v>103.11606999999999</c:v>
                </c:pt>
                <c:pt idx="58">
                  <c:v>92.253657000000004</c:v>
                </c:pt>
                <c:pt idx="59">
                  <c:v>115.09672999999999</c:v>
                </c:pt>
                <c:pt idx="60">
                  <c:v>108.05403</c:v>
                </c:pt>
                <c:pt idx="61">
                  <c:v>110.62183</c:v>
                </c:pt>
                <c:pt idx="62">
                  <c:v>113.19783</c:v>
                </c:pt>
                <c:pt idx="63">
                  <c:v>93.372885999999994</c:v>
                </c:pt>
                <c:pt idx="64">
                  <c:v>83.739396999999997</c:v>
                </c:pt>
                <c:pt idx="65">
                  <c:v>85.741529999999997</c:v>
                </c:pt>
                <c:pt idx="66">
                  <c:v>104.03166</c:v>
                </c:pt>
                <c:pt idx="67">
                  <c:v>98.056796000000006</c:v>
                </c:pt>
                <c:pt idx="68">
                  <c:v>107.76916</c:v>
                </c:pt>
                <c:pt idx="69">
                  <c:v>107.37224000000001</c:v>
                </c:pt>
                <c:pt idx="70">
                  <c:v>92.990557999999993</c:v>
                </c:pt>
                <c:pt idx="71">
                  <c:v>104.50823</c:v>
                </c:pt>
                <c:pt idx="72">
                  <c:v>99.529844999999995</c:v>
                </c:pt>
                <c:pt idx="73">
                  <c:v>85.238924999999995</c:v>
                </c:pt>
                <c:pt idx="74">
                  <c:v>94.033325000000005</c:v>
                </c:pt>
                <c:pt idx="75">
                  <c:v>102.75623</c:v>
                </c:pt>
                <c:pt idx="76">
                  <c:v>90.413933999999998</c:v>
                </c:pt>
                <c:pt idx="77">
                  <c:v>127.55759</c:v>
                </c:pt>
                <c:pt idx="78">
                  <c:v>89.384133000000006</c:v>
                </c:pt>
                <c:pt idx="79">
                  <c:v>91.397105999999994</c:v>
                </c:pt>
                <c:pt idx="80">
                  <c:v>99.835403999999997</c:v>
                </c:pt>
                <c:pt idx="81">
                  <c:v>105.32901</c:v>
                </c:pt>
                <c:pt idx="82">
                  <c:v>114.05432999999999</c:v>
                </c:pt>
                <c:pt idx="83">
                  <c:v>97.129284999999996</c:v>
                </c:pt>
                <c:pt idx="84">
                  <c:v>96.984949</c:v>
                </c:pt>
                <c:pt idx="85">
                  <c:v>97.018345999999994</c:v>
                </c:pt>
                <c:pt idx="86">
                  <c:v>99.347838999999993</c:v>
                </c:pt>
                <c:pt idx="87">
                  <c:v>104.22654</c:v>
                </c:pt>
                <c:pt idx="88">
                  <c:v>105.29304999999999</c:v>
                </c:pt>
                <c:pt idx="89">
                  <c:v>108.55651</c:v>
                </c:pt>
                <c:pt idx="90">
                  <c:v>98.509833999999998</c:v>
                </c:pt>
                <c:pt idx="91">
                  <c:v>78.826409999999996</c:v>
                </c:pt>
                <c:pt idx="92">
                  <c:v>81.368748999999994</c:v>
                </c:pt>
                <c:pt idx="93">
                  <c:v>87.955355999999995</c:v>
                </c:pt>
                <c:pt idx="94">
                  <c:v>97.916708999999997</c:v>
                </c:pt>
                <c:pt idx="95">
                  <c:v>114.55126</c:v>
                </c:pt>
                <c:pt idx="96">
                  <c:v>115.36944</c:v>
                </c:pt>
                <c:pt idx="97">
                  <c:v>116.94574</c:v>
                </c:pt>
                <c:pt idx="98">
                  <c:v>102.05569</c:v>
                </c:pt>
                <c:pt idx="99">
                  <c:v>111.68770000000001</c:v>
                </c:pt>
                <c:pt idx="100">
                  <c:v>114.24684999999999</c:v>
                </c:pt>
                <c:pt idx="101">
                  <c:v>101.88834</c:v>
                </c:pt>
                <c:pt idx="102">
                  <c:v>98.086489</c:v>
                </c:pt>
                <c:pt idx="103">
                  <c:v>91.587800000000001</c:v>
                </c:pt>
                <c:pt idx="104">
                  <c:v>86.358491000000001</c:v>
                </c:pt>
                <c:pt idx="105">
                  <c:v>98.593442999999994</c:v>
                </c:pt>
                <c:pt idx="106">
                  <c:v>95.495216999999997</c:v>
                </c:pt>
                <c:pt idx="107">
                  <c:v>93.121898999999999</c:v>
                </c:pt>
                <c:pt idx="108">
                  <c:v>97.836039999999997</c:v>
                </c:pt>
                <c:pt idx="109">
                  <c:v>88.194996000000003</c:v>
                </c:pt>
                <c:pt idx="110">
                  <c:v>91.959834999999998</c:v>
                </c:pt>
                <c:pt idx="111">
                  <c:v>104.38672</c:v>
                </c:pt>
                <c:pt idx="112">
                  <c:v>104.05292</c:v>
                </c:pt>
                <c:pt idx="113">
                  <c:v>104.28457</c:v>
                </c:pt>
                <c:pt idx="114">
                  <c:v>105.16518000000001</c:v>
                </c:pt>
                <c:pt idx="115">
                  <c:v>110.99782999999999</c:v>
                </c:pt>
                <c:pt idx="116">
                  <c:v>98.452039999999997</c:v>
                </c:pt>
                <c:pt idx="117">
                  <c:v>91.727093999999994</c:v>
                </c:pt>
                <c:pt idx="118">
                  <c:v>78.084498999999994</c:v>
                </c:pt>
                <c:pt idx="119">
                  <c:v>110.79361</c:v>
                </c:pt>
                <c:pt idx="120">
                  <c:v>106.87178</c:v>
                </c:pt>
                <c:pt idx="121">
                  <c:v>98.440719999999999</c:v>
                </c:pt>
                <c:pt idx="122">
                  <c:v>99.570924000000005</c:v>
                </c:pt>
                <c:pt idx="123">
                  <c:v>116.05934000000001</c:v>
                </c:pt>
              </c:numCache>
            </c:numRef>
          </c:xVal>
          <c:yVal>
            <c:numRef>
              <c:f>Fig7a!$E$3:$E$126</c:f>
              <c:numCache>
                <c:formatCode>0.00</c:formatCode>
                <c:ptCount val="124"/>
                <c:pt idx="0">
                  <c:v>89.662819999999996</c:v>
                </c:pt>
                <c:pt idx="1">
                  <c:v>95.546229999999994</c:v>
                </c:pt>
                <c:pt idx="2">
                  <c:v>87.601699999999994</c:v>
                </c:pt>
                <c:pt idx="3">
                  <c:v>83.662099999999995</c:v>
                </c:pt>
                <c:pt idx="4">
                  <c:v>75.039439999999999</c:v>
                </c:pt>
                <c:pt idx="5">
                  <c:v>78.533159999999995</c:v>
                </c:pt>
                <c:pt idx="6">
                  <c:v>90.07732</c:v>
                </c:pt>
                <c:pt idx="7">
                  <c:v>91.390730000000005</c:v>
                </c:pt>
                <c:pt idx="8">
                  <c:v>86.814019999999999</c:v>
                </c:pt>
                <c:pt idx="9">
                  <c:v>68.598619999999997</c:v>
                </c:pt>
                <c:pt idx="10">
                  <c:v>63.668430000000001</c:v>
                </c:pt>
                <c:pt idx="11">
                  <c:v>78.10284</c:v>
                </c:pt>
                <c:pt idx="12">
                  <c:v>63.432839999999999</c:v>
                </c:pt>
                <c:pt idx="13">
                  <c:v>52.990659999999998</c:v>
                </c:pt>
                <c:pt idx="14">
                  <c:v>92.622960000000006</c:v>
                </c:pt>
                <c:pt idx="15">
                  <c:v>86.378039999999999</c:v>
                </c:pt>
                <c:pt idx="16">
                  <c:v>85.964910000000003</c:v>
                </c:pt>
                <c:pt idx="17">
                  <c:v>86.277869999999993</c:v>
                </c:pt>
                <c:pt idx="18">
                  <c:v>83.375960000000006</c:v>
                </c:pt>
                <c:pt idx="19">
                  <c:v>85.135140000000007</c:v>
                </c:pt>
                <c:pt idx="20">
                  <c:v>80.952380000000005</c:v>
                </c:pt>
                <c:pt idx="21">
                  <c:v>92.326530000000005</c:v>
                </c:pt>
                <c:pt idx="22">
                  <c:v>88.393770000000004</c:v>
                </c:pt>
                <c:pt idx="23">
                  <c:v>90.204470000000001</c:v>
                </c:pt>
                <c:pt idx="24">
                  <c:v>90.867090000000005</c:v>
                </c:pt>
                <c:pt idx="25">
                  <c:v>90.230310000000003</c:v>
                </c:pt>
                <c:pt idx="26">
                  <c:v>85.074929999999995</c:v>
                </c:pt>
                <c:pt idx="27">
                  <c:v>94.086110000000005</c:v>
                </c:pt>
                <c:pt idx="28">
                  <c:v>89.508210000000005</c:v>
                </c:pt>
                <c:pt idx="29">
                  <c:v>94.941569999999999</c:v>
                </c:pt>
                <c:pt idx="30">
                  <c:v>90.709680000000006</c:v>
                </c:pt>
                <c:pt idx="31">
                  <c:v>81.378489999999999</c:v>
                </c:pt>
                <c:pt idx="32">
                  <c:v>80.838480000000004</c:v>
                </c:pt>
                <c:pt idx="33">
                  <c:v>84.779049999999998</c:v>
                </c:pt>
                <c:pt idx="34">
                  <c:v>87.821979999999996</c:v>
                </c:pt>
                <c:pt idx="35">
                  <c:v>85.383899999999997</c:v>
                </c:pt>
                <c:pt idx="36">
                  <c:v>85.589370000000002</c:v>
                </c:pt>
                <c:pt idx="37">
                  <c:v>73.084879999999998</c:v>
                </c:pt>
                <c:pt idx="38">
                  <c:v>75.436800000000005</c:v>
                </c:pt>
                <c:pt idx="39">
                  <c:v>84.137190000000004</c:v>
                </c:pt>
                <c:pt idx="40">
                  <c:v>81.294970000000006</c:v>
                </c:pt>
                <c:pt idx="41">
                  <c:v>74.32978</c:v>
                </c:pt>
                <c:pt idx="42">
                  <c:v>71.554130000000001</c:v>
                </c:pt>
                <c:pt idx="43">
                  <c:v>92.418300000000002</c:v>
                </c:pt>
                <c:pt idx="44">
                  <c:v>72.611469999999997</c:v>
                </c:pt>
                <c:pt idx="45">
                  <c:v>74.406750000000002</c:v>
                </c:pt>
                <c:pt idx="46">
                  <c:v>88.320390000000003</c:v>
                </c:pt>
                <c:pt idx="47">
                  <c:v>77.392039999999994</c:v>
                </c:pt>
                <c:pt idx="48">
                  <c:v>71.041120000000006</c:v>
                </c:pt>
                <c:pt idx="49">
                  <c:v>65.532290000000003</c:v>
                </c:pt>
                <c:pt idx="50">
                  <c:v>55.584409999999998</c:v>
                </c:pt>
                <c:pt idx="51">
                  <c:v>38.67841</c:v>
                </c:pt>
                <c:pt idx="52">
                  <c:v>46.210039999999999</c:v>
                </c:pt>
                <c:pt idx="53">
                  <c:v>85.035960000000003</c:v>
                </c:pt>
                <c:pt idx="54">
                  <c:v>83.17747</c:v>
                </c:pt>
                <c:pt idx="55">
                  <c:v>78.605419999999995</c:v>
                </c:pt>
                <c:pt idx="56">
                  <c:v>75.644999999999996</c:v>
                </c:pt>
                <c:pt idx="57">
                  <c:v>91.724000000000004</c:v>
                </c:pt>
                <c:pt idx="58">
                  <c:v>81.613979999999998</c:v>
                </c:pt>
                <c:pt idx="59">
                  <c:v>78.85266</c:v>
                </c:pt>
                <c:pt idx="60">
                  <c:v>79.390820000000005</c:v>
                </c:pt>
                <c:pt idx="61">
                  <c:v>78.82235</c:v>
                </c:pt>
                <c:pt idx="62">
                  <c:v>87.641959999999997</c:v>
                </c:pt>
                <c:pt idx="63">
                  <c:v>87.051810000000003</c:v>
                </c:pt>
                <c:pt idx="64">
                  <c:v>79.836330000000004</c:v>
                </c:pt>
                <c:pt idx="65">
                  <c:v>71.216340000000002</c:v>
                </c:pt>
                <c:pt idx="66">
                  <c:v>82.625609999999995</c:v>
                </c:pt>
                <c:pt idx="67">
                  <c:v>92.273700000000005</c:v>
                </c:pt>
                <c:pt idx="68">
                  <c:v>74.957120000000003</c:v>
                </c:pt>
                <c:pt idx="69">
                  <c:v>84.364260000000002</c:v>
                </c:pt>
                <c:pt idx="70">
                  <c:v>84.563190000000006</c:v>
                </c:pt>
                <c:pt idx="71">
                  <c:v>84.721029999999999</c:v>
                </c:pt>
                <c:pt idx="72">
                  <c:v>82.423209999999997</c:v>
                </c:pt>
                <c:pt idx="73">
                  <c:v>62.538069999999998</c:v>
                </c:pt>
                <c:pt idx="74">
                  <c:v>84.591520000000003</c:v>
                </c:pt>
                <c:pt idx="75">
                  <c:v>69.577060000000003</c:v>
                </c:pt>
                <c:pt idx="76">
                  <c:v>80.7119</c:v>
                </c:pt>
                <c:pt idx="77">
                  <c:v>57.824069999999999</c:v>
                </c:pt>
                <c:pt idx="78">
                  <c:v>73.024240000000006</c:v>
                </c:pt>
                <c:pt idx="79">
                  <c:v>66.701350000000005</c:v>
                </c:pt>
                <c:pt idx="80">
                  <c:v>66.145830000000004</c:v>
                </c:pt>
                <c:pt idx="81">
                  <c:v>63.213529999999999</c:v>
                </c:pt>
                <c:pt idx="82">
                  <c:v>62.108559999999997</c:v>
                </c:pt>
                <c:pt idx="83">
                  <c:v>91.262979999999999</c:v>
                </c:pt>
                <c:pt idx="84">
                  <c:v>88.849559999999997</c:v>
                </c:pt>
                <c:pt idx="85">
                  <c:v>85.548609999999996</c:v>
                </c:pt>
                <c:pt idx="86">
                  <c:v>85.826089999999994</c:v>
                </c:pt>
                <c:pt idx="87">
                  <c:v>82.005369999999999</c:v>
                </c:pt>
                <c:pt idx="88">
                  <c:v>82.273949999999999</c:v>
                </c:pt>
                <c:pt idx="89">
                  <c:v>88.026820000000001</c:v>
                </c:pt>
                <c:pt idx="90">
                  <c:v>94.464699999999993</c:v>
                </c:pt>
                <c:pt idx="91">
                  <c:v>92.275170000000003</c:v>
                </c:pt>
                <c:pt idx="92">
                  <c:v>93.774919999999995</c:v>
                </c:pt>
                <c:pt idx="93">
                  <c:v>82.643550000000005</c:v>
                </c:pt>
                <c:pt idx="94">
                  <c:v>79.688190000000006</c:v>
                </c:pt>
                <c:pt idx="95">
                  <c:v>77.247990000000001</c:v>
                </c:pt>
                <c:pt idx="96">
                  <c:v>90.216220000000007</c:v>
                </c:pt>
                <c:pt idx="97">
                  <c:v>85.678319999999999</c:v>
                </c:pt>
                <c:pt idx="98">
                  <c:v>60.909089999999999</c:v>
                </c:pt>
                <c:pt idx="99">
                  <c:v>83.627110000000002</c:v>
                </c:pt>
                <c:pt idx="100">
                  <c:v>81.354699999999994</c:v>
                </c:pt>
                <c:pt idx="101">
                  <c:v>72.958439999999996</c:v>
                </c:pt>
                <c:pt idx="102">
                  <c:v>73.908580000000001</c:v>
                </c:pt>
                <c:pt idx="103">
                  <c:v>82.044470000000004</c:v>
                </c:pt>
                <c:pt idx="104">
                  <c:v>81.586429999999993</c:v>
                </c:pt>
                <c:pt idx="105">
                  <c:v>69.912880000000001</c:v>
                </c:pt>
                <c:pt idx="106">
                  <c:v>76.740939999999995</c:v>
                </c:pt>
                <c:pt idx="107">
                  <c:v>78.871799999999993</c:v>
                </c:pt>
                <c:pt idx="108">
                  <c:v>91.863259999999997</c:v>
                </c:pt>
                <c:pt idx="109">
                  <c:v>91.61054</c:v>
                </c:pt>
                <c:pt idx="110">
                  <c:v>79.505300000000005</c:v>
                </c:pt>
                <c:pt idx="111">
                  <c:v>66.188339999999997</c:v>
                </c:pt>
                <c:pt idx="112">
                  <c:v>72.783690000000007</c:v>
                </c:pt>
                <c:pt idx="113">
                  <c:v>71.543270000000007</c:v>
                </c:pt>
                <c:pt idx="114">
                  <c:v>63.44464</c:v>
                </c:pt>
                <c:pt idx="115">
                  <c:v>65.706810000000004</c:v>
                </c:pt>
                <c:pt idx="116">
                  <c:v>85.227270000000004</c:v>
                </c:pt>
                <c:pt idx="117">
                  <c:v>72.188540000000003</c:v>
                </c:pt>
                <c:pt idx="118">
                  <c:v>74.600369999999998</c:v>
                </c:pt>
                <c:pt idx="119">
                  <c:v>43.096890000000002</c:v>
                </c:pt>
                <c:pt idx="120">
                  <c:v>66.365520000000004</c:v>
                </c:pt>
                <c:pt idx="121">
                  <c:v>59.727310000000003</c:v>
                </c:pt>
                <c:pt idx="122">
                  <c:v>67.350399999999993</c:v>
                </c:pt>
                <c:pt idx="123">
                  <c:v>55.622309999999999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C9E7-482A-9337-FC64AAC7A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4316176"/>
        <c:axId val="524316568"/>
      </c:scatterChart>
      <c:valAx>
        <c:axId val="524316176"/>
        <c:scaling>
          <c:orientation val="minMax"/>
          <c:max val="120"/>
          <c:min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Absolute Gini (index)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524316568"/>
        <c:crosses val="autoZero"/>
        <c:crossBetween val="midCat"/>
        <c:majorUnit val="10"/>
      </c:valAx>
      <c:valAx>
        <c:axId val="524316568"/>
        <c:scaling>
          <c:orientation val="minMax"/>
          <c:max val="10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 Unfair or Very Unfair</a:t>
                </a:r>
              </a:p>
            </c:rich>
          </c:tx>
          <c:layout>
            <c:manualLayout>
              <c:xMode val="edge"/>
              <c:yMode val="edge"/>
              <c:x val="1.5713632923295216E-3"/>
              <c:y val="0.254179654574988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317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524316176"/>
        <c:crosses val="autoZero"/>
        <c:crossBetween val="midCat"/>
        <c:majorUnit val="20"/>
      </c:valAx>
      <c:spPr>
        <a:noFill/>
        <a:ln>
          <a:solidFill>
            <a:sysClr val="windowText" lastClr="000000">
              <a:lumMod val="50000"/>
              <a:lumOff val="50000"/>
            </a:sys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6.4138232720909891E-2"/>
          <c:y val="3.025991542723826E-2"/>
          <c:w val="0.85564829396325459"/>
          <c:h val="0.84550889472149315"/>
        </c:manualLayout>
      </c:layout>
      <c:lineChart>
        <c:grouping val="standard"/>
        <c:varyColors val="0"/>
        <c:ser>
          <c:idx val="1"/>
          <c:order val="0"/>
          <c:tx>
            <c:strRef>
              <c:f>Fig7b!$E$2</c:f>
              <c:strCache>
                <c:ptCount val="1"/>
                <c:pt idx="0">
                  <c:v> Unfair or Very Unfair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42-45E7-AC46-818CBBCAF326}"/>
              </c:ext>
            </c:extLst>
          </c:dPt>
          <c:cat>
            <c:numRef>
              <c:f>Fig7b!$B$3:$B$21</c:f>
              <c:numCache>
                <c:formatCode>General</c:formatCode>
                <c:ptCount val="19"/>
                <c:pt idx="0">
                  <c:v>1997</c:v>
                </c:pt>
                <c:pt idx="3">
                  <c:v>2000</c:v>
                </c:pt>
                <c:pt idx="8">
                  <c:v>2005</c:v>
                </c:pt>
                <c:pt idx="13">
                  <c:v>2010</c:v>
                </c:pt>
                <c:pt idx="18">
                  <c:v>2015</c:v>
                </c:pt>
              </c:numCache>
            </c:numRef>
          </c:cat>
          <c:val>
            <c:numRef>
              <c:f>Fig7b!$E$3:$E$21</c:f>
              <c:numCache>
                <c:formatCode>0.00</c:formatCode>
                <c:ptCount val="19"/>
                <c:pt idx="0">
                  <c:v>80.425285339355469</c:v>
                </c:pt>
                <c:pt idx="4">
                  <c:v>89.115745544433594</c:v>
                </c:pt>
                <c:pt idx="5">
                  <c:v>86.611579895019531</c:v>
                </c:pt>
                <c:pt idx="10">
                  <c:v>77.796318054199219</c:v>
                </c:pt>
                <c:pt idx="12">
                  <c:v>77.946945190429688</c:v>
                </c:pt>
                <c:pt idx="13">
                  <c:v>78.018218994140625</c:v>
                </c:pt>
                <c:pt idx="14">
                  <c:v>79.411537170410156</c:v>
                </c:pt>
                <c:pt idx="16">
                  <c:v>72.792404174804688</c:v>
                </c:pt>
                <c:pt idx="18">
                  <c:v>74.756629943847656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42-45E7-AC46-818CBBCAF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564296"/>
        <c:axId val="271564688"/>
      </c:lineChart>
      <c:lineChart>
        <c:grouping val="standard"/>
        <c:varyColors val="0"/>
        <c:ser>
          <c:idx val="0"/>
          <c:order val="1"/>
          <c:tx>
            <c:strRef>
              <c:f>Fig7b!$F$2</c:f>
              <c:strCache>
                <c:ptCount val="1"/>
                <c:pt idx="0">
                  <c:v> Absolute Gini </c:v>
                </c:pt>
              </c:strCache>
            </c:strRef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val>
            <c:numRef>
              <c:f>Fig7b!$F$3:$F$21</c:f>
              <c:numCache>
                <c:formatCode>0.00</c:formatCode>
                <c:ptCount val="19"/>
                <c:pt idx="0">
                  <c:v>89.398669999999996</c:v>
                </c:pt>
                <c:pt idx="4">
                  <c:v>92.710797999999997</c:v>
                </c:pt>
                <c:pt idx="5">
                  <c:v>89.940119999999993</c:v>
                </c:pt>
                <c:pt idx="10">
                  <c:v>97.980137999999997</c:v>
                </c:pt>
                <c:pt idx="12">
                  <c:v>97.804201000000006</c:v>
                </c:pt>
                <c:pt idx="13">
                  <c:v>98.345262000000005</c:v>
                </c:pt>
                <c:pt idx="14">
                  <c:v>101.32556</c:v>
                </c:pt>
                <c:pt idx="16">
                  <c:v>106.61431</c:v>
                </c:pt>
                <c:pt idx="18">
                  <c:v>107.00045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42-45E7-AC46-818CBBCAF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565472"/>
        <c:axId val="271565080"/>
      </c:lineChart>
      <c:catAx>
        <c:axId val="271564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564688"/>
        <c:crosses val="autoZero"/>
        <c:auto val="1"/>
        <c:lblAlgn val="ctr"/>
        <c:lblOffset val="100"/>
        <c:noMultiLvlLbl val="0"/>
      </c:catAx>
      <c:valAx>
        <c:axId val="271564688"/>
        <c:scaling>
          <c:orientation val="minMax"/>
          <c:max val="100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1.3888888888888888E-2"/>
              <c:y val="0.340132327209098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564296"/>
        <c:crosses val="autoZero"/>
        <c:crossBetween val="between"/>
        <c:majorUnit val="10"/>
      </c:valAx>
      <c:valAx>
        <c:axId val="271565080"/>
        <c:scaling>
          <c:orientation val="minMax"/>
          <c:min val="60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solidFill>
              <a:sysClr val="windowText" lastClr="000000">
                <a:lumMod val="50000"/>
                <a:lumOff val="50000"/>
              </a:sys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565472"/>
        <c:crosses val="max"/>
        <c:crossBetween val="between"/>
        <c:majorUnit val="20"/>
      </c:valAx>
      <c:catAx>
        <c:axId val="271565472"/>
        <c:scaling>
          <c:orientation val="minMax"/>
        </c:scaling>
        <c:delete val="1"/>
        <c:axPos val="b"/>
        <c:majorTickMark val="out"/>
        <c:minorTickMark val="none"/>
        <c:tickLblPos val="nextTo"/>
        <c:crossAx val="271565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6B4-4574-986D-E126F24D1753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B4-4574-986D-E126F24D1753}"/>
              </c:ext>
            </c:extLst>
          </c:dPt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'Fig8'!$H$3:$K$3</c:f>
              <c:strCache>
                <c:ptCount val="3"/>
                <c:pt idx="0">
                  <c:v>2002</c:v>
                </c:pt>
                <c:pt idx="1">
                  <c:v>2013</c:v>
                </c:pt>
                <c:pt idx="2">
                  <c:v>Change 2002-13</c:v>
                </c:pt>
              </c:strCache>
            </c:strRef>
          </c:cat>
          <c:val>
            <c:numRef>
              <c:f>'Fig8'!$H$4:$K$4</c:f>
              <c:numCache>
                <c:formatCode>0.00</c:formatCode>
                <c:ptCount val="4"/>
                <c:pt idx="0">
                  <c:v>86.868610000000004</c:v>
                </c:pt>
                <c:pt idx="1">
                  <c:v>73.010000000000005</c:v>
                </c:pt>
                <c:pt idx="2">
                  <c:v>73.010000000000005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B4-4574-986D-E126F24D175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6-96B4-4574-986D-E126F24D17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6B4-4574-986D-E126F24D1753}"/>
              </c:ext>
            </c:extLst>
          </c:dPt>
          <c:dLbls>
            <c:dLbl>
              <c:idx val="2"/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6B4-4574-986D-E126F24D1753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'Fig8'!$H$3:$K$3</c:f>
              <c:strCache>
                <c:ptCount val="3"/>
                <c:pt idx="0">
                  <c:v>2002</c:v>
                </c:pt>
                <c:pt idx="1">
                  <c:v>2013</c:v>
                </c:pt>
                <c:pt idx="2">
                  <c:v>Change 2002-13</c:v>
                </c:pt>
              </c:strCache>
            </c:strRef>
          </c:cat>
          <c:val>
            <c:numRef>
              <c:f>'Fig8'!$H$5:$K$5</c:f>
              <c:numCache>
                <c:formatCode>0.00</c:formatCode>
                <c:ptCount val="4"/>
                <c:pt idx="1">
                  <c:v>13.858609999999999</c:v>
                </c:pt>
                <c:pt idx="2">
                  <c:v>9.3360500000000002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6B4-4574-986D-E126F24D175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'Fig8'!$H$3:$K$3</c:f>
              <c:strCache>
                <c:ptCount val="3"/>
                <c:pt idx="0">
                  <c:v>2002</c:v>
                </c:pt>
                <c:pt idx="1">
                  <c:v>2013</c:v>
                </c:pt>
                <c:pt idx="2">
                  <c:v>Change 2002-13</c:v>
                </c:pt>
              </c:strCache>
            </c:strRef>
          </c:cat>
          <c:val>
            <c:numRef>
              <c:f>'Fig8'!$H$6:$K$6</c:f>
              <c:numCache>
                <c:formatCode>0.00</c:formatCode>
                <c:ptCount val="4"/>
                <c:pt idx="2">
                  <c:v>4.5225599999999986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B4-4574-986D-E126F24D175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'Fig8'!$H$3:$K$3</c:f>
              <c:strCache>
                <c:ptCount val="3"/>
                <c:pt idx="0">
                  <c:v>2002</c:v>
                </c:pt>
                <c:pt idx="1">
                  <c:v>2013</c:v>
                </c:pt>
                <c:pt idx="2">
                  <c:v>Change 2002-13</c:v>
                </c:pt>
              </c:strCache>
            </c:strRef>
          </c:cat>
          <c:val>
            <c:numRef>
              <c:f>'Fig8'!$H$7:$K$7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B-96B4-4574-986D-E126F24D1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100"/>
        <c:axId val="271266552"/>
        <c:axId val="271266944"/>
      </c:barChart>
      <c:catAx>
        <c:axId val="271266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66944"/>
        <c:crosses val="autoZero"/>
        <c:auto val="1"/>
        <c:lblAlgn val="ctr"/>
        <c:lblOffset val="100"/>
        <c:noMultiLvlLbl val="0"/>
      </c:catAx>
      <c:valAx>
        <c:axId val="271266944"/>
        <c:scaling>
          <c:orientation val="minMax"/>
          <c:min val="5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r>
                  <a:rPr lang="en-US"/>
                  <a:t>% Unfair or Very Unfair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Bell MT" panose="02020503060305020303" pitchFamily="18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6655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C358-49A2-998A-D3831F728169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C358-49A2-998A-D3831F728169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C358-49A2-998A-D3831F728169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358-49A2-998A-D3831F728169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358-49A2-998A-D3831F728169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358-49A2-998A-D3831F728169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C358-49A2-998A-D3831F728169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C358-49A2-998A-D3831F728169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C358-49A2-998A-D3831F728169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C358-49A2-998A-D3831F728169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C358-49A2-998A-D3831F728169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C358-49A2-998A-D3831F728169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C358-49A2-998A-D3831F728169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C358-49A2-998A-D3831F728169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C358-49A2-998A-D3831F728169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C358-49A2-998A-D3831F728169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C358-49A2-998A-D3831F728169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C358-49A2-998A-D3831F728169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C358-49A2-998A-D3831F728169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C358-49A2-998A-D3831F728169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C358-49A2-998A-D3831F728169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C358-49A2-998A-D3831F728169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C358-49A2-998A-D3831F728169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C358-49A2-998A-D3831F72816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A118208-2511-4559-877C-22BD3ED9B3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358-49A2-998A-D3831F72816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04D6A71-4BA8-4356-91B2-5E6B0D3719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358-49A2-998A-D3831F728169}"/>
                </c:ext>
              </c:extLst>
            </c:dLbl>
            <c:dLbl>
              <c:idx val="2"/>
              <c:layout>
                <c:manualLayout>
                  <c:x val="-6.4814814814814811E-2"/>
                  <c:y val="0.11111111111111105"/>
                </c:manualLayout>
              </c:layout>
              <c:tx>
                <c:rich>
                  <a:bodyPr/>
                  <a:lstStyle/>
                  <a:p>
                    <a:fld id="{BEC0CC16-0697-4645-B836-D547458391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358-49A2-998A-D3831F728169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6A169380-ED7F-4902-938B-3FDD3A16E9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358-49A2-998A-D3831F72816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E66F72F-7725-4C42-9F8B-39604A0C62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358-49A2-998A-D3831F72816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25BDDB71-0940-4258-88B4-9E6E10A091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358-49A2-998A-D3831F72816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517F7AB-64CC-4684-BC37-C641000F73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358-49A2-998A-D3831F72816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9CD8115-AE69-49CB-BEB3-46AE26B1D7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358-49A2-998A-D3831F72816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4415C1C-6885-45DC-8425-39FEB772A3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358-49A2-998A-D3831F72816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489C739-8ADC-4E89-8EE6-66AB3BA4A1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358-49A2-998A-D3831F72816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DF4745E-15CE-4B5C-A682-73FD14E291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358-49A2-998A-D3831F72816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4F59FBC-6BA5-4F18-ADF5-7BBE0CDB85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358-49A2-998A-D3831F72816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550EF6E-A1AB-4456-A332-5786EA61C6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358-49A2-998A-D3831F72816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8923355-EA6E-43A9-B0EC-6F3997AE68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358-49A2-998A-D3831F72816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5EE84CA-C5B1-416E-968E-7AAF2E89F2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358-49A2-998A-D3831F728169}"/>
                </c:ext>
              </c:extLst>
            </c:dLbl>
            <c:dLbl>
              <c:idx val="15"/>
              <c:layout>
                <c:manualLayout>
                  <c:x val="-8.4875562720133283E-17"/>
                  <c:y val="-5.5555555555555587E-2"/>
                </c:manualLayout>
              </c:layout>
              <c:tx>
                <c:rich>
                  <a:bodyPr/>
                  <a:lstStyle/>
                  <a:p>
                    <a:fld id="{9B4E1571-4601-401A-90A7-D93CF62803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C358-49A2-998A-D3831F72816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421A2D5-CFA5-475A-8681-174D919697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358-49A2-998A-D3831F72816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3C1B171-2045-4D27-85E5-88556E2528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358-49A2-998A-D3831F72816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4F81BD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'Fig9'!$C$3:$C$20</c:f>
              <c:numCache>
                <c:formatCode>_(* #,##0.00_);_(* \(#,##0.00\);_(* "-"??_);_(@_)</c:formatCode>
                <c:ptCount val="18"/>
                <c:pt idx="0">
                  <c:v>19.246400000000001</c:v>
                </c:pt>
                <c:pt idx="1">
                  <c:v>10.1869</c:v>
                </c:pt>
                <c:pt idx="2">
                  <c:v>45.877600000000001</c:v>
                </c:pt>
                <c:pt idx="3">
                  <c:v>46.469100000000005</c:v>
                </c:pt>
                <c:pt idx="4">
                  <c:v>35.171300000000002</c:v>
                </c:pt>
                <c:pt idx="5">
                  <c:v>29.8047</c:v>
                </c:pt>
                <c:pt idx="6">
                  <c:v>22.398599999999998</c:v>
                </c:pt>
                <c:pt idx="7">
                  <c:v>12.694100000000001</c:v>
                </c:pt>
                <c:pt idx="8">
                  <c:v>30.019299999999998</c:v>
                </c:pt>
                <c:pt idx="9">
                  <c:v>30.363499999999998</c:v>
                </c:pt>
                <c:pt idx="10">
                  <c:v>34.641599999999997</c:v>
                </c:pt>
                <c:pt idx="11">
                  <c:v>11.4796</c:v>
                </c:pt>
                <c:pt idx="12">
                  <c:v>18.997900000000001</c:v>
                </c:pt>
                <c:pt idx="13">
                  <c:v>21.038499999999999</c:v>
                </c:pt>
                <c:pt idx="14">
                  <c:v>33.464199999999998</c:v>
                </c:pt>
                <c:pt idx="15">
                  <c:v>20.097899999999999</c:v>
                </c:pt>
                <c:pt idx="16">
                  <c:v>9.5113000000000003</c:v>
                </c:pt>
                <c:pt idx="17">
                  <c:v>33.448</c:v>
                </c:pt>
              </c:numCache>
            </c:numRef>
          </c:xVal>
          <c:yVal>
            <c:numRef>
              <c:f>'Fig9'!$E$3:$E$20</c:f>
              <c:numCache>
                <c:formatCode>_(* #,##0.00_);_(* \(#,##0.00\);_(* "-"??_);_(@_)</c:formatCode>
                <c:ptCount val="18"/>
                <c:pt idx="0">
                  <c:v>5.61076</c:v>
                </c:pt>
                <c:pt idx="1">
                  <c:v>6.8454110000000004</c:v>
                </c:pt>
                <c:pt idx="2">
                  <c:v>6.50176</c:v>
                </c:pt>
                <c:pt idx="3">
                  <c:v>6.9144119999999996</c:v>
                </c:pt>
                <c:pt idx="4">
                  <c:v>7.2174129999999996</c:v>
                </c:pt>
                <c:pt idx="5">
                  <c:v>6.3558789999999998</c:v>
                </c:pt>
                <c:pt idx="6">
                  <c:v>7.6212999999999997</c:v>
                </c:pt>
                <c:pt idx="7">
                  <c:v>4.641527</c:v>
                </c:pt>
                <c:pt idx="8">
                  <c:v>6.2086620000000003</c:v>
                </c:pt>
                <c:pt idx="9">
                  <c:v>6.9609059999999996</c:v>
                </c:pt>
                <c:pt idx="10">
                  <c:v>6.5917310000000002</c:v>
                </c:pt>
                <c:pt idx="11">
                  <c:v>7.2365589999999997</c:v>
                </c:pt>
                <c:pt idx="12">
                  <c:v>6.4299359999999997</c:v>
                </c:pt>
                <c:pt idx="13">
                  <c:v>6.1950770000000004</c:v>
                </c:pt>
                <c:pt idx="14">
                  <c:v>6.4953209999999997</c:v>
                </c:pt>
                <c:pt idx="15">
                  <c:v>5.078354</c:v>
                </c:pt>
                <c:pt idx="16">
                  <c:v>5.8181010000000004</c:v>
                </c:pt>
                <c:pt idx="17">
                  <c:v>5.32463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'Fig9'!$B$3:$B$20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C358-49A2-998A-D3831F728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267728"/>
        <c:axId val="271268120"/>
      </c:scatterChart>
      <c:valAx>
        <c:axId val="2712677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68120"/>
        <c:crosses val="autoZero"/>
        <c:crossBetween val="midCat"/>
      </c:valAx>
      <c:valAx>
        <c:axId val="271268120"/>
        <c:scaling>
          <c:orientation val="minMax"/>
          <c:min val="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67728"/>
        <c:crosses val="autoZero"/>
        <c:crossBetween val="midCat"/>
        <c:majorUnit val="1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4CA-4A57-BC8B-B6455EA788D8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4CA-4A57-BC8B-B6455EA788D8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4CA-4A57-BC8B-B6455EA788D8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4CA-4A57-BC8B-B6455EA788D8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4CA-4A57-BC8B-B6455EA788D8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4CA-4A57-BC8B-B6455EA788D8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4CA-4A57-BC8B-B6455EA788D8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4CA-4A57-BC8B-B6455EA788D8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4CA-4A57-BC8B-B6455EA788D8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4CA-4A57-BC8B-B6455EA788D8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4CA-4A57-BC8B-B6455EA788D8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4CA-4A57-BC8B-B6455EA788D8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A4CA-4A57-BC8B-B6455EA788D8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4CA-4A57-BC8B-B6455EA788D8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A4CA-4A57-BC8B-B6455EA788D8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A4CA-4A57-BC8B-B6455EA788D8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A4CA-4A57-BC8B-B6455EA788D8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A4CA-4A57-BC8B-B6455EA788D8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A4CA-4A57-BC8B-B6455EA788D8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A4CA-4A57-BC8B-B6455EA788D8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A4CA-4A57-BC8B-B6455EA788D8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A4CA-4A57-BC8B-B6455EA788D8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A4CA-4A57-BC8B-B6455EA788D8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A4CA-4A57-BC8B-B6455EA788D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6E0A305-AF2D-4B67-AB48-B8B354628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A4CA-4A57-BC8B-B6455EA788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963389-7587-42F5-A5AD-CC46AE6160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4CA-4A57-BC8B-B6455EA788D8}"/>
                </c:ext>
              </c:extLst>
            </c:dLbl>
            <c:dLbl>
              <c:idx val="2"/>
              <c:layout>
                <c:manualLayout>
                  <c:x val="-6.4814814814814811E-2"/>
                  <c:y val="0.11111111111111105"/>
                </c:manualLayout>
              </c:layout>
              <c:tx>
                <c:rich>
                  <a:bodyPr/>
                  <a:lstStyle/>
                  <a:p>
                    <a:fld id="{DD303AE9-7BE7-4240-BD1A-AE6F0F57E5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A4CA-4A57-BC8B-B6455EA788D8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56FB83E2-4C26-424A-BBC7-28E75B164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4CA-4A57-BC8B-B6455EA788D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476304C-DED4-4439-8A80-886E17B57F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4CA-4A57-BC8B-B6455EA788D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E23182D-5033-4A13-9ECC-350FEEA8AD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4CA-4A57-BC8B-B6455EA788D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5375B96-8914-4E62-962F-1470F505E8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4CA-4A57-BC8B-B6455EA788D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55DF2AF-BB92-4DDF-AAF5-1DC98895FE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4CA-4A57-BC8B-B6455EA788D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557BEEA-C434-4F48-B618-D31FC4FA4D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4CA-4A57-BC8B-B6455EA788D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B1A1918-E692-4D8D-8AE3-3AB9A6362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4CA-4A57-BC8B-B6455EA788D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F2B9262-5641-4F9C-8DC5-E34882F7E5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4CA-4A57-BC8B-B6455EA788D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C77B924-72CF-41EF-852F-1DDFD60533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4CA-4A57-BC8B-B6455EA788D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42162CC-B252-4825-8E2A-D26AF7BE8D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4CA-4A57-BC8B-B6455EA788D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7D286AF-1D13-4B02-AE19-10AB9C56DF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4CA-4A57-BC8B-B6455EA788D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A0504F1-3657-4A7A-8751-7DC8B912A3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4CA-4A57-BC8B-B6455EA788D8}"/>
                </c:ext>
              </c:extLst>
            </c:dLbl>
            <c:dLbl>
              <c:idx val="15"/>
              <c:layout>
                <c:manualLayout>
                  <c:x val="-8.4875562720133283E-17"/>
                  <c:y val="-5.5555555555555587E-2"/>
                </c:manualLayout>
              </c:layout>
              <c:tx>
                <c:rich>
                  <a:bodyPr/>
                  <a:lstStyle/>
                  <a:p>
                    <a:fld id="{208C1BE5-3AA3-4FCA-A806-24CCF8D916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A4CA-4A57-BC8B-B6455EA788D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5C73EF6-8C23-4966-9366-F0DF122548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4CA-4A57-BC8B-B6455EA788D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60E6796-EE91-46DB-BAE2-966381B686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4CA-4A57-BC8B-B6455EA788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4F81BD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'Fig9'!$C$3:$C$20</c:f>
              <c:numCache>
                <c:formatCode>_(* #,##0.00_);_(* \(#,##0.00\);_(* "-"??_);_(@_)</c:formatCode>
                <c:ptCount val="18"/>
                <c:pt idx="0">
                  <c:v>19.246400000000001</c:v>
                </c:pt>
                <c:pt idx="1">
                  <c:v>10.1869</c:v>
                </c:pt>
                <c:pt idx="2">
                  <c:v>45.877600000000001</c:v>
                </c:pt>
                <c:pt idx="3">
                  <c:v>46.469100000000005</c:v>
                </c:pt>
                <c:pt idx="4">
                  <c:v>35.171300000000002</c:v>
                </c:pt>
                <c:pt idx="5">
                  <c:v>29.8047</c:v>
                </c:pt>
                <c:pt idx="6">
                  <c:v>22.398599999999998</c:v>
                </c:pt>
                <c:pt idx="7">
                  <c:v>12.694100000000001</c:v>
                </c:pt>
                <c:pt idx="8">
                  <c:v>30.019299999999998</c:v>
                </c:pt>
                <c:pt idx="9">
                  <c:v>30.363499999999998</c:v>
                </c:pt>
                <c:pt idx="10">
                  <c:v>34.641599999999997</c:v>
                </c:pt>
                <c:pt idx="11">
                  <c:v>11.4796</c:v>
                </c:pt>
                <c:pt idx="12">
                  <c:v>18.997900000000001</c:v>
                </c:pt>
                <c:pt idx="13">
                  <c:v>21.038499999999999</c:v>
                </c:pt>
                <c:pt idx="14">
                  <c:v>33.464199999999998</c:v>
                </c:pt>
                <c:pt idx="15">
                  <c:v>20.097899999999999</c:v>
                </c:pt>
                <c:pt idx="16">
                  <c:v>9.5113000000000003</c:v>
                </c:pt>
                <c:pt idx="17">
                  <c:v>33.448</c:v>
                </c:pt>
              </c:numCache>
            </c:numRef>
          </c:xVal>
          <c:yVal>
            <c:numRef>
              <c:f>'Fig9'!$F$3:$F$20</c:f>
              <c:numCache>
                <c:formatCode>_(* #,##0.00_);_(* \(#,##0.00\);_(* "-"??_);_(@_)</c:formatCode>
                <c:ptCount val="18"/>
                <c:pt idx="0">
                  <c:v>6.1751209999999999</c:v>
                </c:pt>
                <c:pt idx="1">
                  <c:v>6.7131780000000001</c:v>
                </c:pt>
                <c:pt idx="2">
                  <c:v>6.0580759999999998</c:v>
                </c:pt>
                <c:pt idx="3">
                  <c:v>6.1945079999999999</c:v>
                </c:pt>
                <c:pt idx="4">
                  <c:v>6.5935790000000001</c:v>
                </c:pt>
                <c:pt idx="5">
                  <c:v>6.9269309999999997</c:v>
                </c:pt>
                <c:pt idx="6">
                  <c:v>7.5247719999999996</c:v>
                </c:pt>
                <c:pt idx="7">
                  <c:v>4.475746</c:v>
                </c:pt>
                <c:pt idx="8">
                  <c:v>6.0113519999999996</c:v>
                </c:pt>
                <c:pt idx="9">
                  <c:v>6.3611620000000002</c:v>
                </c:pt>
                <c:pt idx="10">
                  <c:v>6.4776119999999997</c:v>
                </c:pt>
                <c:pt idx="11">
                  <c:v>6.8761799999999997</c:v>
                </c:pt>
                <c:pt idx="12">
                  <c:v>6.3822270000000003</c:v>
                </c:pt>
                <c:pt idx="13">
                  <c:v>6.2173910000000001</c:v>
                </c:pt>
                <c:pt idx="14">
                  <c:v>5.9458000000000002</c:v>
                </c:pt>
                <c:pt idx="15">
                  <c:v>5.0082779999999998</c:v>
                </c:pt>
                <c:pt idx="16">
                  <c:v>6.2090740000000002</c:v>
                </c:pt>
                <c:pt idx="17">
                  <c:v>5.8472949999999999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'Fig9'!$B$3:$B$20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A4CA-4A57-BC8B-B6455EA78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268904"/>
        <c:axId val="271269296"/>
      </c:scatterChart>
      <c:valAx>
        <c:axId val="271268904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69296"/>
        <c:crosses val="autoZero"/>
        <c:crossBetween val="midCat"/>
      </c:valAx>
      <c:valAx>
        <c:axId val="271269296"/>
        <c:scaling>
          <c:orientation val="minMax"/>
          <c:min val="4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68904"/>
        <c:crosses val="autoZero"/>
        <c:crossBetween val="midCat"/>
        <c:majorUnit val="1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4227-4000-94E1-8502D440152B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4227-4000-94E1-8502D440152B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4227-4000-94E1-8502D440152B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4227-4000-94E1-8502D440152B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4227-4000-94E1-8502D440152B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4227-4000-94E1-8502D440152B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4227-4000-94E1-8502D440152B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4227-4000-94E1-8502D440152B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4227-4000-94E1-8502D440152B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4227-4000-94E1-8502D440152B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4227-4000-94E1-8502D440152B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4227-4000-94E1-8502D440152B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4227-4000-94E1-8502D440152B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4227-4000-94E1-8502D440152B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4227-4000-94E1-8502D440152B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4227-4000-94E1-8502D440152B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4227-4000-94E1-8502D440152B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4227-4000-94E1-8502D440152B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4227-4000-94E1-8502D440152B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4227-4000-94E1-8502D440152B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4227-4000-94E1-8502D440152B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4227-4000-94E1-8502D440152B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4227-4000-94E1-8502D440152B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4227-4000-94E1-8502D44015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947CBB1-2922-4D4A-8170-8B26DA5D82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227-4000-94E1-8502D440152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089A9E3-FBCC-4446-B4D5-D15FF74E52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227-4000-94E1-8502D440152B}"/>
                </c:ext>
              </c:extLst>
            </c:dLbl>
            <c:dLbl>
              <c:idx val="2"/>
              <c:layout>
                <c:manualLayout>
                  <c:x val="-6.4814814814814811E-2"/>
                  <c:y val="0.11111111111111105"/>
                </c:manualLayout>
              </c:layout>
              <c:tx>
                <c:rich>
                  <a:bodyPr/>
                  <a:lstStyle/>
                  <a:p>
                    <a:fld id="{629A5FDD-48CF-46F2-8C61-C4A0467AD2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227-4000-94E1-8502D440152B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E24F4A4F-90D4-4ECC-8A05-8D478804A9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227-4000-94E1-8502D440152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B764BA1-BA76-4386-8220-87BC23A55F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227-4000-94E1-8502D440152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6025185-CC3B-466F-B8D5-4664FAB34D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227-4000-94E1-8502D440152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79F0610-C5EB-4DFD-AA47-34785E9EC2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227-4000-94E1-8502D440152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76B9557-A353-433B-8A23-9C1C900207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227-4000-94E1-8502D440152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F300C24-CE64-4D1E-A866-B7BFD792C2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227-4000-94E1-8502D440152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CA5F176-A720-415C-93BA-B58935D68D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227-4000-94E1-8502D440152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344A735-8096-4322-AD76-1CA302591C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227-4000-94E1-8502D440152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939BA21-951B-401D-AE3B-CF32386A3A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227-4000-94E1-8502D440152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ACF2B8F-A688-4B33-B732-CC19024A9A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227-4000-94E1-8502D440152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D397942-AB34-43EB-9A97-FF0AFAE237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227-4000-94E1-8502D440152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CA96736-72C5-4C60-A2ED-BB1F1A9B6D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227-4000-94E1-8502D440152B}"/>
                </c:ext>
              </c:extLst>
            </c:dLbl>
            <c:dLbl>
              <c:idx val="15"/>
              <c:layout>
                <c:manualLayout>
                  <c:x val="-8.4875562720133283E-17"/>
                  <c:y val="-5.5555555555555587E-2"/>
                </c:manualLayout>
              </c:layout>
              <c:tx>
                <c:rich>
                  <a:bodyPr/>
                  <a:lstStyle/>
                  <a:p>
                    <a:fld id="{E0DE3536-4C8F-4C03-8420-1389CE09C4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4227-4000-94E1-8502D440152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60E1E9B-41CF-432A-91C8-A80BE35367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227-4000-94E1-8502D440152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5DA1934-02E2-4AD1-BAF4-8FF51512AC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227-4000-94E1-8502D44015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4F81BD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'Fig9'!$C$3:$C$20</c:f>
              <c:numCache>
                <c:formatCode>_(* #,##0.00_);_(* \(#,##0.00\);_(* "-"??_);_(@_)</c:formatCode>
                <c:ptCount val="18"/>
                <c:pt idx="0">
                  <c:v>19.246400000000001</c:v>
                </c:pt>
                <c:pt idx="1">
                  <c:v>10.1869</c:v>
                </c:pt>
                <c:pt idx="2">
                  <c:v>45.877600000000001</c:v>
                </c:pt>
                <c:pt idx="3">
                  <c:v>46.469100000000005</c:v>
                </c:pt>
                <c:pt idx="4">
                  <c:v>35.171300000000002</c:v>
                </c:pt>
                <c:pt idx="5">
                  <c:v>29.8047</c:v>
                </c:pt>
                <c:pt idx="6">
                  <c:v>22.398599999999998</c:v>
                </c:pt>
                <c:pt idx="7">
                  <c:v>12.694100000000001</c:v>
                </c:pt>
                <c:pt idx="8">
                  <c:v>30.019299999999998</c:v>
                </c:pt>
                <c:pt idx="9">
                  <c:v>30.363499999999998</c:v>
                </c:pt>
                <c:pt idx="10">
                  <c:v>34.641599999999997</c:v>
                </c:pt>
                <c:pt idx="11">
                  <c:v>11.4796</c:v>
                </c:pt>
                <c:pt idx="12">
                  <c:v>18.997900000000001</c:v>
                </c:pt>
                <c:pt idx="13">
                  <c:v>21.038499999999999</c:v>
                </c:pt>
                <c:pt idx="14">
                  <c:v>33.464199999999998</c:v>
                </c:pt>
                <c:pt idx="15">
                  <c:v>20.097899999999999</c:v>
                </c:pt>
                <c:pt idx="16">
                  <c:v>9.5113000000000003</c:v>
                </c:pt>
                <c:pt idx="17">
                  <c:v>33.448</c:v>
                </c:pt>
              </c:numCache>
            </c:numRef>
          </c:xVal>
          <c:yVal>
            <c:numRef>
              <c:f>'Fig9'!$G$3:$G$20</c:f>
              <c:numCache>
                <c:formatCode>_(* #,##0.00_);_(* \(#,##0.00\);_(* "-"??_);_(@_)</c:formatCode>
                <c:ptCount val="18"/>
                <c:pt idx="0">
                  <c:v>6.507479</c:v>
                </c:pt>
                <c:pt idx="1">
                  <c:v>7.5190840000000003</c:v>
                </c:pt>
                <c:pt idx="2">
                  <c:v>7.1560589999999999</c:v>
                </c:pt>
                <c:pt idx="3">
                  <c:v>7.2219559999999996</c:v>
                </c:pt>
                <c:pt idx="4">
                  <c:v>8.0036129999999996</c:v>
                </c:pt>
                <c:pt idx="5">
                  <c:v>7.2168049999999999</c:v>
                </c:pt>
                <c:pt idx="6">
                  <c:v>8.3178040000000006</c:v>
                </c:pt>
                <c:pt idx="7">
                  <c:v>5.0893860000000002</c:v>
                </c:pt>
                <c:pt idx="8">
                  <c:v>7.6101400000000003</c:v>
                </c:pt>
                <c:pt idx="9">
                  <c:v>7.9361439999999996</c:v>
                </c:pt>
                <c:pt idx="10">
                  <c:v>7.3330450000000003</c:v>
                </c:pt>
                <c:pt idx="11">
                  <c:v>7.3698170000000003</c:v>
                </c:pt>
                <c:pt idx="12">
                  <c:v>7.0274549999999998</c:v>
                </c:pt>
                <c:pt idx="13">
                  <c:v>6.7123290000000004</c:v>
                </c:pt>
                <c:pt idx="14">
                  <c:v>7.0395079999999997</c:v>
                </c:pt>
                <c:pt idx="15">
                  <c:v>5.9766000000000004</c:v>
                </c:pt>
                <c:pt idx="16">
                  <c:v>6.4487629999999996</c:v>
                </c:pt>
                <c:pt idx="17">
                  <c:v>5.7417389999999999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'Fig9'!$B$3:$B$20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4227-4000-94E1-8502D4401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270080"/>
        <c:axId val="271270472"/>
      </c:scatterChart>
      <c:valAx>
        <c:axId val="271270080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70472"/>
        <c:crosses val="autoZero"/>
        <c:crossBetween val="midCat"/>
      </c:valAx>
      <c:valAx>
        <c:axId val="271270472"/>
        <c:scaling>
          <c:orientation val="minMax"/>
          <c:min val="4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70080"/>
        <c:crosses val="autoZero"/>
        <c:crossBetween val="midCat"/>
        <c:majorUnit val="1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9FC-48CE-A83F-DD4EFC9628F6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9FC-48CE-A83F-DD4EFC9628F6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9FC-48CE-A83F-DD4EFC9628F6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9FC-48CE-A83F-DD4EFC9628F6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9FC-48CE-A83F-DD4EFC9628F6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9FC-48CE-A83F-DD4EFC9628F6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9FC-48CE-A83F-DD4EFC9628F6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9FC-48CE-A83F-DD4EFC9628F6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9FC-48CE-A83F-DD4EFC9628F6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9FC-48CE-A83F-DD4EFC9628F6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9FC-48CE-A83F-DD4EFC9628F6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9FC-48CE-A83F-DD4EFC9628F6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09FC-48CE-A83F-DD4EFC9628F6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9FC-48CE-A83F-DD4EFC9628F6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9FC-48CE-A83F-DD4EFC9628F6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09FC-48CE-A83F-DD4EFC9628F6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09FC-48CE-A83F-DD4EFC9628F6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09FC-48CE-A83F-DD4EFC9628F6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09FC-48CE-A83F-DD4EFC9628F6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09FC-48CE-A83F-DD4EFC9628F6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09FC-48CE-A83F-DD4EFC9628F6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09FC-48CE-A83F-DD4EFC9628F6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09FC-48CE-A83F-DD4EFC9628F6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09FC-48CE-A83F-DD4EFC9628F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CAAA396-67F9-4B0F-ACDB-8FC247EC7B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9FC-48CE-A83F-DD4EFC9628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450B12-046A-4433-B59D-B32B004462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9FC-48CE-A83F-DD4EFC9628F6}"/>
                </c:ext>
              </c:extLst>
            </c:dLbl>
            <c:dLbl>
              <c:idx val="2"/>
              <c:layout>
                <c:manualLayout>
                  <c:x val="-6.4814814814814811E-2"/>
                  <c:y val="0.11111111111111105"/>
                </c:manualLayout>
              </c:layout>
              <c:tx>
                <c:rich>
                  <a:bodyPr/>
                  <a:lstStyle/>
                  <a:p>
                    <a:fld id="{1346BCF5-8276-4E6E-9FA5-8E3E74137F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9FC-48CE-A83F-DD4EFC9628F6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806B8E6D-A96E-4214-9634-305D643ED6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9FC-48CE-A83F-DD4EFC9628F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E3DC537-4C63-48EB-8FEF-EAA5C0D4A8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9FC-48CE-A83F-DD4EFC9628F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F32AA94-7781-495D-980D-FEE70F8D8C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9FC-48CE-A83F-DD4EFC9628F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3F6084E-725B-43D0-9004-5D8464DC7D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9FC-48CE-A83F-DD4EFC9628F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2CC45CC-D510-4122-B37E-570F8AD2A7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9FC-48CE-A83F-DD4EFC9628F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F48536B-EEE8-42B4-BE15-F694401A3D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9FC-48CE-A83F-DD4EFC9628F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C41E8AB-3F6D-46B3-A4E7-C65BFFD204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9FC-48CE-A83F-DD4EFC9628F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59A0C4F-97EB-407E-8EFC-984A4A2F2B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9FC-48CE-A83F-DD4EFC9628F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893924F-6009-4B46-BE19-CC231396D3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9FC-48CE-A83F-DD4EFC9628F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855E0E9-F042-4097-8961-21D9DAB751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9FC-48CE-A83F-DD4EFC9628F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CF8EBBF-2760-4870-8F25-19C3D6FEA8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9FC-48CE-A83F-DD4EFC9628F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952BA51-3E2E-4E4C-BEBD-1496A4F3DC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9FC-48CE-A83F-DD4EFC9628F6}"/>
                </c:ext>
              </c:extLst>
            </c:dLbl>
            <c:dLbl>
              <c:idx val="15"/>
              <c:layout>
                <c:manualLayout>
                  <c:x val="-8.4875562720133283E-17"/>
                  <c:y val="-5.5555555555555587E-2"/>
                </c:manualLayout>
              </c:layout>
              <c:tx>
                <c:rich>
                  <a:bodyPr/>
                  <a:lstStyle/>
                  <a:p>
                    <a:fld id="{1D393F3E-24DE-4906-9FDE-B69B37564A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09FC-48CE-A83F-DD4EFC9628F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4ABB642-18AB-4A91-A3BE-0276965892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9FC-48CE-A83F-DD4EFC9628F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4F34693-F63D-40EB-8310-0F2CA7E300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9FC-48CE-A83F-DD4EFC9628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4F81BD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'Fig9'!$C$3:$C$20</c:f>
              <c:numCache>
                <c:formatCode>_(* #,##0.00_);_(* \(#,##0.00\);_(* "-"??_);_(@_)</c:formatCode>
                <c:ptCount val="18"/>
                <c:pt idx="0">
                  <c:v>19.246400000000001</c:v>
                </c:pt>
                <c:pt idx="1">
                  <c:v>10.1869</c:v>
                </c:pt>
                <c:pt idx="2">
                  <c:v>45.877600000000001</c:v>
                </c:pt>
                <c:pt idx="3">
                  <c:v>46.469100000000005</c:v>
                </c:pt>
                <c:pt idx="4">
                  <c:v>35.171300000000002</c:v>
                </c:pt>
                <c:pt idx="5">
                  <c:v>29.8047</c:v>
                </c:pt>
                <c:pt idx="6">
                  <c:v>22.398599999999998</c:v>
                </c:pt>
                <c:pt idx="7">
                  <c:v>12.694100000000001</c:v>
                </c:pt>
                <c:pt idx="8">
                  <c:v>30.019299999999998</c:v>
                </c:pt>
                <c:pt idx="9">
                  <c:v>30.363499999999998</c:v>
                </c:pt>
                <c:pt idx="10">
                  <c:v>34.641599999999997</c:v>
                </c:pt>
                <c:pt idx="11">
                  <c:v>11.4796</c:v>
                </c:pt>
                <c:pt idx="12">
                  <c:v>18.997900000000001</c:v>
                </c:pt>
                <c:pt idx="13">
                  <c:v>21.038499999999999</c:v>
                </c:pt>
                <c:pt idx="14">
                  <c:v>33.464199999999998</c:v>
                </c:pt>
                <c:pt idx="15">
                  <c:v>20.097899999999999</c:v>
                </c:pt>
                <c:pt idx="16">
                  <c:v>9.5113000000000003</c:v>
                </c:pt>
                <c:pt idx="17">
                  <c:v>33.448</c:v>
                </c:pt>
              </c:numCache>
            </c:numRef>
          </c:xVal>
          <c:yVal>
            <c:numRef>
              <c:f>'Fig9'!$H$3:$H$20</c:f>
              <c:numCache>
                <c:formatCode>_(* #,##0.00_);_(* \(#,##0.00\);_(* "-"??_);_(@_)</c:formatCode>
                <c:ptCount val="18"/>
                <c:pt idx="0">
                  <c:v>5.6626329999999996</c:v>
                </c:pt>
                <c:pt idx="1">
                  <c:v>6.3222659999999999</c:v>
                </c:pt>
                <c:pt idx="2">
                  <c:v>5.9084380000000003</c:v>
                </c:pt>
                <c:pt idx="3">
                  <c:v>6.5979450000000002</c:v>
                </c:pt>
                <c:pt idx="4">
                  <c:v>6.9337369999999998</c:v>
                </c:pt>
                <c:pt idx="5">
                  <c:v>6.4309630000000002</c:v>
                </c:pt>
                <c:pt idx="6">
                  <c:v>6.174728</c:v>
                </c:pt>
                <c:pt idx="7">
                  <c:v>4.2663549999999999</c:v>
                </c:pt>
                <c:pt idx="8">
                  <c:v>6.0843959999999999</c:v>
                </c:pt>
                <c:pt idx="9">
                  <c:v>6.2091329999999996</c:v>
                </c:pt>
                <c:pt idx="10">
                  <c:v>6.133451</c:v>
                </c:pt>
                <c:pt idx="11">
                  <c:v>6.2470280000000002</c:v>
                </c:pt>
                <c:pt idx="12">
                  <c:v>5.8433479999999998</c:v>
                </c:pt>
                <c:pt idx="13">
                  <c:v>6.0027679999999997</c:v>
                </c:pt>
                <c:pt idx="14">
                  <c:v>5.8325709999999997</c:v>
                </c:pt>
                <c:pt idx="15">
                  <c:v>5.2733220000000003</c:v>
                </c:pt>
                <c:pt idx="16">
                  <c:v>5.0350400000000004</c:v>
                </c:pt>
                <c:pt idx="17">
                  <c:v>5.0635329999999996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'Fig9'!$B$3:$B$20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09FC-48CE-A83F-DD4EFC962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271256"/>
        <c:axId val="271271648"/>
      </c:scatterChart>
      <c:valAx>
        <c:axId val="271271256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71648"/>
        <c:crosses val="autoZero"/>
        <c:crossBetween val="midCat"/>
      </c:valAx>
      <c:valAx>
        <c:axId val="271271648"/>
        <c:scaling>
          <c:orientation val="minMax"/>
          <c:min val="4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71256"/>
        <c:crosses val="autoZero"/>
        <c:crossBetween val="midCat"/>
        <c:majorUnit val="1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E175-459A-BC46-31B22F320BD1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E175-459A-BC46-31B22F320BD1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E175-459A-BC46-31B22F320BD1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E175-459A-BC46-31B22F320BD1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E175-459A-BC46-31B22F320BD1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E175-459A-BC46-31B22F320BD1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E175-459A-BC46-31B22F320BD1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E175-459A-BC46-31B22F320BD1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E175-459A-BC46-31B22F320BD1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E175-459A-BC46-31B22F320BD1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E175-459A-BC46-31B22F320BD1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E175-459A-BC46-31B22F320BD1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E175-459A-BC46-31B22F320BD1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E175-459A-BC46-31B22F320BD1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E175-459A-BC46-31B22F320BD1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E175-459A-BC46-31B22F320BD1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E175-459A-BC46-31B22F320BD1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E175-459A-BC46-31B22F320BD1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E175-459A-BC46-31B22F320BD1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E175-459A-BC46-31B22F320BD1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E175-459A-BC46-31B22F320BD1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E175-459A-BC46-31B22F320BD1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E175-459A-BC46-31B22F320BD1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E175-459A-BC46-31B22F320BD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E688015-613B-4CB9-9213-3237425226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175-459A-BC46-31B22F320BD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D018BDA-F923-4DF5-8193-6D9F7AF6AA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175-459A-BC46-31B22F320BD1}"/>
                </c:ext>
              </c:extLst>
            </c:dLbl>
            <c:dLbl>
              <c:idx val="2"/>
              <c:layout>
                <c:manualLayout>
                  <c:x val="-6.4814814814814811E-2"/>
                  <c:y val="0.11111111111111105"/>
                </c:manualLayout>
              </c:layout>
              <c:tx>
                <c:rich>
                  <a:bodyPr/>
                  <a:lstStyle/>
                  <a:p>
                    <a:fld id="{85F999FF-2CDA-45D9-A39A-5FEA40451E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175-459A-BC46-31B22F320BD1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F2549623-0836-4408-8EEC-5A77F5E800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175-459A-BC46-31B22F320BD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28B15B3-E3A7-467F-B9BB-4562D65338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175-459A-BC46-31B22F320BD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887BA6A-E19F-4789-8BDC-FF385CFE3C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175-459A-BC46-31B22F320BD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506397B-BC09-4C88-A36E-F28EF1FC00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175-459A-BC46-31B22F320BD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FBC4B10-D1BA-4C62-9D0D-68191CFB60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175-459A-BC46-31B22F320BD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DC2B5E0-3393-41B9-85C7-E38A7D0526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175-459A-BC46-31B22F320BD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6A479C4-1BC5-43FB-A2F4-A6D57D99CE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175-459A-BC46-31B22F320BD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4840B4F-34DD-4B94-A903-7C1445C9C3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175-459A-BC46-31B22F320BD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00B19DD-D591-4A31-8F0C-C37ECEB0FE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175-459A-BC46-31B22F320BD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284863A-7F5D-4D3B-AAF0-65974B837A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175-459A-BC46-31B22F320BD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6B57805-71AC-4BB0-A2E4-C831C04CE3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175-459A-BC46-31B22F320BD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4139A98-2D18-4AC0-A0BC-CB673C5056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175-459A-BC46-31B22F320BD1}"/>
                </c:ext>
              </c:extLst>
            </c:dLbl>
            <c:dLbl>
              <c:idx val="15"/>
              <c:layout>
                <c:manualLayout>
                  <c:x val="-8.4875562720133283E-17"/>
                  <c:y val="-5.5555555555555587E-2"/>
                </c:manualLayout>
              </c:layout>
              <c:tx>
                <c:rich>
                  <a:bodyPr/>
                  <a:lstStyle/>
                  <a:p>
                    <a:fld id="{76AA0FBE-A0A3-4979-AF4C-548AB00AFD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E175-459A-BC46-31B22F320BD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8D4D531-3AD1-4760-AD50-C9F4509DC7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175-459A-BC46-31B22F320BD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7CCE697-2CBA-4029-8164-319B365EC4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175-459A-BC46-31B22F320BD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4F81BD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'Fig9'!$D$3:$D$20</c:f>
              <c:numCache>
                <c:formatCode>_(* #,##0.00_);_(* \(#,##0.00\);_(* "-"??_);_(@_)</c:formatCode>
                <c:ptCount val="18"/>
                <c:pt idx="0">
                  <c:v>78.533159999999995</c:v>
                </c:pt>
                <c:pt idx="1">
                  <c:v>52.990659999999998</c:v>
                </c:pt>
                <c:pt idx="2">
                  <c:v>92.326530000000005</c:v>
                </c:pt>
                <c:pt idx="3">
                  <c:v>94.941569999999999</c:v>
                </c:pt>
                <c:pt idx="4">
                  <c:v>85.589370000000002</c:v>
                </c:pt>
                <c:pt idx="5">
                  <c:v>81.294970000000006</c:v>
                </c:pt>
                <c:pt idx="6">
                  <c:v>74.406750000000002</c:v>
                </c:pt>
                <c:pt idx="7">
                  <c:v>46.210039999999999</c:v>
                </c:pt>
                <c:pt idx="8">
                  <c:v>78.605419999999995</c:v>
                </c:pt>
                <c:pt idx="9">
                  <c:v>79.836330000000004</c:v>
                </c:pt>
                <c:pt idx="10">
                  <c:v>82.423209999999997</c:v>
                </c:pt>
                <c:pt idx="11">
                  <c:v>57.824069999999999</c:v>
                </c:pt>
                <c:pt idx="12">
                  <c:v>62.108559999999997</c:v>
                </c:pt>
                <c:pt idx="13">
                  <c:v>82.273949999999999</c:v>
                </c:pt>
                <c:pt idx="14">
                  <c:v>85.678319999999999</c:v>
                </c:pt>
                <c:pt idx="15">
                  <c:v>76.740939999999995</c:v>
                </c:pt>
                <c:pt idx="16">
                  <c:v>65.706810000000004</c:v>
                </c:pt>
                <c:pt idx="17">
                  <c:v>74.032679999999999</c:v>
                </c:pt>
              </c:numCache>
            </c:numRef>
          </c:xVal>
          <c:yVal>
            <c:numRef>
              <c:f>'Fig9'!$E$3:$E$20</c:f>
              <c:numCache>
                <c:formatCode>_(* #,##0.00_);_(* \(#,##0.00\);_(* "-"??_);_(@_)</c:formatCode>
                <c:ptCount val="18"/>
                <c:pt idx="0">
                  <c:v>5.61076</c:v>
                </c:pt>
                <c:pt idx="1">
                  <c:v>6.8454110000000004</c:v>
                </c:pt>
                <c:pt idx="2">
                  <c:v>6.50176</c:v>
                </c:pt>
                <c:pt idx="3">
                  <c:v>6.9144119999999996</c:v>
                </c:pt>
                <c:pt idx="4">
                  <c:v>7.2174129999999996</c:v>
                </c:pt>
                <c:pt idx="5">
                  <c:v>6.3558789999999998</c:v>
                </c:pt>
                <c:pt idx="6">
                  <c:v>7.6212999999999997</c:v>
                </c:pt>
                <c:pt idx="7">
                  <c:v>4.641527</c:v>
                </c:pt>
                <c:pt idx="8">
                  <c:v>6.2086620000000003</c:v>
                </c:pt>
                <c:pt idx="9">
                  <c:v>6.9609059999999996</c:v>
                </c:pt>
                <c:pt idx="10">
                  <c:v>6.5917310000000002</c:v>
                </c:pt>
                <c:pt idx="11">
                  <c:v>7.2365589999999997</c:v>
                </c:pt>
                <c:pt idx="12">
                  <c:v>6.4299359999999997</c:v>
                </c:pt>
                <c:pt idx="13">
                  <c:v>6.1950770000000004</c:v>
                </c:pt>
                <c:pt idx="14">
                  <c:v>6.4953209999999997</c:v>
                </c:pt>
                <c:pt idx="15">
                  <c:v>5.078354</c:v>
                </c:pt>
                <c:pt idx="16">
                  <c:v>5.8181010000000004</c:v>
                </c:pt>
                <c:pt idx="17">
                  <c:v>5.32463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'Fig9'!$B$3:$B$20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E175-459A-BC46-31B22F320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272432"/>
        <c:axId val="271272824"/>
      </c:scatterChart>
      <c:valAx>
        <c:axId val="271272432"/>
        <c:scaling>
          <c:orientation val="minMax"/>
          <c:min val="40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72824"/>
        <c:crosses val="autoZero"/>
        <c:crossBetween val="midCat"/>
      </c:valAx>
      <c:valAx>
        <c:axId val="271272824"/>
        <c:scaling>
          <c:orientation val="minMax"/>
          <c:min val="4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72432"/>
        <c:crosses val="autoZero"/>
        <c:crossBetween val="midCat"/>
        <c:majorUnit val="1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AF8-4D27-B157-52B2F451CCB8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AF8-4D27-B157-52B2F451CCB8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AF8-4D27-B157-52B2F451CCB8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AF8-4D27-B157-52B2F451CCB8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AF8-4D27-B157-52B2F451CCB8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AF8-4D27-B157-52B2F451CCB8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AF8-4D27-B157-52B2F451CCB8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AF8-4D27-B157-52B2F451CCB8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AF8-4D27-B157-52B2F451CCB8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AF8-4D27-B157-52B2F451CCB8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AF8-4D27-B157-52B2F451CCB8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AF8-4D27-B157-52B2F451CCB8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0AF8-4D27-B157-52B2F451CCB8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AF8-4D27-B157-52B2F451CCB8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AF8-4D27-B157-52B2F451CCB8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0AF8-4D27-B157-52B2F451CCB8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0AF8-4D27-B157-52B2F451CCB8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0AF8-4D27-B157-52B2F451CCB8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0AF8-4D27-B157-52B2F451CCB8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0AF8-4D27-B157-52B2F451CCB8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0AF8-4D27-B157-52B2F451CCB8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0AF8-4D27-B157-52B2F451CCB8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0AF8-4D27-B157-52B2F451CCB8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0AF8-4D27-B157-52B2F451CCB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F20A938-CBB6-4A61-933F-93E3D60825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AF8-4D27-B157-52B2F451CCB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4CF264E-9445-4973-AF42-9E2A94F165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AF8-4D27-B157-52B2F451CCB8}"/>
                </c:ext>
              </c:extLst>
            </c:dLbl>
            <c:dLbl>
              <c:idx val="2"/>
              <c:layout>
                <c:manualLayout>
                  <c:x val="-6.4814814814814811E-2"/>
                  <c:y val="0.11111111111111105"/>
                </c:manualLayout>
              </c:layout>
              <c:tx>
                <c:rich>
                  <a:bodyPr/>
                  <a:lstStyle/>
                  <a:p>
                    <a:fld id="{E642A1DF-1668-4426-A9CC-2074348BB3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AF8-4D27-B157-52B2F451CCB8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A3BAC454-CC06-47FD-8DA6-B0BFC6A0DC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AF8-4D27-B157-52B2F451CCB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7DAE477-7967-4711-9862-6F21D3FAD2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AF8-4D27-B157-52B2F451CCB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1AF7E5A-ABCC-4762-93C1-2EEEFA5AE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AF8-4D27-B157-52B2F451CCB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89117D8-19C6-4422-9D68-3A49D36F25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AF8-4D27-B157-52B2F451CCB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C296227-E6D8-41A1-A6BF-BAF4BC554D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AF8-4D27-B157-52B2F451CCB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180C604-1937-402A-97D6-BFCE879829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AF8-4D27-B157-52B2F451CCB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444CD82-6414-447F-A6C7-ADBFE43560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AF8-4D27-B157-52B2F451CCB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36520F0-119B-4990-947A-E48C262E7B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AF8-4D27-B157-52B2F451CCB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F1B6DA2-78D7-4A62-94A0-237EDA6CE3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AF8-4D27-B157-52B2F451CCB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4FF440E-976A-4B51-B9C5-C3598D965D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AF8-4D27-B157-52B2F451CCB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B5F5994-D233-4785-8107-9F54E6FE45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AF8-4D27-B157-52B2F451CCB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7E78E20-2350-49E1-B336-52B1F49EE2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AF8-4D27-B157-52B2F451CCB8}"/>
                </c:ext>
              </c:extLst>
            </c:dLbl>
            <c:dLbl>
              <c:idx val="15"/>
              <c:layout>
                <c:manualLayout>
                  <c:x val="-8.4875562720133283E-17"/>
                  <c:y val="-5.5555555555555587E-2"/>
                </c:manualLayout>
              </c:layout>
              <c:tx>
                <c:rich>
                  <a:bodyPr/>
                  <a:lstStyle/>
                  <a:p>
                    <a:fld id="{4F62A93B-E6A9-4C15-BB34-D02ABA5FF6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0AF8-4D27-B157-52B2F451CCB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58125EA-FDD1-4C89-8A23-B07598866E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AF8-4D27-B157-52B2F451CCB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ED5651A-EFDD-4D67-9BA3-D1EA881DF1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AF8-4D27-B157-52B2F451CC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4F81BD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'Fig9'!$D$3:$D$20</c:f>
              <c:numCache>
                <c:formatCode>_(* #,##0.00_);_(* \(#,##0.00\);_(* "-"??_);_(@_)</c:formatCode>
                <c:ptCount val="18"/>
                <c:pt idx="0">
                  <c:v>78.533159999999995</c:v>
                </c:pt>
                <c:pt idx="1">
                  <c:v>52.990659999999998</c:v>
                </c:pt>
                <c:pt idx="2">
                  <c:v>92.326530000000005</c:v>
                </c:pt>
                <c:pt idx="3">
                  <c:v>94.941569999999999</c:v>
                </c:pt>
                <c:pt idx="4">
                  <c:v>85.589370000000002</c:v>
                </c:pt>
                <c:pt idx="5">
                  <c:v>81.294970000000006</c:v>
                </c:pt>
                <c:pt idx="6">
                  <c:v>74.406750000000002</c:v>
                </c:pt>
                <c:pt idx="7">
                  <c:v>46.210039999999999</c:v>
                </c:pt>
                <c:pt idx="8">
                  <c:v>78.605419999999995</c:v>
                </c:pt>
                <c:pt idx="9">
                  <c:v>79.836330000000004</c:v>
                </c:pt>
                <c:pt idx="10">
                  <c:v>82.423209999999997</c:v>
                </c:pt>
                <c:pt idx="11">
                  <c:v>57.824069999999999</c:v>
                </c:pt>
                <c:pt idx="12">
                  <c:v>62.108559999999997</c:v>
                </c:pt>
                <c:pt idx="13">
                  <c:v>82.273949999999999</c:v>
                </c:pt>
                <c:pt idx="14">
                  <c:v>85.678319999999999</c:v>
                </c:pt>
                <c:pt idx="15">
                  <c:v>76.740939999999995</c:v>
                </c:pt>
                <c:pt idx="16">
                  <c:v>65.706810000000004</c:v>
                </c:pt>
                <c:pt idx="17">
                  <c:v>74.032679999999999</c:v>
                </c:pt>
              </c:numCache>
            </c:numRef>
          </c:xVal>
          <c:yVal>
            <c:numRef>
              <c:f>'Fig9'!$F$3:$F$20</c:f>
              <c:numCache>
                <c:formatCode>_(* #,##0.00_);_(* \(#,##0.00\);_(* "-"??_);_(@_)</c:formatCode>
                <c:ptCount val="18"/>
                <c:pt idx="0">
                  <c:v>6.1751209999999999</c:v>
                </c:pt>
                <c:pt idx="1">
                  <c:v>6.7131780000000001</c:v>
                </c:pt>
                <c:pt idx="2">
                  <c:v>6.0580759999999998</c:v>
                </c:pt>
                <c:pt idx="3">
                  <c:v>6.1945079999999999</c:v>
                </c:pt>
                <c:pt idx="4">
                  <c:v>6.5935790000000001</c:v>
                </c:pt>
                <c:pt idx="5">
                  <c:v>6.9269309999999997</c:v>
                </c:pt>
                <c:pt idx="6">
                  <c:v>7.5247719999999996</c:v>
                </c:pt>
                <c:pt idx="7">
                  <c:v>4.475746</c:v>
                </c:pt>
                <c:pt idx="8">
                  <c:v>6.0113519999999996</c:v>
                </c:pt>
                <c:pt idx="9">
                  <c:v>6.3611620000000002</c:v>
                </c:pt>
                <c:pt idx="10">
                  <c:v>6.4776119999999997</c:v>
                </c:pt>
                <c:pt idx="11">
                  <c:v>6.8761799999999997</c:v>
                </c:pt>
                <c:pt idx="12">
                  <c:v>6.3822270000000003</c:v>
                </c:pt>
                <c:pt idx="13">
                  <c:v>6.2173910000000001</c:v>
                </c:pt>
                <c:pt idx="14">
                  <c:v>5.9458000000000002</c:v>
                </c:pt>
                <c:pt idx="15">
                  <c:v>5.0082779999999998</c:v>
                </c:pt>
                <c:pt idx="16">
                  <c:v>6.2090740000000002</c:v>
                </c:pt>
                <c:pt idx="17">
                  <c:v>5.8472949999999999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'Fig9'!$B$3:$B$20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0AF8-4D27-B157-52B2F451C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1273608"/>
        <c:axId val="271274000"/>
      </c:scatterChart>
      <c:valAx>
        <c:axId val="271273608"/>
        <c:scaling>
          <c:orientation val="minMax"/>
          <c:min val="40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74000"/>
        <c:crosses val="autoZero"/>
        <c:crossBetween val="midCat"/>
      </c:valAx>
      <c:valAx>
        <c:axId val="271274000"/>
        <c:scaling>
          <c:orientation val="minMax"/>
          <c:min val="4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271273608"/>
        <c:crosses val="autoZero"/>
        <c:crossBetween val="midCat"/>
        <c:majorUnit val="1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6D1-4474-8342-F3BB17D70287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6D1-4474-8342-F3BB17D70287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6D1-4474-8342-F3BB17D70287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86D1-4474-8342-F3BB17D70287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86D1-4474-8342-F3BB17D70287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86D1-4474-8342-F3BB17D70287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86D1-4474-8342-F3BB17D70287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86D1-4474-8342-F3BB17D70287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86D1-4474-8342-F3BB17D70287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86D1-4474-8342-F3BB17D70287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86D1-4474-8342-F3BB17D70287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86D1-4474-8342-F3BB17D70287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86D1-4474-8342-F3BB17D70287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86D1-4474-8342-F3BB17D70287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86D1-4474-8342-F3BB17D70287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86D1-4474-8342-F3BB17D70287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86D1-4474-8342-F3BB17D70287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86D1-4474-8342-F3BB17D70287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86D1-4474-8342-F3BB17D70287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86D1-4474-8342-F3BB17D70287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86D1-4474-8342-F3BB17D70287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86D1-4474-8342-F3BB17D70287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86D1-4474-8342-F3BB17D70287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86D1-4474-8342-F3BB17D702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4F85580-D7C4-40D1-A98C-D3543854C9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6D1-4474-8342-F3BB17D7028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2A06C09-4B22-42DB-AB7A-DC2A853E22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6D1-4474-8342-F3BB17D70287}"/>
                </c:ext>
              </c:extLst>
            </c:dLbl>
            <c:dLbl>
              <c:idx val="2"/>
              <c:layout>
                <c:manualLayout>
                  <c:x val="-6.4814814814814811E-2"/>
                  <c:y val="0.11111111111111105"/>
                </c:manualLayout>
              </c:layout>
              <c:tx>
                <c:rich>
                  <a:bodyPr/>
                  <a:lstStyle/>
                  <a:p>
                    <a:fld id="{35240738-02FD-4A27-A088-685E8D8A63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86D1-4474-8342-F3BB17D70287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C049FC01-84B5-4434-BD56-817B4D5441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6D1-4474-8342-F3BB17D7028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23ECFBC-C77E-4973-BD04-2C045D204B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6D1-4474-8342-F3BB17D7028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FBBFAD7-989C-4A46-B059-D7184E5661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6D1-4474-8342-F3BB17D7028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EBF7380-A4D0-41D1-900A-3E3F285AA9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6D1-4474-8342-F3BB17D7028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DEFBE98-5841-4A6F-9BBB-C40A38C177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6D1-4474-8342-F3BB17D7028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0F4CEFB-A21A-40C8-820E-1B52D91676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6D1-4474-8342-F3BB17D7028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01A7EBE-1F1B-4961-9309-954AD41980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6D1-4474-8342-F3BB17D7028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D288194-42DA-477C-946C-2CFFCB599E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6D1-4474-8342-F3BB17D7028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69797D4-4794-40DF-BF0D-3954154B28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6D1-4474-8342-F3BB17D7028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9874B71-A119-43D3-B456-0CA1A8CED9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6D1-4474-8342-F3BB17D7028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FDA1DDF-00B1-4482-A6D4-60368D3B51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6D1-4474-8342-F3BB17D7028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F685193-C62B-4BB7-A23C-F7D50D4498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6D1-4474-8342-F3BB17D70287}"/>
                </c:ext>
              </c:extLst>
            </c:dLbl>
            <c:dLbl>
              <c:idx val="15"/>
              <c:layout>
                <c:manualLayout>
                  <c:x val="-8.4875562720133283E-17"/>
                  <c:y val="-5.5555555555555587E-2"/>
                </c:manualLayout>
              </c:layout>
              <c:tx>
                <c:rich>
                  <a:bodyPr/>
                  <a:lstStyle/>
                  <a:p>
                    <a:fld id="{89227C95-0B8D-4959-B82E-523B1F40E3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86D1-4474-8342-F3BB17D7028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0161F13-5398-499D-AB2A-68083D1483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6D1-4474-8342-F3BB17D7028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32AE40A-9535-4832-9C53-C1C70E30BD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6D1-4474-8342-F3BB17D702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4F81BD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'Fig9'!$D$3:$D$20</c:f>
              <c:numCache>
                <c:formatCode>_(* #,##0.00_);_(* \(#,##0.00\);_(* "-"??_);_(@_)</c:formatCode>
                <c:ptCount val="18"/>
                <c:pt idx="0">
                  <c:v>78.533159999999995</c:v>
                </c:pt>
                <c:pt idx="1">
                  <c:v>52.990659999999998</c:v>
                </c:pt>
                <c:pt idx="2">
                  <c:v>92.326530000000005</c:v>
                </c:pt>
                <c:pt idx="3">
                  <c:v>94.941569999999999</c:v>
                </c:pt>
                <c:pt idx="4">
                  <c:v>85.589370000000002</c:v>
                </c:pt>
                <c:pt idx="5">
                  <c:v>81.294970000000006</c:v>
                </c:pt>
                <c:pt idx="6">
                  <c:v>74.406750000000002</c:v>
                </c:pt>
                <c:pt idx="7">
                  <c:v>46.210039999999999</c:v>
                </c:pt>
                <c:pt idx="8">
                  <c:v>78.605419999999995</c:v>
                </c:pt>
                <c:pt idx="9">
                  <c:v>79.836330000000004</c:v>
                </c:pt>
                <c:pt idx="10">
                  <c:v>82.423209999999997</c:v>
                </c:pt>
                <c:pt idx="11">
                  <c:v>57.824069999999999</c:v>
                </c:pt>
                <c:pt idx="12">
                  <c:v>62.108559999999997</c:v>
                </c:pt>
                <c:pt idx="13">
                  <c:v>82.273949999999999</c:v>
                </c:pt>
                <c:pt idx="14">
                  <c:v>85.678319999999999</c:v>
                </c:pt>
                <c:pt idx="15">
                  <c:v>76.740939999999995</c:v>
                </c:pt>
                <c:pt idx="16">
                  <c:v>65.706810000000004</c:v>
                </c:pt>
                <c:pt idx="17">
                  <c:v>74.032679999999999</c:v>
                </c:pt>
              </c:numCache>
            </c:numRef>
          </c:xVal>
          <c:yVal>
            <c:numRef>
              <c:f>'Fig9'!$G$3:$G$20</c:f>
              <c:numCache>
                <c:formatCode>_(* #,##0.00_);_(* \(#,##0.00\);_(* "-"??_);_(@_)</c:formatCode>
                <c:ptCount val="18"/>
                <c:pt idx="0">
                  <c:v>6.507479</c:v>
                </c:pt>
                <c:pt idx="1">
                  <c:v>7.5190840000000003</c:v>
                </c:pt>
                <c:pt idx="2">
                  <c:v>7.1560589999999999</c:v>
                </c:pt>
                <c:pt idx="3">
                  <c:v>7.2219559999999996</c:v>
                </c:pt>
                <c:pt idx="4">
                  <c:v>8.0036129999999996</c:v>
                </c:pt>
                <c:pt idx="5">
                  <c:v>7.2168049999999999</c:v>
                </c:pt>
                <c:pt idx="6">
                  <c:v>8.3178040000000006</c:v>
                </c:pt>
                <c:pt idx="7">
                  <c:v>5.0893860000000002</c:v>
                </c:pt>
                <c:pt idx="8">
                  <c:v>7.6101400000000003</c:v>
                </c:pt>
                <c:pt idx="9">
                  <c:v>7.9361439999999996</c:v>
                </c:pt>
                <c:pt idx="10">
                  <c:v>7.3330450000000003</c:v>
                </c:pt>
                <c:pt idx="11">
                  <c:v>7.3698170000000003</c:v>
                </c:pt>
                <c:pt idx="12">
                  <c:v>7.0274549999999998</c:v>
                </c:pt>
                <c:pt idx="13">
                  <c:v>6.7123290000000004</c:v>
                </c:pt>
                <c:pt idx="14">
                  <c:v>7.0395079999999997</c:v>
                </c:pt>
                <c:pt idx="15">
                  <c:v>5.9766000000000004</c:v>
                </c:pt>
                <c:pt idx="16">
                  <c:v>6.4487629999999996</c:v>
                </c:pt>
                <c:pt idx="17">
                  <c:v>5.7417389999999999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'Fig9'!$B$3:$B$20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86D1-4474-8342-F3BB17D70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043216"/>
        <c:axId val="436043608"/>
      </c:scatterChart>
      <c:valAx>
        <c:axId val="436043216"/>
        <c:scaling>
          <c:orientation val="minMax"/>
          <c:min val="40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6043608"/>
        <c:crosses val="autoZero"/>
        <c:crossBetween val="midCat"/>
      </c:valAx>
      <c:valAx>
        <c:axId val="436043608"/>
        <c:scaling>
          <c:orientation val="minMax"/>
          <c:min val="4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6043216"/>
        <c:crosses val="autoZero"/>
        <c:crossBetween val="midCat"/>
        <c:majorUnit val="1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064C-4D89-ADB7-8AF22B3CBD34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064C-4D89-ADB7-8AF22B3CBD34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64C-4D89-ADB7-8AF22B3CBD34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64C-4D89-ADB7-8AF22B3CBD34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064C-4D89-ADB7-8AF22B3CBD34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064C-4D89-ADB7-8AF22B3CBD34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064C-4D89-ADB7-8AF22B3CBD34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064C-4D89-ADB7-8AF22B3CBD34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064C-4D89-ADB7-8AF22B3CBD34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64C-4D89-ADB7-8AF22B3CBD34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064C-4D89-ADB7-8AF22B3CBD34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064C-4D89-ADB7-8AF22B3CBD34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064C-4D89-ADB7-8AF22B3CBD34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064C-4D89-ADB7-8AF22B3CBD34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064C-4D89-ADB7-8AF22B3CBD34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064C-4D89-ADB7-8AF22B3CBD34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064C-4D89-ADB7-8AF22B3CBD34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064C-4D89-ADB7-8AF22B3CBD34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064C-4D89-ADB7-8AF22B3CBD34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064C-4D89-ADB7-8AF22B3CBD34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064C-4D89-ADB7-8AF22B3CBD34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064C-4D89-ADB7-8AF22B3CBD34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064C-4D89-ADB7-8AF22B3CBD34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064C-4D89-ADB7-8AF22B3CBD3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E7CD2C4-FC9C-45FE-A174-F513D35DA2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64C-4D89-ADB7-8AF22B3CBD3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A7A32C9-8A92-4AE9-A2CF-625D385BD1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64C-4D89-ADB7-8AF22B3CBD34}"/>
                </c:ext>
              </c:extLst>
            </c:dLbl>
            <c:dLbl>
              <c:idx val="2"/>
              <c:layout>
                <c:manualLayout>
                  <c:x val="-6.4814814814814811E-2"/>
                  <c:y val="0.11111111111111105"/>
                </c:manualLayout>
              </c:layout>
              <c:tx>
                <c:rich>
                  <a:bodyPr/>
                  <a:lstStyle/>
                  <a:p>
                    <a:fld id="{50C3786E-4F88-4E23-AE9E-9171480E5E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064C-4D89-ADB7-8AF22B3CBD34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2519E612-9828-45DB-98D1-3110416D87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64C-4D89-ADB7-8AF22B3CBD3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1937C23-F095-4BB7-A0BD-B3088B45ED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64C-4D89-ADB7-8AF22B3CBD3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CEA1EEB-8437-4A30-8CB4-D3132144BE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64C-4D89-ADB7-8AF22B3CBD3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C82A360-D5E7-45C8-AFAB-D97C53B432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64C-4D89-ADB7-8AF22B3CBD3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C501915-FE33-4614-ABF7-5372B38885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64C-4D89-ADB7-8AF22B3CBD3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0EA8D02-F527-4B21-9AFE-5A12B1648D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64C-4D89-ADB7-8AF22B3CBD3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D3C9588-4930-48D5-AD8D-F6804C4265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64C-4D89-ADB7-8AF22B3CBD3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B1156B9-FB99-4602-B2B2-419EC86623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64C-4D89-ADB7-8AF22B3CBD3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74EAD51-601E-4879-98B1-F11B0F5BF2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64C-4D89-ADB7-8AF22B3CBD3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4390BBE-8533-4646-9829-21E05EFE6D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64C-4D89-ADB7-8AF22B3CBD3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B59E925-C534-4D89-B401-62401A06E9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64C-4D89-ADB7-8AF22B3CBD3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93814EC-ED53-4050-8416-A0E6114B6D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64C-4D89-ADB7-8AF22B3CBD34}"/>
                </c:ext>
              </c:extLst>
            </c:dLbl>
            <c:dLbl>
              <c:idx val="15"/>
              <c:layout>
                <c:manualLayout>
                  <c:x val="-8.4875562720133283E-17"/>
                  <c:y val="-5.5555555555555587E-2"/>
                </c:manualLayout>
              </c:layout>
              <c:tx>
                <c:rich>
                  <a:bodyPr/>
                  <a:lstStyle/>
                  <a:p>
                    <a:fld id="{8F0A8867-BFB0-430E-A2B3-EC1EE8154E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064C-4D89-ADB7-8AF22B3CBD3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74AD3EC-614E-4C39-9CED-1E4F86E026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64C-4D89-ADB7-8AF22B3CBD3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71FC392-A945-4D12-AD64-FF17ED2783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64C-4D89-ADB7-8AF22B3CBD3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4F81BD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'Fig9'!$D$3:$D$20</c:f>
              <c:numCache>
                <c:formatCode>_(* #,##0.00_);_(* \(#,##0.00\);_(* "-"??_);_(@_)</c:formatCode>
                <c:ptCount val="18"/>
                <c:pt idx="0">
                  <c:v>78.533159999999995</c:v>
                </c:pt>
                <c:pt idx="1">
                  <c:v>52.990659999999998</c:v>
                </c:pt>
                <c:pt idx="2">
                  <c:v>92.326530000000005</c:v>
                </c:pt>
                <c:pt idx="3">
                  <c:v>94.941569999999999</c:v>
                </c:pt>
                <c:pt idx="4">
                  <c:v>85.589370000000002</c:v>
                </c:pt>
                <c:pt idx="5">
                  <c:v>81.294970000000006</c:v>
                </c:pt>
                <c:pt idx="6">
                  <c:v>74.406750000000002</c:v>
                </c:pt>
                <c:pt idx="7">
                  <c:v>46.210039999999999</c:v>
                </c:pt>
                <c:pt idx="8">
                  <c:v>78.605419999999995</c:v>
                </c:pt>
                <c:pt idx="9">
                  <c:v>79.836330000000004</c:v>
                </c:pt>
                <c:pt idx="10">
                  <c:v>82.423209999999997</c:v>
                </c:pt>
                <c:pt idx="11">
                  <c:v>57.824069999999999</c:v>
                </c:pt>
                <c:pt idx="12">
                  <c:v>62.108559999999997</c:v>
                </c:pt>
                <c:pt idx="13">
                  <c:v>82.273949999999999</c:v>
                </c:pt>
                <c:pt idx="14">
                  <c:v>85.678319999999999</c:v>
                </c:pt>
                <c:pt idx="15">
                  <c:v>76.740939999999995</c:v>
                </c:pt>
                <c:pt idx="16">
                  <c:v>65.706810000000004</c:v>
                </c:pt>
                <c:pt idx="17">
                  <c:v>74.032679999999999</c:v>
                </c:pt>
              </c:numCache>
            </c:numRef>
          </c:xVal>
          <c:yVal>
            <c:numRef>
              <c:f>'Fig9'!$H$3:$H$20</c:f>
              <c:numCache>
                <c:formatCode>_(* #,##0.00_);_(* \(#,##0.00\);_(* "-"??_);_(@_)</c:formatCode>
                <c:ptCount val="18"/>
                <c:pt idx="0">
                  <c:v>5.6626329999999996</c:v>
                </c:pt>
                <c:pt idx="1">
                  <c:v>6.3222659999999999</c:v>
                </c:pt>
                <c:pt idx="2">
                  <c:v>5.9084380000000003</c:v>
                </c:pt>
                <c:pt idx="3">
                  <c:v>6.5979450000000002</c:v>
                </c:pt>
                <c:pt idx="4">
                  <c:v>6.9337369999999998</c:v>
                </c:pt>
                <c:pt idx="5">
                  <c:v>6.4309630000000002</c:v>
                </c:pt>
                <c:pt idx="6">
                  <c:v>6.174728</c:v>
                </c:pt>
                <c:pt idx="7">
                  <c:v>4.2663549999999999</c:v>
                </c:pt>
                <c:pt idx="8">
                  <c:v>6.0843959999999999</c:v>
                </c:pt>
                <c:pt idx="9">
                  <c:v>6.2091329999999996</c:v>
                </c:pt>
                <c:pt idx="10">
                  <c:v>6.133451</c:v>
                </c:pt>
                <c:pt idx="11">
                  <c:v>6.2470280000000002</c:v>
                </c:pt>
                <c:pt idx="12">
                  <c:v>5.8433479999999998</c:v>
                </c:pt>
                <c:pt idx="13">
                  <c:v>6.0027679999999997</c:v>
                </c:pt>
                <c:pt idx="14">
                  <c:v>5.8325709999999997</c:v>
                </c:pt>
                <c:pt idx="15">
                  <c:v>5.2733220000000003</c:v>
                </c:pt>
                <c:pt idx="16">
                  <c:v>5.0350400000000004</c:v>
                </c:pt>
                <c:pt idx="17">
                  <c:v>5.0635329999999996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'Fig9'!$B$3:$B$20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064C-4D89-ADB7-8AF22B3CB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044392"/>
        <c:axId val="436044784"/>
      </c:scatterChart>
      <c:valAx>
        <c:axId val="436044392"/>
        <c:scaling>
          <c:orientation val="minMax"/>
          <c:min val="40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6044784"/>
        <c:crosses val="autoZero"/>
        <c:crossBetween val="midCat"/>
      </c:valAx>
      <c:valAx>
        <c:axId val="436044784"/>
        <c:scaling>
          <c:orientation val="minMax"/>
          <c:min val="4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6044392"/>
        <c:crosses val="autoZero"/>
        <c:crossBetween val="midCat"/>
        <c:majorUnit val="1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645F-436C-86BF-ABB4B1E112AC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5F-436C-86BF-ABB4B1E112AC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645F-436C-86BF-ABB4B1E112AC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645F-436C-86BF-ABB4B1E112AC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645F-436C-86BF-ABB4B1E112AC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645F-436C-86BF-ABB4B1E112AC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645F-436C-86BF-ABB4B1E112AC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645F-436C-86BF-ABB4B1E112AC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645F-436C-86BF-ABB4B1E112AC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645F-436C-86BF-ABB4B1E112AC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645F-436C-86BF-ABB4B1E112AC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645F-436C-86BF-ABB4B1E112AC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645F-436C-86BF-ABB4B1E112AC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645F-436C-86BF-ABB4B1E112AC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645F-436C-86BF-ABB4B1E112AC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645F-436C-86BF-ABB4B1E112AC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645F-436C-86BF-ABB4B1E112AC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645F-436C-86BF-ABB4B1E112AC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645F-436C-86BF-ABB4B1E112AC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645F-436C-86BF-ABB4B1E112AC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645F-436C-86BF-ABB4B1E112AC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645F-436C-86BF-ABB4B1E112AC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645F-436C-86BF-ABB4B1E112AC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645F-436C-86BF-ABB4B1E112A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E644FAE-629B-4D37-8A7D-5196461962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45F-436C-86BF-ABB4B1E112A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1C1BDA9-96C2-4F05-9648-92C1090E2B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45F-436C-86BF-ABB4B1E112AC}"/>
                </c:ext>
              </c:extLst>
            </c:dLbl>
            <c:dLbl>
              <c:idx val="2"/>
              <c:layout>
                <c:manualLayout>
                  <c:x val="-6.4814814814814811E-2"/>
                  <c:y val="0.11111111111111105"/>
                </c:manualLayout>
              </c:layout>
              <c:tx>
                <c:rich>
                  <a:bodyPr/>
                  <a:lstStyle/>
                  <a:p>
                    <a:fld id="{0D707F71-3CBB-4A7D-9F7D-55E304B8A7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45F-436C-86BF-ABB4B1E112AC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5D710971-B058-4BB8-81ED-EA5137BD02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45F-436C-86BF-ABB4B1E112A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312DB88-4173-448A-97BC-40EE01AB41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45F-436C-86BF-ABB4B1E112A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32E26A1-D37A-4C09-A35C-42124F5F5C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45F-436C-86BF-ABB4B1E112A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4490FD7-2F9C-4A45-9FFA-9AB9DCC5FA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45F-436C-86BF-ABB4B1E112A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35E407D-A9C7-496D-90C0-678F22DAE8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45F-436C-86BF-ABB4B1E112A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CBA6BB6-4C1D-4DAD-B3EB-95F0EED99A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45F-436C-86BF-ABB4B1E112A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DA6FDBB-97F9-44FB-BE9A-88E7660247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45F-436C-86BF-ABB4B1E112A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0ACE978-377F-4759-9765-AEDCD4AB4A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5F-436C-86BF-ABB4B1E112A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70FDD2D-15DF-40B3-8D89-25A6B4FB1A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5F-436C-86BF-ABB4B1E112A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20BF02F-B260-4F03-9F2A-D22DB92E2F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5F-436C-86BF-ABB4B1E112A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FAFFBFE-569B-478B-9CCC-2B12B3A982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45F-436C-86BF-ABB4B1E112A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D1B1746-2169-4542-ADDD-3BD1CA5750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45F-436C-86BF-ABB4B1E112AC}"/>
                </c:ext>
              </c:extLst>
            </c:dLbl>
            <c:dLbl>
              <c:idx val="15"/>
              <c:layout>
                <c:manualLayout>
                  <c:x val="-8.4875562720133283E-17"/>
                  <c:y val="-5.5555555555555587E-2"/>
                </c:manualLayout>
              </c:layout>
              <c:tx>
                <c:rich>
                  <a:bodyPr/>
                  <a:lstStyle/>
                  <a:p>
                    <a:fld id="{E4A5C76E-E67C-4468-87BF-7DB1004048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645F-436C-86BF-ABB4B1E112A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7433DED-2ECD-444D-98A5-D4F67A176C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45F-436C-86BF-ABB4B1E112A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E29B33D-BBA7-4880-BEF3-C4F589F82A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45F-436C-86BF-ABB4B1E112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rgbClr val="4F81BD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FigA1!$C$2:$C$19</c:f>
              <c:numCache>
                <c:formatCode>_(* #,##0.00_);_(* \(#,##0.00\);_(* "-"??_);_(@_)</c:formatCode>
                <c:ptCount val="18"/>
                <c:pt idx="0">
                  <c:v>78.533159999999995</c:v>
                </c:pt>
                <c:pt idx="1">
                  <c:v>52.990659999999998</c:v>
                </c:pt>
                <c:pt idx="2">
                  <c:v>92.326530000000005</c:v>
                </c:pt>
                <c:pt idx="3">
                  <c:v>94.941569999999999</c:v>
                </c:pt>
                <c:pt idx="4">
                  <c:v>85.589370000000002</c:v>
                </c:pt>
                <c:pt idx="5">
                  <c:v>81.294970000000006</c:v>
                </c:pt>
                <c:pt idx="6">
                  <c:v>74.406750000000002</c:v>
                </c:pt>
                <c:pt idx="7">
                  <c:v>46.210039999999999</c:v>
                </c:pt>
                <c:pt idx="8">
                  <c:v>78.605419999999995</c:v>
                </c:pt>
                <c:pt idx="9">
                  <c:v>79.836330000000004</c:v>
                </c:pt>
                <c:pt idx="10">
                  <c:v>82.423209999999997</c:v>
                </c:pt>
                <c:pt idx="11">
                  <c:v>57.824069999999999</c:v>
                </c:pt>
                <c:pt idx="12">
                  <c:v>62.108559999999997</c:v>
                </c:pt>
                <c:pt idx="13">
                  <c:v>82.273949999999999</c:v>
                </c:pt>
                <c:pt idx="14">
                  <c:v>85.678319999999999</c:v>
                </c:pt>
                <c:pt idx="15">
                  <c:v>76.740939999999995</c:v>
                </c:pt>
                <c:pt idx="16">
                  <c:v>65.706810000000004</c:v>
                </c:pt>
                <c:pt idx="17">
                  <c:v>74.032679999999999</c:v>
                </c:pt>
              </c:numCache>
            </c:numRef>
          </c:xVal>
          <c:yVal>
            <c:numRef>
              <c:f>FigA1!$D$2:$D$19</c:f>
              <c:numCache>
                <c:formatCode>_(* #,##0.00_);_(* \(#,##0.00\);_(* "-"??_);_(@_)</c:formatCode>
                <c:ptCount val="18"/>
                <c:pt idx="0">
                  <c:v>3.089788</c:v>
                </c:pt>
                <c:pt idx="1">
                  <c:v>4.7477749999999999</c:v>
                </c:pt>
                <c:pt idx="2">
                  <c:v>3.6395149999999998</c:v>
                </c:pt>
                <c:pt idx="3">
                  <c:v>3.6219070000000002</c:v>
                </c:pt>
                <c:pt idx="4">
                  <c:v>4.8303929999999999</c:v>
                </c:pt>
                <c:pt idx="5">
                  <c:v>6.3475549999999998</c:v>
                </c:pt>
                <c:pt idx="6">
                  <c:v>7.1737960000000003</c:v>
                </c:pt>
                <c:pt idx="7">
                  <c:v>2.5328330000000001</c:v>
                </c:pt>
                <c:pt idx="8">
                  <c:v>5.8714769999999996</c:v>
                </c:pt>
                <c:pt idx="9">
                  <c:v>4.3816879999999996</c:v>
                </c:pt>
                <c:pt idx="10">
                  <c:v>5.2859619999999996</c:v>
                </c:pt>
                <c:pt idx="11">
                  <c:v>4.0438190000000001</c:v>
                </c:pt>
                <c:pt idx="12">
                  <c:v>5.440696</c:v>
                </c:pt>
                <c:pt idx="13">
                  <c:v>5.4460090000000001</c:v>
                </c:pt>
                <c:pt idx="14">
                  <c:v>3.0430799999999998</c:v>
                </c:pt>
                <c:pt idx="15">
                  <c:v>5.4508539999999996</c:v>
                </c:pt>
                <c:pt idx="16">
                  <c:v>1.5287770000000001</c:v>
                </c:pt>
                <c:pt idx="17">
                  <c:v>3.8961039999999998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FigA1!$A$2:$A$19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645F-436C-86BF-ABB4B1E11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048312"/>
        <c:axId val="436048704"/>
      </c:scatterChart>
      <c:valAx>
        <c:axId val="436048312"/>
        <c:scaling>
          <c:orientation val="minMax"/>
          <c:min val="40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6048704"/>
        <c:crosses val="autoZero"/>
        <c:crossBetween val="midCat"/>
      </c:valAx>
      <c:valAx>
        <c:axId val="43604870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6048312"/>
        <c:crosses val="autoZero"/>
        <c:crossBetween val="midCat"/>
        <c:majorUnit val="2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7E95-412E-B233-B95170B8784E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7E95-412E-B233-B95170B8784E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E95-412E-B233-B95170B8784E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7E95-412E-B233-B95170B8784E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7E95-412E-B233-B95170B8784E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7E95-412E-B233-B95170B8784E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7E95-412E-B233-B95170B8784E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7E95-412E-B233-B95170B8784E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7E95-412E-B233-B95170B8784E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7E95-412E-B233-B95170B8784E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7E95-412E-B233-B95170B8784E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7E95-412E-B233-B95170B8784E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7E95-412E-B233-B95170B8784E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7E95-412E-B233-B95170B8784E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7E95-412E-B233-B95170B8784E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7E95-412E-B233-B95170B8784E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7E95-412E-B233-B95170B8784E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7E95-412E-B233-B95170B8784E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7E95-412E-B233-B95170B8784E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7E95-412E-B233-B95170B8784E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7E95-412E-B233-B95170B8784E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7E95-412E-B233-B95170B8784E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7E95-412E-B233-B95170B8784E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7E95-412E-B233-B95170B8784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76EBC8B-108B-4728-B7C3-261F76EC16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E95-412E-B233-B95170B878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E0434DE-4725-4FB2-90A0-429ABBA78B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E95-412E-B233-B95170B8784E}"/>
                </c:ext>
              </c:extLst>
            </c:dLbl>
            <c:dLbl>
              <c:idx val="2"/>
              <c:layout>
                <c:manualLayout>
                  <c:x val="-6.4814814814814811E-2"/>
                  <c:y val="0.11111111111111105"/>
                </c:manualLayout>
              </c:layout>
              <c:tx>
                <c:rich>
                  <a:bodyPr/>
                  <a:lstStyle/>
                  <a:p>
                    <a:fld id="{DBDF842F-B6E2-4B30-88EA-365D5F6ABF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7E95-412E-B233-B95170B8784E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7A1D8F8A-1625-4669-B6C6-C6DE1E9B25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7E95-412E-B233-B95170B8784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02FFD92-3C56-46B8-B101-F5F46D08CF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E95-412E-B233-B95170B8784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0FD7D3B-8474-4FAB-85A0-C4CCA7E3D4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E95-412E-B233-B95170B8784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7CB0C20-33DB-452F-9A99-46AA485686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E95-412E-B233-B95170B8784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717744B-3D2C-40DE-B5C8-7C29ACE793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E95-412E-B233-B95170B8784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083DD60-48E3-424A-A19E-A81ADF8468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E95-412E-B233-B95170B8784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FC66347-1E6E-4E32-B383-80DD252E4A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E95-412E-B233-B95170B8784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5371F71-4DC5-4E6D-9F17-A444CB1549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E95-412E-B233-B95170B8784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3DCCF49-4451-4D9B-90C6-1BA51B2994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E95-412E-B233-B95170B8784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5D7895F-10D3-4824-A2E1-EDE8E2DAC2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E95-412E-B233-B95170B8784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A901D87-6DE4-44D1-8C21-2A537F1716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E95-412E-B233-B95170B8784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E39E95F-375D-4A18-9846-4C9AA5EF27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E95-412E-B233-B95170B8784E}"/>
                </c:ext>
              </c:extLst>
            </c:dLbl>
            <c:dLbl>
              <c:idx val="15"/>
              <c:layout>
                <c:manualLayout>
                  <c:x val="-8.4875562720133283E-17"/>
                  <c:y val="-5.5555555555555587E-2"/>
                </c:manualLayout>
              </c:layout>
              <c:tx>
                <c:rich>
                  <a:bodyPr/>
                  <a:lstStyle/>
                  <a:p>
                    <a:fld id="{8B19B48E-EEF4-4BF5-8D15-574E25287B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7E95-412E-B233-B95170B8784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83F6300-3E4B-414B-8249-D10AAB7F34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E95-412E-B233-B95170B8784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8A127DB-C850-470A-84E7-A2CB3DA7B1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E95-412E-B233-B95170B878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FigA1!$C$2:$C$19</c:f>
              <c:numCache>
                <c:formatCode>_(* #,##0.00_);_(* \(#,##0.00\);_(* "-"??_);_(@_)</c:formatCode>
                <c:ptCount val="18"/>
                <c:pt idx="0">
                  <c:v>78.533159999999995</c:v>
                </c:pt>
                <c:pt idx="1">
                  <c:v>52.990659999999998</c:v>
                </c:pt>
                <c:pt idx="2">
                  <c:v>92.326530000000005</c:v>
                </c:pt>
                <c:pt idx="3">
                  <c:v>94.941569999999999</c:v>
                </c:pt>
                <c:pt idx="4">
                  <c:v>85.589370000000002</c:v>
                </c:pt>
                <c:pt idx="5">
                  <c:v>81.294970000000006</c:v>
                </c:pt>
                <c:pt idx="6">
                  <c:v>74.406750000000002</c:v>
                </c:pt>
                <c:pt idx="7">
                  <c:v>46.210039999999999</c:v>
                </c:pt>
                <c:pt idx="8">
                  <c:v>78.605419999999995</c:v>
                </c:pt>
                <c:pt idx="9">
                  <c:v>79.836330000000004</c:v>
                </c:pt>
                <c:pt idx="10">
                  <c:v>82.423209999999997</c:v>
                </c:pt>
                <c:pt idx="11">
                  <c:v>57.824069999999999</c:v>
                </c:pt>
                <c:pt idx="12">
                  <c:v>62.108559999999997</c:v>
                </c:pt>
                <c:pt idx="13">
                  <c:v>82.273949999999999</c:v>
                </c:pt>
                <c:pt idx="14">
                  <c:v>85.678319999999999</c:v>
                </c:pt>
                <c:pt idx="15">
                  <c:v>76.740939999999995</c:v>
                </c:pt>
                <c:pt idx="16">
                  <c:v>65.706810000000004</c:v>
                </c:pt>
                <c:pt idx="17">
                  <c:v>74.032679999999999</c:v>
                </c:pt>
              </c:numCache>
            </c:numRef>
          </c:xVal>
          <c:yVal>
            <c:numRef>
              <c:f>FigA1!$E$2:$E$19</c:f>
              <c:numCache>
                <c:formatCode>_(* #,##0.00_);_(* \(#,##0.00\);_(* "-"??_);_(@_)</c:formatCode>
                <c:ptCount val="18"/>
                <c:pt idx="0">
                  <c:v>7.363747</c:v>
                </c:pt>
                <c:pt idx="1">
                  <c:v>7.2744900000000001</c:v>
                </c:pt>
                <c:pt idx="2">
                  <c:v>13.723850000000001</c:v>
                </c:pt>
                <c:pt idx="3">
                  <c:v>4.5236340000000004</c:v>
                </c:pt>
                <c:pt idx="4">
                  <c:v>9.4446560000000002</c:v>
                </c:pt>
                <c:pt idx="5">
                  <c:v>6.8535830000000004</c:v>
                </c:pt>
                <c:pt idx="6">
                  <c:v>12.11412</c:v>
                </c:pt>
                <c:pt idx="7">
                  <c:v>3.5547240000000002</c:v>
                </c:pt>
                <c:pt idx="8">
                  <c:v>3.451279</c:v>
                </c:pt>
                <c:pt idx="9">
                  <c:v>4.4472569999999996</c:v>
                </c:pt>
                <c:pt idx="10">
                  <c:v>5.7461399999999996</c:v>
                </c:pt>
                <c:pt idx="11">
                  <c:v>5.8947900000000004</c:v>
                </c:pt>
                <c:pt idx="12">
                  <c:v>10.7906</c:v>
                </c:pt>
                <c:pt idx="13">
                  <c:v>7.8395630000000001</c:v>
                </c:pt>
                <c:pt idx="14">
                  <c:v>4.8086630000000001</c:v>
                </c:pt>
                <c:pt idx="15">
                  <c:v>5.386971</c:v>
                </c:pt>
                <c:pt idx="16">
                  <c:v>9.2838200000000004</c:v>
                </c:pt>
                <c:pt idx="17">
                  <c:v>3.8062279999999999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FigA1!$A$2:$A$19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7E95-412E-B233-B95170B87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049488"/>
        <c:axId val="436049880"/>
      </c:scatterChart>
      <c:valAx>
        <c:axId val="436049488"/>
        <c:scaling>
          <c:orientation val="minMax"/>
          <c:min val="40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6049880"/>
        <c:crosses val="autoZero"/>
        <c:crossBetween val="midCat"/>
      </c:valAx>
      <c:valAx>
        <c:axId val="43604988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6049488"/>
        <c:crosses val="autoZero"/>
        <c:crossBetween val="midCat"/>
        <c:majorUnit val="4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BC0-441E-890C-A7FBFBFA6C59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BC0-441E-890C-A7FBFBFA6C59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BC0-441E-890C-A7FBFBFA6C59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BC0-441E-890C-A7FBFBFA6C59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BC0-441E-890C-A7FBFBFA6C59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BC0-441E-890C-A7FBFBFA6C59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BC0-441E-890C-A7FBFBFA6C59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BC0-441E-890C-A7FBFBFA6C59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BC0-441E-890C-A7FBFBFA6C59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1BC0-441E-890C-A7FBFBFA6C59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1BC0-441E-890C-A7FBFBFA6C59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BC0-441E-890C-A7FBFBFA6C59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1BC0-441E-890C-A7FBFBFA6C59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1BC0-441E-890C-A7FBFBFA6C59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1BC0-441E-890C-A7FBFBFA6C59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1BC0-441E-890C-A7FBFBFA6C59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1BC0-441E-890C-A7FBFBFA6C59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1BC0-441E-890C-A7FBFBFA6C59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1BC0-441E-890C-A7FBFBFA6C59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1BC0-441E-890C-A7FBFBFA6C59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1BC0-441E-890C-A7FBFBFA6C59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1BC0-441E-890C-A7FBFBFA6C59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1BC0-441E-890C-A7FBFBFA6C59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1BC0-441E-890C-A7FBFBFA6C5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A9839EC-F6B2-4835-95ED-A8FD812146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BC0-441E-890C-A7FBFBFA6C5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9CD6B8E-68B6-4DE6-937D-522C69621D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BC0-441E-890C-A7FBFBFA6C5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D0E0FCB-2D58-4E89-8948-5F3880769A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BC0-441E-890C-A7FBFBFA6C5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CC559B0-4396-4753-848A-11D2D480AC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1BC0-441E-890C-A7FBFBFA6C5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F0D3616-4DCE-4C64-BA9B-8722246A51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BC0-441E-890C-A7FBFBFA6C5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A8C9548-62C6-4F1B-A2AA-091E72327B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BC0-441E-890C-A7FBFBFA6C5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2715AEE-60E6-411C-9E05-EF21EFC3ED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BC0-441E-890C-A7FBFBFA6C5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1BB787D-D271-4F11-A8D7-99F722011E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BC0-441E-890C-A7FBFBFA6C5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38F4841-AF34-4F60-9E9E-E38B90CB12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BC0-441E-890C-A7FBFBFA6C5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22A1B54-8677-41D0-8551-0810C1BA79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BC0-441E-890C-A7FBFBFA6C5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1DA569E-EDE9-4451-A62E-3B30224213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BC0-441E-890C-A7FBFBFA6C5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B29A460-A397-4671-A50B-45BDD738D0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BC0-441E-890C-A7FBFBFA6C5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B362A99-F27E-463A-B926-9CAEEF71F4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BC0-441E-890C-A7FBFBFA6C5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8CF26B8-1427-414A-9ED3-4850279B20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BC0-441E-890C-A7FBFBFA6C5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8B22AE4-354E-4C42-8D10-E8EEDA45FB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BC0-441E-890C-A7FBFBFA6C5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02BDA23-61AA-4746-ACC4-5EC5C7CAB9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BC0-441E-890C-A7FBFBFA6C5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F3CFECC-BDA6-4A26-8C40-A603BE189B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BC0-441E-890C-A7FBFBFA6C5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515940E-3B25-4136-8EC7-A2F95F3BB3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BC0-441E-890C-A7FBFBFA6C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FigA1!$C$2:$C$19</c:f>
              <c:numCache>
                <c:formatCode>_(* #,##0.00_);_(* \(#,##0.00\);_(* "-"??_);_(@_)</c:formatCode>
                <c:ptCount val="18"/>
                <c:pt idx="0">
                  <c:v>78.533159999999995</c:v>
                </c:pt>
                <c:pt idx="1">
                  <c:v>52.990659999999998</c:v>
                </c:pt>
                <c:pt idx="2">
                  <c:v>92.326530000000005</c:v>
                </c:pt>
                <c:pt idx="3">
                  <c:v>94.941569999999999</c:v>
                </c:pt>
                <c:pt idx="4">
                  <c:v>85.589370000000002</c:v>
                </c:pt>
                <c:pt idx="5">
                  <c:v>81.294970000000006</c:v>
                </c:pt>
                <c:pt idx="6">
                  <c:v>74.406750000000002</c:v>
                </c:pt>
                <c:pt idx="7">
                  <c:v>46.210039999999999</c:v>
                </c:pt>
                <c:pt idx="8">
                  <c:v>78.605419999999995</c:v>
                </c:pt>
                <c:pt idx="9">
                  <c:v>79.836330000000004</c:v>
                </c:pt>
                <c:pt idx="10">
                  <c:v>82.423209999999997</c:v>
                </c:pt>
                <c:pt idx="11">
                  <c:v>57.824069999999999</c:v>
                </c:pt>
                <c:pt idx="12">
                  <c:v>62.108559999999997</c:v>
                </c:pt>
                <c:pt idx="13">
                  <c:v>82.273949999999999</c:v>
                </c:pt>
                <c:pt idx="14">
                  <c:v>85.678319999999999</c:v>
                </c:pt>
                <c:pt idx="15">
                  <c:v>76.740939999999995</c:v>
                </c:pt>
                <c:pt idx="16">
                  <c:v>65.706810000000004</c:v>
                </c:pt>
                <c:pt idx="17">
                  <c:v>74.032679999999999</c:v>
                </c:pt>
              </c:numCache>
            </c:numRef>
          </c:xVal>
          <c:yVal>
            <c:numRef>
              <c:f>FigA1!$F$2:$F$19</c:f>
              <c:numCache>
                <c:formatCode>_(* #,##0.00_);_(* \(#,##0.00\);_(* "-"??_);_(@_)</c:formatCode>
                <c:ptCount val="18"/>
                <c:pt idx="0">
                  <c:v>21.06841</c:v>
                </c:pt>
                <c:pt idx="1">
                  <c:v>12.211539999999999</c:v>
                </c:pt>
                <c:pt idx="2">
                  <c:v>25.811820000000001</c:v>
                </c:pt>
                <c:pt idx="3">
                  <c:v>12.90447</c:v>
                </c:pt>
                <c:pt idx="4">
                  <c:v>23.92353</c:v>
                </c:pt>
                <c:pt idx="5">
                  <c:v>21.517669999999999</c:v>
                </c:pt>
                <c:pt idx="6">
                  <c:v>25.966390000000001</c:v>
                </c:pt>
                <c:pt idx="7">
                  <c:v>6.6176469999999998</c:v>
                </c:pt>
                <c:pt idx="8">
                  <c:v>16.138580000000001</c:v>
                </c:pt>
                <c:pt idx="9">
                  <c:v>17.702470000000002</c:v>
                </c:pt>
                <c:pt idx="10">
                  <c:v>17.96407</c:v>
                </c:pt>
                <c:pt idx="11">
                  <c:v>14.836539999999999</c:v>
                </c:pt>
                <c:pt idx="12">
                  <c:v>19.595310000000001</c:v>
                </c:pt>
                <c:pt idx="13">
                  <c:v>10.55505</c:v>
                </c:pt>
                <c:pt idx="14">
                  <c:v>17.697929999999999</c:v>
                </c:pt>
                <c:pt idx="15">
                  <c:v>16.375229999999998</c:v>
                </c:pt>
                <c:pt idx="16">
                  <c:v>24.73592</c:v>
                </c:pt>
                <c:pt idx="17">
                  <c:v>12.683350000000001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FigA1!$A$2:$A$19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1BC0-441E-890C-A7FBFBFA6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937128"/>
        <c:axId val="437937520"/>
      </c:scatterChart>
      <c:valAx>
        <c:axId val="437937128"/>
        <c:scaling>
          <c:orientation val="minMax"/>
          <c:min val="40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7937520"/>
        <c:crosses val="autoZero"/>
        <c:crossBetween val="midCat"/>
      </c:valAx>
      <c:valAx>
        <c:axId val="43793752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7937128"/>
        <c:crosses val="autoZero"/>
        <c:crossBetween val="midCat"/>
        <c:majorUnit val="6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3CC2-4797-B964-38A412496542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3CC2-4797-B964-38A412496542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3CC2-4797-B964-38A412496542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3CC2-4797-B964-38A412496542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3CC2-4797-B964-38A412496542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3CC2-4797-B964-38A412496542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3CC2-4797-B964-38A412496542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3CC2-4797-B964-38A412496542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3CC2-4797-B964-38A412496542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3CC2-4797-B964-38A412496542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3CC2-4797-B964-38A412496542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3CC2-4797-B964-38A412496542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3CC2-4797-B964-38A412496542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3CC2-4797-B964-38A412496542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3CC2-4797-B964-38A412496542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3CC2-4797-B964-38A412496542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3CC2-4797-B964-38A412496542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3CC2-4797-B964-38A412496542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3CC2-4797-B964-38A412496542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3CC2-4797-B964-38A412496542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3CC2-4797-B964-38A412496542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3CC2-4797-B964-38A412496542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3CC2-4797-B964-38A412496542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3CC2-4797-B964-38A41249654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8C56E41-2234-4A85-A4E6-A37A21EDAC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3CC2-4797-B964-38A41249654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D2BFC4A-5170-417B-8664-58AA063D81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CC2-4797-B964-38A412496542}"/>
                </c:ext>
              </c:extLst>
            </c:dLbl>
            <c:dLbl>
              <c:idx val="2"/>
              <c:layout>
                <c:manualLayout>
                  <c:x val="-6.4814814814814811E-2"/>
                  <c:y val="0.11111111111111105"/>
                </c:manualLayout>
              </c:layout>
              <c:tx>
                <c:rich>
                  <a:bodyPr/>
                  <a:lstStyle/>
                  <a:p>
                    <a:fld id="{06F7AC2A-E4D8-4E4B-B702-3B5BE3D9B2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CC2-4797-B964-38A412496542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0EA301A4-04C5-4EB2-A7B5-D39F0EB5C7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CC2-4797-B964-38A41249654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9FEDC12-5738-4988-A395-2A74487F75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CC2-4797-B964-38A41249654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4B32F30-88CC-4772-B3FD-937BED690F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CC2-4797-B964-38A41249654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2B90870-6D5B-434E-A629-290D707F54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CC2-4797-B964-38A41249654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8FFEEB1-9DE8-48CD-B71F-1CF24A9456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CC2-4797-B964-38A41249654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0B74F8A-0D8A-4CA5-A954-4D9A8F9A3A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CC2-4797-B964-38A41249654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A7E6522-F8EA-4E1B-8A0A-5B49777904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CC2-4797-B964-38A412496542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3B6570F-3C42-4B1A-A698-EE2D87C1D3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CC2-4797-B964-38A41249654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A82E33A-946C-4823-AD01-5C54CE3770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CC2-4797-B964-38A412496542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62114D6-140A-4713-9038-09590C3174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CC2-4797-B964-38A412496542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787ACEE-9D4E-465F-89FD-87E4AD5C41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CC2-4797-B964-38A412496542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CFF1CA0-AB49-454A-9A73-23AB2B57AB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CC2-4797-B964-38A412496542}"/>
                </c:ext>
              </c:extLst>
            </c:dLbl>
            <c:dLbl>
              <c:idx val="15"/>
              <c:layout>
                <c:manualLayout>
                  <c:x val="-8.4875562720133283E-17"/>
                  <c:y val="-5.5555555555555587E-2"/>
                </c:manualLayout>
              </c:layout>
              <c:tx>
                <c:rich>
                  <a:bodyPr/>
                  <a:lstStyle/>
                  <a:p>
                    <a:fld id="{5075BCAF-47E9-42F1-B931-593BCD8ABB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3CC2-4797-B964-38A412496542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F4115F5-D5AD-43AD-B7F8-122693FFD3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CC2-4797-B964-38A412496542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CA31A4F-90F7-4973-BF43-53FCEAF918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CC2-4797-B964-38A4124965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FigA1!$C$2:$C$19</c:f>
              <c:numCache>
                <c:formatCode>_(* #,##0.00_);_(* \(#,##0.00\);_(* "-"??_);_(@_)</c:formatCode>
                <c:ptCount val="18"/>
                <c:pt idx="0">
                  <c:v>78.533159999999995</c:v>
                </c:pt>
                <c:pt idx="1">
                  <c:v>52.990659999999998</c:v>
                </c:pt>
                <c:pt idx="2">
                  <c:v>92.326530000000005</c:v>
                </c:pt>
                <c:pt idx="3">
                  <c:v>94.941569999999999</c:v>
                </c:pt>
                <c:pt idx="4">
                  <c:v>85.589370000000002</c:v>
                </c:pt>
                <c:pt idx="5">
                  <c:v>81.294970000000006</c:v>
                </c:pt>
                <c:pt idx="6">
                  <c:v>74.406750000000002</c:v>
                </c:pt>
                <c:pt idx="7">
                  <c:v>46.210039999999999</c:v>
                </c:pt>
                <c:pt idx="8">
                  <c:v>78.605419999999995</c:v>
                </c:pt>
                <c:pt idx="9">
                  <c:v>79.836330000000004</c:v>
                </c:pt>
                <c:pt idx="10">
                  <c:v>82.423209999999997</c:v>
                </c:pt>
                <c:pt idx="11">
                  <c:v>57.824069999999999</c:v>
                </c:pt>
                <c:pt idx="12">
                  <c:v>62.108559999999997</c:v>
                </c:pt>
                <c:pt idx="13">
                  <c:v>82.273949999999999</c:v>
                </c:pt>
                <c:pt idx="14">
                  <c:v>85.678319999999999</c:v>
                </c:pt>
                <c:pt idx="15">
                  <c:v>76.740939999999995</c:v>
                </c:pt>
                <c:pt idx="16">
                  <c:v>65.706810000000004</c:v>
                </c:pt>
                <c:pt idx="17">
                  <c:v>74.032679999999999</c:v>
                </c:pt>
              </c:numCache>
            </c:numRef>
          </c:xVal>
          <c:yVal>
            <c:numRef>
              <c:f>FigA1!$G$2:$G$19</c:f>
              <c:numCache>
                <c:formatCode>_(* #,##0.00_);_(* \(#,##0.00\);_(* "-"??_);_(@_)</c:formatCode>
                <c:ptCount val="18"/>
                <c:pt idx="0">
                  <c:v>4.949065</c:v>
                </c:pt>
                <c:pt idx="1">
                  <c:v>7.4363989999999998</c:v>
                </c:pt>
                <c:pt idx="2">
                  <c:v>5.6951419999999997</c:v>
                </c:pt>
                <c:pt idx="3">
                  <c:v>9.2538440000000008</c:v>
                </c:pt>
                <c:pt idx="4">
                  <c:v>6.1180630000000003</c:v>
                </c:pt>
                <c:pt idx="5">
                  <c:v>4.9535600000000004</c:v>
                </c:pt>
                <c:pt idx="6">
                  <c:v>8.6117629999999998</c:v>
                </c:pt>
                <c:pt idx="7">
                  <c:v>1.2999069999999999</c:v>
                </c:pt>
                <c:pt idx="8">
                  <c:v>1.681473</c:v>
                </c:pt>
                <c:pt idx="9">
                  <c:v>3.4654929999999999</c:v>
                </c:pt>
                <c:pt idx="10">
                  <c:v>3.4217279999999999</c:v>
                </c:pt>
                <c:pt idx="11">
                  <c:v>2.7322730000000002</c:v>
                </c:pt>
                <c:pt idx="12">
                  <c:v>7.6514350000000002</c:v>
                </c:pt>
                <c:pt idx="13">
                  <c:v>3.1876139999999999</c:v>
                </c:pt>
                <c:pt idx="14">
                  <c:v>3.186553</c:v>
                </c:pt>
                <c:pt idx="15">
                  <c:v>2.2175029999999998</c:v>
                </c:pt>
                <c:pt idx="16">
                  <c:v>5.4270459999999998</c:v>
                </c:pt>
                <c:pt idx="17">
                  <c:v>2.0761250000000002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FigA1!$A$2:$A$19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3CC2-4797-B964-38A412496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938304"/>
        <c:axId val="437938696"/>
      </c:scatterChart>
      <c:valAx>
        <c:axId val="437938304"/>
        <c:scaling>
          <c:orientation val="minMax"/>
          <c:min val="40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7938696"/>
        <c:crosses val="autoZero"/>
        <c:crossBetween val="midCat"/>
      </c:valAx>
      <c:valAx>
        <c:axId val="43793869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7938304"/>
        <c:crosses val="autoZero"/>
        <c:crossBetween val="midCat"/>
        <c:majorUnit val="2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555-4AE6-80E8-532117414AB7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555-4AE6-80E8-532117414AB7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555-4AE6-80E8-532117414AB7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555-4AE6-80E8-532117414AB7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555-4AE6-80E8-532117414AB7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555-4AE6-80E8-532117414AB7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555-4AE6-80E8-532117414AB7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555-4AE6-80E8-532117414AB7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555-4AE6-80E8-532117414AB7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555-4AE6-80E8-532117414AB7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555-4AE6-80E8-532117414AB7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555-4AE6-80E8-532117414AB7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555-4AE6-80E8-532117414AB7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555-4AE6-80E8-532117414AB7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555-4AE6-80E8-532117414AB7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5555-4AE6-80E8-532117414AB7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5555-4AE6-80E8-532117414AB7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5555-4AE6-80E8-532117414AB7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5555-4AE6-80E8-532117414AB7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5555-4AE6-80E8-532117414AB7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5555-4AE6-80E8-532117414AB7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5555-4AE6-80E8-532117414AB7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5555-4AE6-80E8-532117414AB7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5555-4AE6-80E8-532117414AB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41AB3BC-652B-46B8-9D6C-44652A1AE9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5555-4AE6-80E8-532117414AB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E7584AD-3DD5-4A5F-8E85-424F6A11BD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555-4AE6-80E8-532117414AB7}"/>
                </c:ext>
              </c:extLst>
            </c:dLbl>
            <c:dLbl>
              <c:idx val="2"/>
              <c:layout>
                <c:manualLayout>
                  <c:x val="-6.4814814814814811E-2"/>
                  <c:y val="0.11111111111111105"/>
                </c:manualLayout>
              </c:layout>
              <c:tx>
                <c:rich>
                  <a:bodyPr/>
                  <a:lstStyle/>
                  <a:p>
                    <a:fld id="{248F107D-3692-4C6E-9EAE-AD7DCA286A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5555-4AE6-80E8-532117414AB7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8E908993-82A6-457F-960D-7E1EC5266B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555-4AE6-80E8-532117414AB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D38A7D7-888F-4028-AA89-7F10616545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555-4AE6-80E8-532117414AB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AD86CED-9B30-4789-9DC0-C91E360511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555-4AE6-80E8-532117414AB7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D7F67F8-E871-44CB-B44F-9C728762C0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555-4AE6-80E8-532117414AB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3079CB6-CA54-4087-9CCC-E2EA31CB7B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555-4AE6-80E8-532117414AB7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2CF411D-940F-4857-ACD5-FC94C938DA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555-4AE6-80E8-532117414AB7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18B35C9-E19D-4F60-B566-6375190AB3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555-4AE6-80E8-532117414AB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7D74685-55D7-407A-AE71-F3034420D6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555-4AE6-80E8-532117414AB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2CBD9C5-2056-4050-8015-93232DA71D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555-4AE6-80E8-532117414AB7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DA4251B-38BA-487A-80DC-F2E7FAC19A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555-4AE6-80E8-532117414AB7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32C1425-48F6-49C0-AC0E-FEBD15A44B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555-4AE6-80E8-532117414AB7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2205BBE-54D0-47FB-B23E-B86ACDA1AF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555-4AE6-80E8-532117414AB7}"/>
                </c:ext>
              </c:extLst>
            </c:dLbl>
            <c:dLbl>
              <c:idx val="15"/>
              <c:layout>
                <c:manualLayout>
                  <c:x val="-8.4875562720133283E-17"/>
                  <c:y val="-5.5555555555555587E-2"/>
                </c:manualLayout>
              </c:layout>
              <c:tx>
                <c:rich>
                  <a:bodyPr/>
                  <a:lstStyle/>
                  <a:p>
                    <a:fld id="{52CA42C2-B842-4F6C-9E4E-CDA6929500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5555-4AE6-80E8-532117414AB7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005A4E0-4C4E-4F75-B6DD-579E264346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555-4AE6-80E8-532117414AB7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5D4B4B0-B23C-4ABD-8395-F85A2594E5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555-4AE6-80E8-532117414A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FigA1!$C$2:$C$19</c:f>
              <c:numCache>
                <c:formatCode>_(* #,##0.00_);_(* \(#,##0.00\);_(* "-"??_);_(@_)</c:formatCode>
                <c:ptCount val="18"/>
                <c:pt idx="0">
                  <c:v>78.533159999999995</c:v>
                </c:pt>
                <c:pt idx="1">
                  <c:v>52.990659999999998</c:v>
                </c:pt>
                <c:pt idx="2">
                  <c:v>92.326530000000005</c:v>
                </c:pt>
                <c:pt idx="3">
                  <c:v>94.941569999999999</c:v>
                </c:pt>
                <c:pt idx="4">
                  <c:v>85.589370000000002</c:v>
                </c:pt>
                <c:pt idx="5">
                  <c:v>81.294970000000006</c:v>
                </c:pt>
                <c:pt idx="6">
                  <c:v>74.406750000000002</c:v>
                </c:pt>
                <c:pt idx="7">
                  <c:v>46.210039999999999</c:v>
                </c:pt>
                <c:pt idx="8">
                  <c:v>78.605419999999995</c:v>
                </c:pt>
                <c:pt idx="9">
                  <c:v>79.836330000000004</c:v>
                </c:pt>
                <c:pt idx="10">
                  <c:v>82.423209999999997</c:v>
                </c:pt>
                <c:pt idx="11">
                  <c:v>57.824069999999999</c:v>
                </c:pt>
                <c:pt idx="12">
                  <c:v>62.108559999999997</c:v>
                </c:pt>
                <c:pt idx="13">
                  <c:v>82.273949999999999</c:v>
                </c:pt>
                <c:pt idx="14">
                  <c:v>85.678319999999999</c:v>
                </c:pt>
                <c:pt idx="15">
                  <c:v>76.740939999999995</c:v>
                </c:pt>
                <c:pt idx="16">
                  <c:v>65.706810000000004</c:v>
                </c:pt>
                <c:pt idx="17">
                  <c:v>74.032679999999999</c:v>
                </c:pt>
              </c:numCache>
            </c:numRef>
          </c:xVal>
          <c:yVal>
            <c:numRef>
              <c:f>FigA1!$H$2:$H$19</c:f>
              <c:numCache>
                <c:formatCode>_(* #,##0.00_);_(* \(#,##0.00\);_(* "-"??_);_(@_)</c:formatCode>
                <c:ptCount val="18"/>
                <c:pt idx="0">
                  <c:v>14.64794</c:v>
                </c:pt>
                <c:pt idx="1">
                  <c:v>13.913040000000001</c:v>
                </c:pt>
                <c:pt idx="2">
                  <c:v>12.39601</c:v>
                </c:pt>
                <c:pt idx="3">
                  <c:v>10.390079999999999</c:v>
                </c:pt>
                <c:pt idx="4">
                  <c:v>16.01069</c:v>
                </c:pt>
                <c:pt idx="5">
                  <c:v>13.057</c:v>
                </c:pt>
                <c:pt idx="6">
                  <c:v>15.783659999999999</c:v>
                </c:pt>
                <c:pt idx="7">
                  <c:v>2.5092940000000001</c:v>
                </c:pt>
                <c:pt idx="8">
                  <c:v>8.8340560000000004</c:v>
                </c:pt>
                <c:pt idx="9">
                  <c:v>8.6323670000000003</c:v>
                </c:pt>
                <c:pt idx="10">
                  <c:v>9.3321909999999999</c:v>
                </c:pt>
                <c:pt idx="11">
                  <c:v>9.7005579999999991</c:v>
                </c:pt>
                <c:pt idx="12">
                  <c:v>11.945029999999999</c:v>
                </c:pt>
                <c:pt idx="13">
                  <c:v>8.6050730000000009</c:v>
                </c:pt>
                <c:pt idx="14">
                  <c:v>10.67998</c:v>
                </c:pt>
                <c:pt idx="15">
                  <c:v>6.2963509999999996</c:v>
                </c:pt>
                <c:pt idx="16">
                  <c:v>16.843029999999999</c:v>
                </c:pt>
                <c:pt idx="17">
                  <c:v>7.1675300000000002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FigA1!$A$2:$A$19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5555-4AE6-80E8-532117414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939480"/>
        <c:axId val="437939872"/>
      </c:scatterChart>
      <c:valAx>
        <c:axId val="437939480"/>
        <c:scaling>
          <c:orientation val="minMax"/>
          <c:min val="40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7939872"/>
        <c:crosses val="autoZero"/>
        <c:crossBetween val="midCat"/>
      </c:valAx>
      <c:valAx>
        <c:axId val="43793987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7939480"/>
        <c:crosses val="autoZero"/>
        <c:crossBetween val="midCat"/>
        <c:majorUnit val="3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0871901428988041"/>
          <c:y val="2.9170822397200345E-2"/>
          <c:w val="0.84266987459900844"/>
          <c:h val="0.85543153980752396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rgbClr val="4F81BD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315-41B7-9F8E-EF75850AC7C0}"/>
              </c:ext>
            </c:extLst>
          </c:dPt>
          <c:dPt>
            <c:idx val="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315-41B7-9F8E-EF75850AC7C0}"/>
              </c:ext>
            </c:extLst>
          </c:dPt>
          <c:dPt>
            <c:idx val="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1315-41B7-9F8E-EF75850AC7C0}"/>
              </c:ext>
            </c:extLst>
          </c:dPt>
          <c:dPt>
            <c:idx val="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1315-41B7-9F8E-EF75850AC7C0}"/>
              </c:ext>
            </c:extLst>
          </c:dPt>
          <c:dPt>
            <c:idx val="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1315-41B7-9F8E-EF75850AC7C0}"/>
              </c:ext>
            </c:extLst>
          </c:dPt>
          <c:dPt>
            <c:idx val="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1315-41B7-9F8E-EF75850AC7C0}"/>
              </c:ext>
            </c:extLst>
          </c:dPt>
          <c:dPt>
            <c:idx val="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1315-41B7-9F8E-EF75850AC7C0}"/>
              </c:ext>
            </c:extLst>
          </c:dPt>
          <c:dPt>
            <c:idx val="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1315-41B7-9F8E-EF75850AC7C0}"/>
              </c:ext>
            </c:extLst>
          </c:dPt>
          <c:dPt>
            <c:idx val="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1315-41B7-9F8E-EF75850AC7C0}"/>
              </c:ext>
            </c:extLst>
          </c:dPt>
          <c:dPt>
            <c:idx val="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1315-41B7-9F8E-EF75850AC7C0}"/>
              </c:ext>
            </c:extLst>
          </c:dPt>
          <c:dPt>
            <c:idx val="1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1315-41B7-9F8E-EF75850AC7C0}"/>
              </c:ext>
            </c:extLst>
          </c:dPt>
          <c:dPt>
            <c:idx val="1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1315-41B7-9F8E-EF75850AC7C0}"/>
              </c:ext>
            </c:extLst>
          </c:dPt>
          <c:dPt>
            <c:idx val="1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1315-41B7-9F8E-EF75850AC7C0}"/>
              </c:ext>
            </c:extLst>
          </c:dPt>
          <c:dPt>
            <c:idx val="1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1315-41B7-9F8E-EF75850AC7C0}"/>
              </c:ext>
            </c:extLst>
          </c:dPt>
          <c:dPt>
            <c:idx val="14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1315-41B7-9F8E-EF75850AC7C0}"/>
              </c:ext>
            </c:extLst>
          </c:dPt>
          <c:dPt>
            <c:idx val="15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F-1315-41B7-9F8E-EF75850AC7C0}"/>
              </c:ext>
            </c:extLst>
          </c:dPt>
          <c:dPt>
            <c:idx val="16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0-1315-41B7-9F8E-EF75850AC7C0}"/>
              </c:ext>
            </c:extLst>
          </c:dPt>
          <c:dPt>
            <c:idx val="17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1-1315-41B7-9F8E-EF75850AC7C0}"/>
              </c:ext>
            </c:extLst>
          </c:dPt>
          <c:dPt>
            <c:idx val="18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2-1315-41B7-9F8E-EF75850AC7C0}"/>
              </c:ext>
            </c:extLst>
          </c:dPt>
          <c:dPt>
            <c:idx val="19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3-1315-41B7-9F8E-EF75850AC7C0}"/>
              </c:ext>
            </c:extLst>
          </c:dPt>
          <c:dPt>
            <c:idx val="20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4-1315-41B7-9F8E-EF75850AC7C0}"/>
              </c:ext>
            </c:extLst>
          </c:dPt>
          <c:dPt>
            <c:idx val="21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5-1315-41B7-9F8E-EF75850AC7C0}"/>
              </c:ext>
            </c:extLst>
          </c:dPt>
          <c:dPt>
            <c:idx val="22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6-1315-41B7-9F8E-EF75850AC7C0}"/>
              </c:ext>
            </c:extLst>
          </c:dPt>
          <c:dPt>
            <c:idx val="23"/>
            <c:marker>
              <c:symbol val="circle"/>
              <c:size val="6"/>
              <c:spPr>
                <a:solidFill>
                  <a:srgbClr val="4F81BD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17-1315-41B7-9F8E-EF75850AC7C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B989AF6-09F5-4583-AC1C-FE159C3FFE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315-41B7-9F8E-EF75850AC7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6A4379-49E2-4D9C-964C-8932C7B28C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315-41B7-9F8E-EF75850AC7C0}"/>
                </c:ext>
              </c:extLst>
            </c:dLbl>
            <c:dLbl>
              <c:idx val="2"/>
              <c:layout>
                <c:manualLayout>
                  <c:x val="-6.4814814814814811E-2"/>
                  <c:y val="0.11111111111111105"/>
                </c:manualLayout>
              </c:layout>
              <c:tx>
                <c:rich>
                  <a:bodyPr/>
                  <a:lstStyle/>
                  <a:p>
                    <a:fld id="{A7FC0DCA-E0B4-478F-8B2B-7816CCF732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1315-41B7-9F8E-EF75850AC7C0}"/>
                </c:ext>
              </c:extLst>
            </c:dLbl>
            <c:dLbl>
              <c:idx val="3"/>
              <c:layout>
                <c:manualLayout>
                  <c:x val="-2.7777777777777776E-2"/>
                  <c:y val="-5.5555555555555552E-2"/>
                </c:manualLayout>
              </c:layout>
              <c:tx>
                <c:rich>
                  <a:bodyPr/>
                  <a:lstStyle/>
                  <a:p>
                    <a:fld id="{12AA8FAB-C8E2-4588-9D64-B8AB920350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315-41B7-9F8E-EF75850AC7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51A455E-FFD6-44CA-8AB8-04F1A6C354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315-41B7-9F8E-EF75850AC7C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0B5F59A-EFA1-4484-8C65-71F6DE9555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315-41B7-9F8E-EF75850AC7C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AB56D0D-A915-452F-B14C-73670C2EC5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315-41B7-9F8E-EF75850AC7C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1BCC007-23F8-4084-A93F-E38905C675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315-41B7-9F8E-EF75850AC7C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E0AAB69-A967-4912-8EA7-BBB33156DE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315-41B7-9F8E-EF75850AC7C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F014067-E7F6-4463-8B8C-410565FA94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315-41B7-9F8E-EF75850AC7C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D0EE7D3-674E-4BC5-B000-EE86F1E785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315-41B7-9F8E-EF75850AC7C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BC6526C-C9ED-48CF-B84E-A7DFBEDC71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315-41B7-9F8E-EF75850AC7C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29E2851-C37F-4C0C-8D25-FFEE2281A9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315-41B7-9F8E-EF75850AC7C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77F9CEB-EF47-4EB8-BCA0-5855DD607A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315-41B7-9F8E-EF75850AC7C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AE7AD06-1E10-4AB8-B08F-C868A68415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315-41B7-9F8E-EF75850AC7C0}"/>
                </c:ext>
              </c:extLst>
            </c:dLbl>
            <c:dLbl>
              <c:idx val="15"/>
              <c:layout>
                <c:manualLayout>
                  <c:x val="-8.4875562720133283E-17"/>
                  <c:y val="-5.5555555555555587E-2"/>
                </c:manualLayout>
              </c:layout>
              <c:tx>
                <c:rich>
                  <a:bodyPr/>
                  <a:lstStyle/>
                  <a:p>
                    <a:fld id="{A67BAC30-0BE5-4E28-B730-A5A355AED6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1315-41B7-9F8E-EF75850AC7C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B5E30E4-6AB8-4F19-AC25-997B8A868F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1315-41B7-9F8E-EF75850AC7C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C21D37B-ABE3-4139-BADB-0E1A5C3DCB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315-41B7-9F8E-EF75850AC7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ell MT" panose="020205030603050203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6350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FigA1!$C$2:$C$19</c:f>
              <c:numCache>
                <c:formatCode>_(* #,##0.00_);_(* \(#,##0.00\);_(* "-"??_);_(@_)</c:formatCode>
                <c:ptCount val="18"/>
                <c:pt idx="0">
                  <c:v>78.533159999999995</c:v>
                </c:pt>
                <c:pt idx="1">
                  <c:v>52.990659999999998</c:v>
                </c:pt>
                <c:pt idx="2">
                  <c:v>92.326530000000005</c:v>
                </c:pt>
                <c:pt idx="3">
                  <c:v>94.941569999999999</c:v>
                </c:pt>
                <c:pt idx="4">
                  <c:v>85.589370000000002</c:v>
                </c:pt>
                <c:pt idx="5">
                  <c:v>81.294970000000006</c:v>
                </c:pt>
                <c:pt idx="6">
                  <c:v>74.406750000000002</c:v>
                </c:pt>
                <c:pt idx="7">
                  <c:v>46.210039999999999</c:v>
                </c:pt>
                <c:pt idx="8">
                  <c:v>78.605419999999995</c:v>
                </c:pt>
                <c:pt idx="9">
                  <c:v>79.836330000000004</c:v>
                </c:pt>
                <c:pt idx="10">
                  <c:v>82.423209999999997</c:v>
                </c:pt>
                <c:pt idx="11">
                  <c:v>57.824069999999999</c:v>
                </c:pt>
                <c:pt idx="12">
                  <c:v>62.108559999999997</c:v>
                </c:pt>
                <c:pt idx="13">
                  <c:v>82.273949999999999</c:v>
                </c:pt>
                <c:pt idx="14">
                  <c:v>85.678319999999999</c:v>
                </c:pt>
                <c:pt idx="15">
                  <c:v>76.740939999999995</c:v>
                </c:pt>
                <c:pt idx="16">
                  <c:v>65.706810000000004</c:v>
                </c:pt>
                <c:pt idx="17">
                  <c:v>74.032679999999999</c:v>
                </c:pt>
              </c:numCache>
            </c:numRef>
          </c:xVal>
          <c:yVal>
            <c:numRef>
              <c:f>FigA1!$I$2:$I$19</c:f>
              <c:numCache>
                <c:formatCode>_(* #,##0.00_);_(* \(#,##0.00\);_(* "-"??_);_(@_)</c:formatCode>
                <c:ptCount val="18"/>
                <c:pt idx="0">
                  <c:v>8.4932569999999998</c:v>
                </c:pt>
                <c:pt idx="1">
                  <c:v>4.5320200000000002</c:v>
                </c:pt>
                <c:pt idx="2">
                  <c:v>16.68085</c:v>
                </c:pt>
                <c:pt idx="3">
                  <c:v>8.5653269999999999</c:v>
                </c:pt>
                <c:pt idx="4">
                  <c:v>10.571669999999999</c:v>
                </c:pt>
                <c:pt idx="5">
                  <c:v>13.102729999999999</c:v>
                </c:pt>
                <c:pt idx="6">
                  <c:v>9.3145640000000007</c:v>
                </c:pt>
                <c:pt idx="7">
                  <c:v>3.1458529999999998</c:v>
                </c:pt>
                <c:pt idx="8">
                  <c:v>3.7581280000000001</c:v>
                </c:pt>
                <c:pt idx="9">
                  <c:v>4.4875999999999996</c:v>
                </c:pt>
                <c:pt idx="10">
                  <c:v>7.4137940000000002</c:v>
                </c:pt>
                <c:pt idx="11">
                  <c:v>4.680879</c:v>
                </c:pt>
                <c:pt idx="12">
                  <c:v>10.33732</c:v>
                </c:pt>
                <c:pt idx="13">
                  <c:v>6.0804489999999998</c:v>
                </c:pt>
                <c:pt idx="14">
                  <c:v>6.0373400000000004</c:v>
                </c:pt>
                <c:pt idx="15">
                  <c:v>6.0761240000000001</c:v>
                </c:pt>
                <c:pt idx="16">
                  <c:v>9.0171320000000001</c:v>
                </c:pt>
                <c:pt idx="17">
                  <c:v>4.4155850000000001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FigA1!$A$2:$A$19</c15:f>
                <c15:dlblRangeCache>
                  <c:ptCount val="18"/>
                  <c:pt idx="0">
                    <c:v>arg</c:v>
                  </c:pt>
                  <c:pt idx="1">
                    <c:v>bol</c:v>
                  </c:pt>
                  <c:pt idx="2">
                    <c:v>bra</c:v>
                  </c:pt>
                  <c:pt idx="3">
                    <c:v>chl</c:v>
                  </c:pt>
                  <c:pt idx="4">
                    <c:v>col</c:v>
                  </c:pt>
                  <c:pt idx="5">
                    <c:v>cri</c:v>
                  </c:pt>
                  <c:pt idx="6">
                    <c:v>dom</c:v>
                  </c:pt>
                  <c:pt idx="7">
                    <c:v>ecu</c:v>
                  </c:pt>
                  <c:pt idx="8">
                    <c:v>gtm</c:v>
                  </c:pt>
                  <c:pt idx="9">
                    <c:v>hnd</c:v>
                  </c:pt>
                  <c:pt idx="10">
                    <c:v>mex</c:v>
                  </c:pt>
                  <c:pt idx="11">
                    <c:v>nic</c:v>
                  </c:pt>
                  <c:pt idx="12">
                    <c:v>pan</c:v>
                  </c:pt>
                  <c:pt idx="13">
                    <c:v>per</c:v>
                  </c:pt>
                  <c:pt idx="14">
                    <c:v>pry</c:v>
                  </c:pt>
                  <c:pt idx="15">
                    <c:v>slv</c:v>
                  </c:pt>
                  <c:pt idx="16">
                    <c:v>ury</c:v>
                  </c:pt>
                  <c:pt idx="17">
                    <c:v>ven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1315-41B7-9F8E-EF75850AC7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7940656"/>
        <c:axId val="437941048"/>
      </c:scatterChart>
      <c:valAx>
        <c:axId val="437940656"/>
        <c:scaling>
          <c:orientation val="minMax"/>
          <c:min val="40"/>
        </c:scaling>
        <c:delete val="0"/>
        <c:axPos val="b"/>
        <c:numFmt formatCode="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7941048"/>
        <c:crosses val="autoZero"/>
        <c:crossBetween val="midCat"/>
      </c:valAx>
      <c:valAx>
        <c:axId val="43794104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>
                <a:lumMod val="50000"/>
                <a:lumOff val="50000"/>
              </a:sysClr>
            </a:solidFill>
            <a:prstDash val="dash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ell MT" panose="02020503060305020303" pitchFamily="18" charset="0"/>
                <a:ea typeface="+mn-ea"/>
                <a:cs typeface="+mn-cs"/>
              </a:defRPr>
            </a:pPr>
            <a:endParaRPr lang="en-US"/>
          </a:p>
        </c:txPr>
        <c:crossAx val="437940656"/>
        <c:crosses val="autoZero"/>
        <c:crossBetween val="midCat"/>
        <c:majorUnit val="3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span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ell MT" panose="020205030603050203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6" Type="http://schemas.openxmlformats.org/officeDocument/2006/relationships/chart" Target="../charts/chart31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451784</xdr:colOff>
      <xdr:row>5</xdr:row>
      <xdr:rowOff>149412</xdr:rowOff>
    </xdr:from>
    <xdr:to>
      <xdr:col>17</xdr:col>
      <xdr:colOff>146984</xdr:colOff>
      <xdr:row>15</xdr:row>
      <xdr:rowOff>136712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E3C6A3-D2E9-41CE-8890-8BE104269D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603250</xdr:colOff>
      <xdr:row>5</xdr:row>
      <xdr:rowOff>63500</xdr:rowOff>
    </xdr:from>
    <xdr:to>
      <xdr:col>23</xdr:col>
      <xdr:colOff>298450</xdr:colOff>
      <xdr:row>15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CA64B1-C901-4F74-A9A1-7345D1A725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21</xdr:col>
      <xdr:colOff>315658</xdr:colOff>
      <xdr:row>15</xdr:row>
      <xdr:rowOff>47301</xdr:rowOff>
    </xdr:from>
    <xdr:ext cx="1170242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A0E1EB4-EC6F-4601-9B1B-CC92ADA5BCB4}"/>
            </a:ext>
          </a:extLst>
        </xdr:cNvPr>
        <xdr:cNvSpPr txBox="1"/>
      </xdr:nvSpPr>
      <xdr:spPr>
        <a:xfrm>
          <a:off x="13383958" y="2822251"/>
          <a:ext cx="11702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↑</a:t>
          </a:r>
          <a:r>
            <a:rPr lang="en-US" sz="1000" baseline="0">
              <a:solidFill>
                <a:schemeClr val="accent2"/>
              </a:solidFill>
            </a:rPr>
            <a:t> la  desigualdad</a:t>
          </a:r>
          <a:endParaRPr lang="en-US" sz="1000">
            <a:solidFill>
              <a:schemeClr val="accent2"/>
            </a:solidFill>
          </a:endParaRPr>
        </a:p>
      </xdr:txBody>
    </xdr:sp>
    <xdr:clientData/>
  </xdr:oneCellAnchor>
  <xdr:oneCellAnchor>
    <xdr:from>
      <xdr:col>19</xdr:col>
      <xdr:colOff>544302</xdr:colOff>
      <xdr:row>15</xdr:row>
      <xdr:rowOff>63930</xdr:rowOff>
    </xdr:from>
    <xdr:ext cx="1157498" cy="24885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23C8EE8-518E-427A-82EC-620F6411E27B}"/>
            </a:ext>
          </a:extLst>
        </xdr:cNvPr>
        <xdr:cNvSpPr txBox="1"/>
      </xdr:nvSpPr>
      <xdr:spPr>
        <a:xfrm>
          <a:off x="12393402" y="2838880"/>
          <a:ext cx="1157498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000">
              <a:solidFill>
                <a:srgbClr val="00B050"/>
              </a:solidFill>
            </a:rPr>
            <a:t>↓</a:t>
          </a:r>
          <a:r>
            <a:rPr lang="en-US" sz="1000" baseline="0">
              <a:solidFill>
                <a:srgbClr val="00B050"/>
              </a:solidFill>
            </a:rPr>
            <a:t> la desigualdad</a:t>
          </a:r>
          <a:endParaRPr lang="en-US" sz="1000">
            <a:solidFill>
              <a:srgbClr val="00B050"/>
            </a:solidFill>
          </a:endParaRPr>
        </a:p>
      </xdr:txBody>
    </xdr:sp>
    <xdr:clientData/>
  </xdr:oneCellAnchor>
  <xdr:twoCellAnchor>
    <xdr:from>
      <xdr:col>20</xdr:col>
      <xdr:colOff>82550</xdr:colOff>
      <xdr:row>14</xdr:row>
      <xdr:rowOff>101600</xdr:rowOff>
    </xdr:from>
    <xdr:to>
      <xdr:col>21</xdr:col>
      <xdr:colOff>311150</xdr:colOff>
      <xdr:row>15</xdr:row>
      <xdr:rowOff>57150</xdr:rowOff>
    </xdr:to>
    <xdr:sp macro="" textlink="">
      <xdr:nvSpPr>
        <xdr:cNvPr id="9" name="Left Brace 8">
          <a:extLst>
            <a:ext uri="{FF2B5EF4-FFF2-40B4-BE49-F238E27FC236}">
              <a16:creationId xmlns:a16="http://schemas.microsoft.com/office/drawing/2014/main" id="{3D89E2AC-84A1-4AC2-B157-2EE344038AE8}"/>
            </a:ext>
          </a:extLst>
        </xdr:cNvPr>
        <xdr:cNvSpPr/>
      </xdr:nvSpPr>
      <xdr:spPr>
        <a:xfrm rot="16200000">
          <a:off x="12890500" y="2343150"/>
          <a:ext cx="139700" cy="838200"/>
        </a:xfrm>
        <a:prstGeom prst="leftBrace">
          <a:avLst/>
        </a:prstGeom>
        <a:ln w="127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457200</xdr:colOff>
      <xdr:row>14</xdr:row>
      <xdr:rowOff>101600</xdr:rowOff>
    </xdr:from>
    <xdr:to>
      <xdr:col>23</xdr:col>
      <xdr:colOff>133350</xdr:colOff>
      <xdr:row>15</xdr:row>
      <xdr:rowOff>69850</xdr:rowOff>
    </xdr:to>
    <xdr:sp macro="" textlink="">
      <xdr:nvSpPr>
        <xdr:cNvPr id="10" name="Left Brace 9">
          <a:extLst>
            <a:ext uri="{FF2B5EF4-FFF2-40B4-BE49-F238E27FC236}">
              <a16:creationId xmlns:a16="http://schemas.microsoft.com/office/drawing/2014/main" id="{D6203BB1-D93A-4AD3-B053-03EC1E4D041F}"/>
            </a:ext>
          </a:extLst>
        </xdr:cNvPr>
        <xdr:cNvSpPr/>
      </xdr:nvSpPr>
      <xdr:spPr>
        <a:xfrm rot="16200000">
          <a:off x="13896975" y="2320925"/>
          <a:ext cx="152400" cy="895350"/>
        </a:xfrm>
        <a:prstGeom prst="leftBrace">
          <a:avLst/>
        </a:prstGeom>
        <a:ln w="127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304800</xdr:colOff>
      <xdr:row>8</xdr:row>
      <xdr:rowOff>63500</xdr:rowOff>
    </xdr:from>
    <xdr:to>
      <xdr:col>19</xdr:col>
      <xdr:colOff>419100</xdr:colOff>
      <xdr:row>13</xdr:row>
      <xdr:rowOff>133350</xdr:rowOff>
    </xdr:to>
    <xdr:sp macro="" textlink="">
      <xdr:nvSpPr>
        <xdr:cNvPr id="11" name="Left Brace 10">
          <a:extLst>
            <a:ext uri="{FF2B5EF4-FFF2-40B4-BE49-F238E27FC236}">
              <a16:creationId xmlns:a16="http://schemas.microsoft.com/office/drawing/2014/main" id="{7B7D87BE-B21E-41CC-BD49-47BE611C007B}"/>
            </a:ext>
          </a:extLst>
        </xdr:cNvPr>
        <xdr:cNvSpPr/>
      </xdr:nvSpPr>
      <xdr:spPr>
        <a:xfrm>
          <a:off x="12153900" y="1549400"/>
          <a:ext cx="114300" cy="990600"/>
        </a:xfrm>
        <a:prstGeom prst="leftBrace">
          <a:avLst/>
        </a:prstGeom>
        <a:ln w="12700">
          <a:solidFill>
            <a:srgbClr val="00B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437770</xdr:colOff>
      <xdr:row>8</xdr:row>
      <xdr:rowOff>60457</xdr:rowOff>
    </xdr:from>
    <xdr:ext cx="405367" cy="1157498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D86F33-F771-459D-852D-FAC5F05C4F57}"/>
            </a:ext>
          </a:extLst>
        </xdr:cNvPr>
        <xdr:cNvSpPr txBox="1"/>
      </xdr:nvSpPr>
      <xdr:spPr>
        <a:xfrm rot="16200000">
          <a:off x="11301205" y="1922422"/>
          <a:ext cx="1157498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000">
              <a:solidFill>
                <a:srgbClr val="00B050"/>
              </a:solidFill>
            </a:rPr>
            <a:t>↓</a:t>
          </a:r>
          <a:r>
            <a:rPr lang="en-US" sz="1000" baseline="0">
              <a:solidFill>
                <a:srgbClr val="00B050"/>
              </a:solidFill>
            </a:rPr>
            <a:t> percepciones de injusticia</a:t>
          </a:r>
          <a:endParaRPr lang="en-US" sz="1000">
            <a:solidFill>
              <a:srgbClr val="00B050"/>
            </a:solidFill>
          </a:endParaRPr>
        </a:p>
      </xdr:txBody>
    </xdr:sp>
    <xdr:clientData/>
  </xdr:oneCellAnchor>
  <xdr:twoCellAnchor>
    <xdr:from>
      <xdr:col>19</xdr:col>
      <xdr:colOff>276224</xdr:colOff>
      <xdr:row>5</xdr:row>
      <xdr:rowOff>101599</xdr:rowOff>
    </xdr:from>
    <xdr:to>
      <xdr:col>19</xdr:col>
      <xdr:colOff>438149</xdr:colOff>
      <xdr:row>7</xdr:row>
      <xdr:rowOff>174624</xdr:rowOff>
    </xdr:to>
    <xdr:sp macro="" textlink="">
      <xdr:nvSpPr>
        <xdr:cNvPr id="13" name="Left Brace 12">
          <a:extLst>
            <a:ext uri="{FF2B5EF4-FFF2-40B4-BE49-F238E27FC236}">
              <a16:creationId xmlns:a16="http://schemas.microsoft.com/office/drawing/2014/main" id="{6FB19955-4E77-470D-A66D-FF469B5EA964}"/>
            </a:ext>
          </a:extLst>
        </xdr:cNvPr>
        <xdr:cNvSpPr/>
      </xdr:nvSpPr>
      <xdr:spPr>
        <a:xfrm>
          <a:off x="12125324" y="1035049"/>
          <a:ext cx="161925" cy="441325"/>
        </a:xfrm>
        <a:prstGeom prst="leftBrace">
          <a:avLst/>
        </a:prstGeom>
        <a:ln w="12700">
          <a:solidFill>
            <a:schemeClr val="accent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419800</xdr:colOff>
      <xdr:row>4</xdr:row>
      <xdr:rowOff>165101</xdr:rowOff>
    </xdr:from>
    <xdr:ext cx="421077" cy="885353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4CB476D-A550-4F96-8A5D-0CB9A71C7D38}"/>
            </a:ext>
          </a:extLst>
        </xdr:cNvPr>
        <xdr:cNvSpPr txBox="1"/>
      </xdr:nvSpPr>
      <xdr:spPr>
        <a:xfrm rot="16200000">
          <a:off x="11427162" y="1146539"/>
          <a:ext cx="885353" cy="421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100">
              <a:solidFill>
                <a:schemeClr val="accent2"/>
              </a:solidFill>
              <a:effectLst/>
              <a:latin typeface="+mn-lt"/>
              <a:ea typeface="+mn-ea"/>
              <a:cs typeface="+mn-cs"/>
            </a:rPr>
            <a:t>↑ </a:t>
          </a:r>
          <a:r>
            <a:rPr lang="en-US" sz="1000" baseline="0">
              <a:solidFill>
                <a:schemeClr val="accent2"/>
              </a:solidFill>
            </a:rPr>
            <a:t>percep. de injusticia</a:t>
          </a:r>
          <a:endParaRPr lang="en-US" sz="1000">
            <a:solidFill>
              <a:schemeClr val="accent2"/>
            </a:solidFill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0.30984</cdr:x>
      <cdr:y>0.09891</cdr:y>
    </cdr:from>
    <cdr:to>
      <cdr:x>0.89021</cdr:x>
      <cdr:y>0.26924</cdr:y>
    </cdr:to>
    <cdr:sp macro="" textlink="">
      <cdr:nvSpPr>
        <cdr:cNvPr id="2" name="TextBox 2"/>
        <cdr:cNvSpPr txBox="1"/>
      </cdr:nvSpPr>
      <cdr:spPr>
        <a:xfrm xmlns:a="http://schemas.openxmlformats.org/drawingml/2006/main">
          <a:off x="849966" y="180883"/>
          <a:ext cx="1592067" cy="311496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>
              <a:solidFill>
                <a:srgbClr val="00B050"/>
              </a:solidFill>
              <a:latin typeface="+mj-lt"/>
            </a:rPr>
            <a:t>Gini</a:t>
          </a:r>
          <a:r>
            <a:rPr lang="en-US" sz="1400" b="0" baseline="0">
              <a:solidFill>
                <a:srgbClr val="00B050"/>
              </a:solidFill>
              <a:latin typeface="+mj-lt"/>
            </a:rPr>
            <a:t> (eje derecho)</a:t>
          </a:r>
          <a:endParaRPr lang="en-US" sz="1400" b="0">
            <a:solidFill>
              <a:srgbClr val="00B050"/>
            </a:solidFill>
            <a:latin typeface="+mj-lt"/>
          </a:endParaRPr>
        </a:p>
      </cdr:txBody>
    </cdr:sp>
  </cdr:relSizeAnchor>
  <cdr:relSizeAnchor xmlns:cdr="http://schemas.openxmlformats.org/drawingml/2006/chartDrawing">
    <cdr:from>
      <cdr:x>0.11484</cdr:x>
      <cdr:y>0.54434</cdr:y>
    </cdr:from>
    <cdr:to>
      <cdr:x>0.75859</cdr:x>
      <cdr:y>0.7933</cdr:y>
    </cdr:to>
    <cdr:sp macro="" textlink="">
      <cdr:nvSpPr>
        <cdr:cNvPr id="3" name="TextBox 3"/>
        <cdr:cNvSpPr txBox="1"/>
      </cdr:nvSpPr>
      <cdr:spPr>
        <a:xfrm xmlns:a="http://schemas.openxmlformats.org/drawingml/2006/main">
          <a:off x="315034" y="995482"/>
          <a:ext cx="1765935" cy="45530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0">
              <a:solidFill>
                <a:schemeClr val="accent2"/>
              </a:solidFill>
              <a:latin typeface="+mj-lt"/>
            </a:rPr>
            <a:t>% Injusta</a:t>
          </a:r>
          <a:r>
            <a:rPr lang="en-US" sz="1400" b="0" baseline="0">
              <a:solidFill>
                <a:schemeClr val="accent2"/>
              </a:solidFill>
              <a:latin typeface="+mj-lt"/>
            </a:rPr>
            <a:t> o muy injusta (eje izquierdo)</a:t>
          </a:r>
          <a:endParaRPr lang="en-US" sz="1400" b="0">
            <a:solidFill>
              <a:schemeClr val="accent2"/>
            </a:solidFill>
            <a:latin typeface="+mj-lt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0.12963</cdr:x>
      <cdr:y>0.70053</cdr:y>
    </cdr:from>
    <cdr:to>
      <cdr:x>0.26274</cdr:x>
      <cdr:y>0.79861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355600" y="1281121"/>
          <a:ext cx="365135" cy="17937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Calibri Light" panose="020F0302020204030204" pitchFamily="34" charset="0"/>
              <a:cs typeface="Calibri Light" panose="020F0302020204030204" pitchFamily="34" charset="0"/>
            </a:rPr>
            <a:t>-50</a:t>
          </a:r>
        </a:p>
      </cdr:txBody>
    </cdr:sp>
  </cdr:relSizeAnchor>
  <cdr:relSizeAnchor xmlns:cdr="http://schemas.openxmlformats.org/drawingml/2006/chartDrawing">
    <cdr:from>
      <cdr:x>0.23147</cdr:x>
      <cdr:y>0.70382</cdr:y>
    </cdr:from>
    <cdr:to>
      <cdr:x>0.28186</cdr:x>
      <cdr:y>0.737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9400CD7B-7950-4813-81C3-D859F06F033F}"/>
            </a:ext>
          </a:extLst>
        </cdr:cNvPr>
        <cdr:cNvGrpSpPr/>
      </cdr:nvGrpSpPr>
      <cdr:grpSpPr>
        <a:xfrm xmlns:a="http://schemas.openxmlformats.org/drawingml/2006/main">
          <a:off x="634969" y="1287146"/>
          <a:ext cx="138229" cy="60680"/>
          <a:chOff x="247651" y="0"/>
          <a:chExt cx="242900" cy="99987"/>
        </a:xfrm>
      </cdr:grpSpPr>
      <cdr:cxnSp macro="">
        <cdr:nvCxnSpPr>
          <cdr:cNvPr id="4" name="Straight Connector 3">
            <a:extLst xmlns:a="http://schemas.openxmlformats.org/drawingml/2006/main">
              <a:ext uri="{FF2B5EF4-FFF2-40B4-BE49-F238E27FC236}">
                <a16:creationId xmlns:a16="http://schemas.microsoft.com/office/drawing/2014/main" id="{113A1C99-9525-4610-9057-7F0745F03215}"/>
              </a:ext>
            </a:extLst>
          </cdr:cNvPr>
          <cdr:cNvCxnSpPr/>
        </cdr:nvCxnSpPr>
        <cdr:spPr>
          <a:xfrm xmlns:a="http://schemas.openxmlformats.org/drawingml/2006/main">
            <a:off x="247651" y="60310"/>
            <a:ext cx="238138" cy="39677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chemeClr val="bg1">
                <a:lumMod val="50000"/>
              </a:schemeClr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5" name="Straight Connector 4">
            <a:extLst xmlns:a="http://schemas.openxmlformats.org/drawingml/2006/main">
              <a:ext uri="{FF2B5EF4-FFF2-40B4-BE49-F238E27FC236}">
                <a16:creationId xmlns:a16="http://schemas.microsoft.com/office/drawing/2014/main" id="{06841589-E22D-4800-A861-8EECBAC0DC7B}"/>
              </a:ext>
            </a:extLst>
          </cdr:cNvPr>
          <cdr:cNvCxnSpPr/>
        </cdr:nvCxnSpPr>
        <cdr:spPr>
          <a:xfrm xmlns:a="http://schemas.openxmlformats.org/drawingml/2006/main">
            <a:off x="250826" y="0"/>
            <a:ext cx="239725" cy="39677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chemeClr val="bg1">
                <a:lumMod val="50000"/>
              </a:schemeClr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Rectangle 5"/>
          <cdr:cNvSpPr/>
        </cdr:nvSpPr>
        <cdr:spPr>
          <a:xfrm xmlns:a="http://schemas.openxmlformats.org/drawingml/2006/main">
            <a:off x="333381" y="30154"/>
            <a:ext cx="46039" cy="4602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wrap="square" anchor="ctr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eaLnBrk="1" hangingPunct="1">
              <a:defRPr/>
            </a:pPr>
            <a:endParaRPr lang="en-US" sz="1100">
              <a:latin typeface="Bell MT" panose="02020503060305020303" pitchFamily="18" charset="0"/>
            </a:endParaRPr>
          </a:p>
        </cdr:txBody>
      </cdr:sp>
    </cdr:grp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2</xdr:row>
      <xdr:rowOff>157161</xdr:rowOff>
    </xdr:from>
    <xdr:to>
      <xdr:col>13</xdr:col>
      <xdr:colOff>142875</xdr:colOff>
      <xdr:row>18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560387</xdr:colOff>
      <xdr:row>2</xdr:row>
      <xdr:rowOff>76199</xdr:rowOff>
    </xdr:from>
    <xdr:to>
      <xdr:col>13</xdr:col>
      <xdr:colOff>503237</xdr:colOff>
      <xdr:row>18</xdr:row>
      <xdr:rowOff>30162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0.04238</cdr:x>
      <cdr:y>0.8155</cdr:y>
    </cdr:from>
    <cdr:to>
      <cdr:x>0.11005</cdr:x>
      <cdr:y>0.89351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204788" y="2455861"/>
          <a:ext cx="327026" cy="23493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Bell MT" panose="02020503060305020303" pitchFamily="18" charset="0"/>
            </a:rPr>
            <a:t>30</a:t>
          </a:r>
        </a:p>
      </cdr:txBody>
    </cdr:sp>
  </cdr:relSizeAnchor>
  <cdr:relSizeAnchor xmlns:cdr="http://schemas.openxmlformats.org/drawingml/2006/chartDrawing">
    <cdr:from>
      <cdr:x>0.08607</cdr:x>
      <cdr:y>0.87876</cdr:y>
    </cdr:from>
    <cdr:to>
      <cdr:x>0.16097</cdr:x>
      <cdr:y>0.9457</cdr:y>
    </cdr:to>
    <cdr:sp macro="" textlink="">
      <cdr:nvSpPr>
        <cdr:cNvPr id="7" name="TextBox 1"/>
        <cdr:cNvSpPr txBox="1"/>
      </cdr:nvSpPr>
      <cdr:spPr>
        <a:xfrm xmlns:a="http://schemas.openxmlformats.org/drawingml/2006/main">
          <a:off x="415924" y="2646362"/>
          <a:ext cx="361951" cy="20161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>
          <a:no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>
              <a:latin typeface="Bell MT" panose="02020503060305020303" pitchFamily="18" charset="0"/>
            </a:rPr>
            <a:t>30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390525</xdr:colOff>
      <xdr:row>1</xdr:row>
      <xdr:rowOff>33336</xdr:rowOff>
    </xdr:from>
    <xdr:to>
      <xdr:col>13</xdr:col>
      <xdr:colOff>333375</xdr:colOff>
      <xdr:row>16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0.02767</cdr:x>
      <cdr:y>0.8099</cdr:y>
    </cdr:from>
    <cdr:to>
      <cdr:x>0.10935</cdr:x>
      <cdr:y>0.89255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350" y="2441575"/>
          <a:ext cx="393701" cy="24917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>
          <a:spAutoFit/>
        </a:bodyPr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>
              <a:latin typeface="Bell MT" panose="02020503060305020303" pitchFamily="18" charset="0"/>
            </a:rPr>
            <a:t>-50</a:t>
          </a:r>
        </a:p>
      </cdr:txBody>
    </cdr:sp>
  </cdr:relSizeAnchor>
  <cdr:relSizeAnchor xmlns:cdr="http://schemas.openxmlformats.org/drawingml/2006/chartDrawing">
    <cdr:from>
      <cdr:x>0.08564</cdr:x>
      <cdr:y>0.7941</cdr:y>
    </cdr:from>
    <cdr:to>
      <cdr:x>0.13603</cdr:x>
      <cdr:y>0.82728</cdr:y>
    </cdr:to>
    <cdr:grpSp>
      <cdr:nvGrpSpPr>
        <cdr:cNvPr id="3" name="Group 2">
          <a:extLst xmlns:a="http://schemas.openxmlformats.org/drawingml/2006/main">
            <a:ext uri="{FF2B5EF4-FFF2-40B4-BE49-F238E27FC236}">
              <a16:creationId xmlns:a16="http://schemas.microsoft.com/office/drawing/2014/main" id="{9400CD7B-7950-4813-81C3-D859F06F033F}"/>
            </a:ext>
          </a:extLst>
        </cdr:cNvPr>
        <cdr:cNvGrpSpPr/>
      </cdr:nvGrpSpPr>
      <cdr:grpSpPr>
        <a:xfrm xmlns:a="http://schemas.openxmlformats.org/drawingml/2006/main">
          <a:off x="412755" y="2393944"/>
          <a:ext cx="242862" cy="100026"/>
          <a:chOff x="247651" y="0"/>
          <a:chExt cx="242900" cy="99987"/>
        </a:xfrm>
      </cdr:grpSpPr>
      <cdr:cxnSp macro="">
        <cdr:nvCxnSpPr>
          <cdr:cNvPr id="4" name="Straight Connector 3">
            <a:extLst xmlns:a="http://schemas.openxmlformats.org/drawingml/2006/main">
              <a:ext uri="{FF2B5EF4-FFF2-40B4-BE49-F238E27FC236}">
                <a16:creationId xmlns:a16="http://schemas.microsoft.com/office/drawing/2014/main" id="{113A1C99-9525-4610-9057-7F0745F03215}"/>
              </a:ext>
            </a:extLst>
          </cdr:cNvPr>
          <cdr:cNvCxnSpPr/>
        </cdr:nvCxnSpPr>
        <cdr:spPr>
          <a:xfrm xmlns:a="http://schemas.openxmlformats.org/drawingml/2006/main">
            <a:off x="247651" y="60310"/>
            <a:ext cx="238138" cy="39677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chemeClr val="bg1">
                <a:lumMod val="50000"/>
              </a:schemeClr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5" name="Straight Connector 4">
            <a:extLst xmlns:a="http://schemas.openxmlformats.org/drawingml/2006/main">
              <a:ext uri="{FF2B5EF4-FFF2-40B4-BE49-F238E27FC236}">
                <a16:creationId xmlns:a16="http://schemas.microsoft.com/office/drawing/2014/main" id="{06841589-E22D-4800-A861-8EECBAC0DC7B}"/>
              </a:ext>
            </a:extLst>
          </cdr:cNvPr>
          <cdr:cNvCxnSpPr/>
        </cdr:nvCxnSpPr>
        <cdr:spPr>
          <a:xfrm xmlns:a="http://schemas.openxmlformats.org/drawingml/2006/main">
            <a:off x="250826" y="0"/>
            <a:ext cx="239725" cy="39677"/>
          </a:xfrm>
          <a:prstGeom xmlns:a="http://schemas.openxmlformats.org/drawingml/2006/main" prst="line">
            <a:avLst/>
          </a:prstGeom>
          <a:ln xmlns:a="http://schemas.openxmlformats.org/drawingml/2006/main">
            <a:solidFill>
              <a:schemeClr val="bg1">
                <a:lumMod val="50000"/>
              </a:schemeClr>
            </a:solidFill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Rectangle 5"/>
          <cdr:cNvSpPr/>
        </cdr:nvSpPr>
        <cdr:spPr>
          <a:xfrm xmlns:a="http://schemas.openxmlformats.org/drawingml/2006/main">
            <a:off x="333381" y="30154"/>
            <a:ext cx="46039" cy="46026"/>
          </a:xfrm>
          <a:prstGeom xmlns:a="http://schemas.openxmlformats.org/drawingml/2006/main" prst="rect">
            <a:avLst/>
          </a:prstGeom>
          <a:solidFill xmlns:a="http://schemas.openxmlformats.org/drawingml/2006/main">
            <a:schemeClr val="bg1"/>
          </a:solidFill>
          <a:ln xmlns:a="http://schemas.openxmlformats.org/drawingml/2006/main">
            <a:noFill/>
          </a:ln>
        </cdr:spPr>
        <cdr:style>
          <a:lnRef xmlns:a="http://schemas.openxmlformats.org/drawingml/2006/main" idx="2">
            <a:schemeClr val="accent1">
              <a:shade val="50000"/>
            </a:schemeClr>
          </a:lnRef>
          <a:fillRef xmlns:a="http://schemas.openxmlformats.org/drawingml/2006/main" idx="1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lt1"/>
          </a:fontRef>
        </cdr:style>
        <cdr:txBody>
          <a:bodyPr xmlns:a="http://schemas.openxmlformats.org/drawingml/2006/main" wrap="square" anchor="ctr"/>
          <a:lstStyle xmlns:a="http://schemas.openxmlformats.org/drawingml/2006/main"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pPr algn="ctr" eaLnBrk="1" hangingPunct="1">
              <a:defRPr/>
            </a:pPr>
            <a:endParaRPr lang="en-US" sz="1100">
              <a:latin typeface="Bell MT" panose="02020503060305020303" pitchFamily="18" charset="0"/>
            </a:endParaRPr>
          </a:p>
        </cdr:txBody>
      </cdr:sp>
    </cdr:grp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581025</xdr:colOff>
      <xdr:row>2</xdr:row>
      <xdr:rowOff>95250</xdr:rowOff>
    </xdr:from>
    <xdr:to>
      <xdr:col>31</xdr:col>
      <xdr:colOff>523875</xdr:colOff>
      <xdr:row>18</xdr:row>
      <xdr:rowOff>52388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4</xdr:row>
      <xdr:rowOff>19050</xdr:rowOff>
    </xdr:from>
    <xdr:to>
      <xdr:col>14</xdr:col>
      <xdr:colOff>342900</xdr:colOff>
      <xdr:row>18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293034</xdr:colOff>
      <xdr:row>22</xdr:row>
      <xdr:rowOff>22412</xdr:rowOff>
    </xdr:from>
    <xdr:to>
      <xdr:col>12</xdr:col>
      <xdr:colOff>378759</xdr:colOff>
      <xdr:row>39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0.45132</cdr:x>
      <cdr:y>0.26038</cdr:y>
    </cdr:from>
    <cdr:to>
      <cdr:x>0.86475</cdr:x>
      <cdr:y>0.36358</cdr:y>
    </cdr:to>
    <cdr:sp macro="" textlink="">
      <cdr:nvSpPr>
        <cdr:cNvPr id="2" name="TextBox 2"/>
        <cdr:cNvSpPr txBox="1"/>
      </cdr:nvSpPr>
      <cdr:spPr>
        <a:xfrm xmlns:a="http://schemas.openxmlformats.org/drawingml/2006/main">
          <a:off x="2079625" y="736600"/>
          <a:ext cx="1905000" cy="29193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>
              <a:solidFill>
                <a:srgbClr val="00B050"/>
              </a:solidFill>
              <a:latin typeface="Bell MT" panose="02020503060305020303" pitchFamily="18" charset="0"/>
            </a:rPr>
            <a:t>Gini</a:t>
          </a:r>
          <a:r>
            <a:rPr lang="en-US" sz="1400" baseline="0">
              <a:solidFill>
                <a:srgbClr val="00B050"/>
              </a:solidFill>
              <a:latin typeface="Bell MT" panose="02020503060305020303" pitchFamily="18" charset="0"/>
            </a:rPr>
            <a:t> coefficient (RHS)</a:t>
          </a:r>
          <a:endParaRPr lang="en-US" sz="1400">
            <a:solidFill>
              <a:srgbClr val="00B050"/>
            </a:solidFill>
            <a:latin typeface="Bell MT" panose="02020503060305020303" pitchFamily="18" charset="0"/>
          </a:endParaRPr>
        </a:p>
      </cdr:txBody>
    </cdr:sp>
  </cdr:relSizeAnchor>
  <cdr:relSizeAnchor xmlns:cdr="http://schemas.openxmlformats.org/drawingml/2006/chartDrawing">
    <cdr:from>
      <cdr:x>0.07549</cdr:x>
      <cdr:y>0.56517</cdr:y>
    </cdr:from>
    <cdr:to>
      <cdr:x>0.71924</cdr:x>
      <cdr:y>0.67239</cdr:y>
    </cdr:to>
    <cdr:sp macro="" textlink="">
      <cdr:nvSpPr>
        <cdr:cNvPr id="3" name="TextBox 3"/>
        <cdr:cNvSpPr txBox="1"/>
      </cdr:nvSpPr>
      <cdr:spPr>
        <a:xfrm xmlns:a="http://schemas.openxmlformats.org/drawingml/2006/main">
          <a:off x="345140" y="1550371"/>
          <a:ext cx="2943225" cy="29411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>
              <a:solidFill>
                <a:schemeClr val="accent2"/>
              </a:solidFill>
              <a:latin typeface="Bell MT" panose="02020503060305020303" pitchFamily="18" charset="0"/>
            </a:rPr>
            <a:t>% Unfair or</a:t>
          </a:r>
          <a:r>
            <a:rPr lang="en-US" sz="1400" baseline="0">
              <a:solidFill>
                <a:schemeClr val="accent2"/>
              </a:solidFill>
              <a:latin typeface="Bell MT" panose="02020503060305020303" pitchFamily="18" charset="0"/>
            </a:rPr>
            <a:t> very unfair (LHS)</a:t>
          </a:r>
          <a:endParaRPr lang="en-US" sz="1400">
            <a:solidFill>
              <a:schemeClr val="accent2"/>
            </a:solidFill>
            <a:latin typeface="Bell MT" panose="02020503060305020303" pitchFamily="18" charset="0"/>
          </a:endParaRP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171449</xdr:colOff>
      <xdr:row>26</xdr:row>
      <xdr:rowOff>90487</xdr:rowOff>
    </xdr:from>
    <xdr:to>
      <xdr:col>8</xdr:col>
      <xdr:colOff>552449</xdr:colOff>
      <xdr:row>36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1152525</xdr:colOff>
      <xdr:row>26</xdr:row>
      <xdr:rowOff>95250</xdr:rowOff>
    </xdr:from>
    <xdr:to>
      <xdr:col>11</xdr:col>
      <xdr:colOff>38100</xdr:colOff>
      <xdr:row>36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962025</xdr:colOff>
      <xdr:row>27</xdr:row>
      <xdr:rowOff>0</xdr:rowOff>
    </xdr:from>
    <xdr:to>
      <xdr:col>16</xdr:col>
      <xdr:colOff>19050</xdr:colOff>
      <xdr:row>36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27</xdr:row>
      <xdr:rowOff>0</xdr:rowOff>
    </xdr:from>
    <xdr:to>
      <xdr:col>21</xdr:col>
      <xdr:colOff>228600</xdr:colOff>
      <xdr:row>36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392206</xdr:colOff>
      <xdr:row>2</xdr:row>
      <xdr:rowOff>156883</xdr:rowOff>
    </xdr:from>
    <xdr:to>
      <xdr:col>15</xdr:col>
      <xdr:colOff>87406</xdr:colOff>
      <xdr:row>17</xdr:row>
      <xdr:rowOff>33058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0.43365</cdr:x>
      <cdr:y>0.03935</cdr:y>
    </cdr:from>
    <cdr:to>
      <cdr:x>0.62919</cdr:x>
      <cdr:y>0.1713</cdr:y>
    </cdr:to>
    <cdr:sp macro="" textlink="">
      <cdr:nvSpPr>
        <cdr:cNvPr id="2" name="Text Box 1"/>
        <cdr:cNvSpPr txBox="1"/>
      </cdr:nvSpPr>
      <cdr:spPr>
        <a:xfrm xmlns:a="http://schemas.openxmlformats.org/drawingml/2006/main">
          <a:off x="2070095" y="107941"/>
          <a:ext cx="933465" cy="3619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>
              <a:solidFill>
                <a:schemeClr val="accent2">
                  <a:lumMod val="40000"/>
                  <a:lumOff val="60000"/>
                </a:schemeClr>
              </a:solidFill>
              <a:latin typeface="Bell MT" panose="02020503060305020303" pitchFamily="18" charset="0"/>
            </a:rPr>
            <a:t>Unfair</a:t>
          </a:r>
        </a:p>
      </cdr:txBody>
    </cdr:sp>
  </cdr:relSizeAnchor>
  <cdr:relSizeAnchor xmlns:cdr="http://schemas.openxmlformats.org/drawingml/2006/chartDrawing">
    <cdr:from>
      <cdr:x>0.36381</cdr:x>
      <cdr:y>0.31713</cdr:y>
    </cdr:from>
    <cdr:to>
      <cdr:x>0.69303</cdr:x>
      <cdr:y>0.43519</cdr:y>
    </cdr:to>
    <cdr:sp macro="" textlink="">
      <cdr:nvSpPr>
        <cdr:cNvPr id="3" name="Text Box 1"/>
        <cdr:cNvSpPr txBox="1"/>
      </cdr:nvSpPr>
      <cdr:spPr>
        <a:xfrm xmlns:a="http://schemas.openxmlformats.org/drawingml/2006/main">
          <a:off x="1736728" y="869947"/>
          <a:ext cx="1571607" cy="3238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600" b="0">
              <a:solidFill>
                <a:schemeClr val="accent2"/>
              </a:solidFill>
              <a:latin typeface="Bell MT" panose="02020503060305020303" pitchFamily="18" charset="0"/>
            </a:rPr>
            <a:t>Very unfair</a:t>
          </a:r>
        </a:p>
      </cdr:txBody>
    </cdr:sp>
  </cdr:relSizeAnchor>
  <cdr:relSizeAnchor xmlns:cdr="http://schemas.openxmlformats.org/drawingml/2006/chartDrawing">
    <cdr:from>
      <cdr:x>0.4496</cdr:x>
      <cdr:y>0.5081</cdr:y>
    </cdr:from>
    <cdr:to>
      <cdr:x>0.62919</cdr:x>
      <cdr:y>0.65741</cdr:y>
    </cdr:to>
    <cdr:sp macro="" textlink="">
      <cdr:nvSpPr>
        <cdr:cNvPr id="4" name="Text Box 1"/>
        <cdr:cNvSpPr txBox="1"/>
      </cdr:nvSpPr>
      <cdr:spPr>
        <a:xfrm xmlns:a="http://schemas.openxmlformats.org/drawingml/2006/main">
          <a:off x="2146277" y="1393816"/>
          <a:ext cx="857283" cy="40958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0">
              <a:solidFill>
                <a:schemeClr val="tx2">
                  <a:lumMod val="40000"/>
                  <a:lumOff val="60000"/>
                </a:schemeClr>
              </a:solidFill>
              <a:latin typeface="Bell MT" panose="02020503060305020303" pitchFamily="18" charset="0"/>
            </a:rPr>
            <a:t>Fair</a:t>
          </a:r>
        </a:p>
      </cdr:txBody>
    </cdr:sp>
  </cdr:relSizeAnchor>
  <cdr:relSizeAnchor xmlns:cdr="http://schemas.openxmlformats.org/drawingml/2006/chartDrawing">
    <cdr:from>
      <cdr:x>0.38096</cdr:x>
      <cdr:y>0.69445</cdr:y>
    </cdr:from>
    <cdr:to>
      <cdr:x>0.72617</cdr:x>
      <cdr:y>0.80209</cdr:y>
    </cdr:to>
    <cdr:sp macro="" textlink="">
      <cdr:nvSpPr>
        <cdr:cNvPr id="8" name="Text Box 4"/>
        <cdr:cNvSpPr txBox="1"/>
      </cdr:nvSpPr>
      <cdr:spPr>
        <a:xfrm xmlns:a="http://schemas.openxmlformats.org/drawingml/2006/main">
          <a:off x="1741764" y="1905009"/>
          <a:ext cx="1578300" cy="295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600" b="0">
              <a:solidFill>
                <a:schemeClr val="tx2"/>
              </a:solidFill>
              <a:latin typeface="Bell MT" panose="02020503060305020303" pitchFamily="18" charset="0"/>
            </a:rPr>
            <a:t>Very fair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581025</xdr:colOff>
      <xdr:row>2</xdr:row>
      <xdr:rowOff>95250</xdr:rowOff>
    </xdr:from>
    <xdr:to>
      <xdr:col>31</xdr:col>
      <xdr:colOff>523875</xdr:colOff>
      <xdr:row>18</xdr:row>
      <xdr:rowOff>52388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4</xdr:row>
      <xdr:rowOff>19050</xdr:rowOff>
    </xdr:from>
    <xdr:to>
      <xdr:col>14</xdr:col>
      <xdr:colOff>342900</xdr:colOff>
      <xdr:row>18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193302</xdr:colOff>
      <xdr:row>3</xdr:row>
      <xdr:rowOff>115421</xdr:rowOff>
    </xdr:from>
    <xdr:to>
      <xdr:col>14</xdr:col>
      <xdr:colOff>498102</xdr:colOff>
      <xdr:row>20</xdr:row>
      <xdr:rowOff>67796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0.08219</cdr:x>
      <cdr:y>0.54139</cdr:y>
    </cdr:from>
    <cdr:to>
      <cdr:x>0.61993</cdr:x>
      <cdr:y>0.64782</cdr:y>
    </cdr:to>
    <cdr:sp macro="" textlink="">
      <cdr:nvSpPr>
        <cdr:cNvPr id="2" name="TextBox 7"/>
        <cdr:cNvSpPr txBox="1"/>
      </cdr:nvSpPr>
      <cdr:spPr>
        <a:xfrm xmlns:a="http://schemas.openxmlformats.org/drawingml/2006/main">
          <a:off x="375773" y="1485151"/>
          <a:ext cx="2458547" cy="29193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>
              <a:solidFill>
                <a:schemeClr val="accent2"/>
              </a:solidFill>
              <a:latin typeface="Bell MT" panose="02020503060305020303" pitchFamily="18" charset="0"/>
            </a:rPr>
            <a:t>% Unfair or</a:t>
          </a:r>
          <a:r>
            <a:rPr lang="en-US" sz="1400" baseline="0">
              <a:solidFill>
                <a:schemeClr val="accent2"/>
              </a:solidFill>
              <a:latin typeface="Bell MT" panose="02020503060305020303" pitchFamily="18" charset="0"/>
            </a:rPr>
            <a:t> very unfair (LHS)</a:t>
          </a:r>
          <a:endParaRPr lang="en-US" sz="1400">
            <a:solidFill>
              <a:schemeClr val="accent2"/>
            </a:solidFill>
            <a:latin typeface="Bell MT" panose="02020503060305020303" pitchFamily="18" charset="0"/>
          </a:endParaRPr>
        </a:p>
      </cdr:txBody>
    </cdr:sp>
  </cdr:relSizeAnchor>
  <cdr:relSizeAnchor xmlns:cdr="http://schemas.openxmlformats.org/drawingml/2006/chartDrawing">
    <cdr:from>
      <cdr:x>0.19118</cdr:x>
      <cdr:y>0.08388</cdr:y>
    </cdr:from>
    <cdr:to>
      <cdr:x>0.84804</cdr:x>
      <cdr:y>0.1903</cdr:y>
    </cdr:to>
    <cdr:sp macro="" textlink="">
      <cdr:nvSpPr>
        <cdr:cNvPr id="3" name="TextBox 6"/>
        <cdr:cNvSpPr txBox="1"/>
      </cdr:nvSpPr>
      <cdr:spPr>
        <a:xfrm xmlns:a="http://schemas.openxmlformats.org/drawingml/2006/main">
          <a:off x="874059" y="230095"/>
          <a:ext cx="3003175" cy="291939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>
              <a:solidFill>
                <a:srgbClr val="00B0F0"/>
              </a:solidFill>
              <a:latin typeface="Bell MT" panose="02020503060305020303" pitchFamily="18" charset="0"/>
            </a:rPr>
            <a:t>Absolute Gini</a:t>
          </a:r>
          <a:r>
            <a:rPr lang="en-US" sz="1400" baseline="0">
              <a:solidFill>
                <a:srgbClr val="00B0F0"/>
              </a:solidFill>
              <a:latin typeface="Bell MT" panose="02020503060305020303" pitchFamily="18" charset="0"/>
            </a:rPr>
            <a:t> coefficient (RHS)</a:t>
          </a:r>
          <a:endParaRPr lang="en-US" sz="1400">
            <a:solidFill>
              <a:srgbClr val="00B0F0"/>
            </a:solidFill>
            <a:latin typeface="Bell MT" panose="02020503060305020303" pitchFamily="18" charset="0"/>
          </a:endParaRP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104774</xdr:colOff>
      <xdr:row>9</xdr:row>
      <xdr:rowOff>80962</xdr:rowOff>
    </xdr:from>
    <xdr:to>
      <xdr:col>13</xdr:col>
      <xdr:colOff>333375</xdr:colOff>
      <xdr:row>28</xdr:row>
      <xdr:rowOff>123825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6017819" y="1816210"/>
          <a:ext cx="5990754" cy="3626526"/>
          <a:chOff x="3543299" y="1824037"/>
          <a:chExt cx="5972176" cy="3671888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00000000-0008-0000-0900-000002000000}"/>
              </a:ext>
            </a:extLst>
          </xdr:cNvPr>
          <xdr:cNvGraphicFramePr/>
        </xdr:nvGraphicFramePr>
        <xdr:xfrm>
          <a:off x="3543299" y="1824037"/>
          <a:ext cx="5972176" cy="36718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SpPr txBox="1"/>
        </xdr:nvSpPr>
        <xdr:spPr>
          <a:xfrm>
            <a:off x="6962775" y="2381250"/>
            <a:ext cx="981076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solidFill>
                  <a:schemeClr val="bg1"/>
                </a:solidFill>
                <a:latin typeface="Bell MT" panose="02020503060305020303" pitchFamily="18" charset="0"/>
              </a:rPr>
              <a:t>Unexplained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 txBox="1"/>
        </xdr:nvSpPr>
        <xdr:spPr>
          <a:xfrm>
            <a:off x="7000875" y="2838450"/>
            <a:ext cx="981076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50">
                <a:solidFill>
                  <a:schemeClr val="bg1"/>
                </a:solidFill>
                <a:latin typeface="Bell MT" panose="02020503060305020303" pitchFamily="18" charset="0"/>
              </a:rPr>
              <a:t>Explained</a:t>
            </a:r>
          </a:p>
        </xdr:txBody>
      </xdr:sp>
    </xdr:grpSp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0.34981</cdr:x>
      <cdr:y>0.11803</cdr:y>
    </cdr:from>
    <cdr:to>
      <cdr:x>0.50399</cdr:x>
      <cdr:y>0.40597</cdr:y>
    </cdr:to>
    <cdr:sp macro="" textlink="">
      <cdr:nvSpPr>
        <cdr:cNvPr id="2" name="TextBox 3"/>
        <cdr:cNvSpPr txBox="1"/>
      </cdr:nvSpPr>
      <cdr:spPr>
        <a:xfrm xmlns:a="http://schemas.openxmlformats.org/drawingml/2006/main">
          <a:off x="2089150" y="433388"/>
          <a:ext cx="920751" cy="10572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050">
              <a:solidFill>
                <a:sysClr val="windowText" lastClr="000000"/>
              </a:solidFill>
              <a:latin typeface="Bell MT" panose="02020503060305020303" pitchFamily="18" charset="0"/>
            </a:rPr>
            <a:t>Change in unfairness</a:t>
          </a:r>
          <a:r>
            <a:rPr lang="en-US" sz="1050" baseline="0">
              <a:solidFill>
                <a:sysClr val="windowText" lastClr="000000"/>
              </a:solidFill>
              <a:latin typeface="Bell MT" panose="02020503060305020303" pitchFamily="18" charset="0"/>
            </a:rPr>
            <a:t> perceptions 2002-13</a:t>
          </a:r>
          <a:endParaRPr lang="en-US" sz="1050">
            <a:solidFill>
              <a:sysClr val="windowText" lastClr="000000"/>
            </a:solidFill>
            <a:latin typeface="Bell MT" panose="02020503060305020303" pitchFamily="18" charset="0"/>
          </a:endParaRPr>
        </a:p>
      </cdr:txBody>
    </cdr:sp>
  </cdr:relSizeAnchor>
  <cdr:relSizeAnchor xmlns:cdr="http://schemas.openxmlformats.org/drawingml/2006/chartDrawing">
    <cdr:from>
      <cdr:x>0.52047</cdr:x>
      <cdr:y>0.11241</cdr:y>
    </cdr:from>
    <cdr:to>
      <cdr:x>0.54705</cdr:x>
      <cdr:y>0.41634</cdr:y>
    </cdr:to>
    <cdr:sp macro="" textlink="">
      <cdr:nvSpPr>
        <cdr:cNvPr id="3" name="Left Brace 2"/>
        <cdr:cNvSpPr/>
      </cdr:nvSpPr>
      <cdr:spPr>
        <a:xfrm xmlns:a="http://schemas.openxmlformats.org/drawingml/2006/main">
          <a:off x="3108324" y="412750"/>
          <a:ext cx="158751" cy="1116013"/>
        </a:xfrm>
        <a:prstGeom xmlns:a="http://schemas.openxmlformats.org/drawingml/2006/main" prst="leftBrace">
          <a:avLst/>
        </a:prstGeom>
        <a:ln xmlns:a="http://schemas.openxmlformats.org/drawingml/2006/main" w="31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0.72461</cdr:x>
      <cdr:y>0.20104</cdr:y>
    </cdr:from>
    <cdr:to>
      <cdr:x>0.73844</cdr:x>
      <cdr:y>0.42153</cdr:y>
    </cdr:to>
    <cdr:sp macro="" textlink="">
      <cdr:nvSpPr>
        <cdr:cNvPr id="4" name="Left Brace 3"/>
        <cdr:cNvSpPr/>
      </cdr:nvSpPr>
      <cdr:spPr>
        <a:xfrm xmlns:a="http://schemas.openxmlformats.org/drawingml/2006/main">
          <a:off x="4327525" y="738188"/>
          <a:ext cx="82551" cy="809625"/>
        </a:xfrm>
        <a:prstGeom xmlns:a="http://schemas.openxmlformats.org/drawingml/2006/main" prst="leftBrace">
          <a:avLst/>
        </a:prstGeom>
        <a:ln xmlns:a="http://schemas.openxmlformats.org/drawingml/2006/main" w="31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0.7177</cdr:x>
      <cdr:y>0.16472</cdr:y>
    </cdr:from>
    <cdr:to>
      <cdr:x>1</cdr:x>
      <cdr:y>0.44488</cdr:y>
    </cdr:to>
    <cdr:sp macro="" textlink="">
      <cdr:nvSpPr>
        <cdr:cNvPr id="5" name="TextBox 3"/>
        <cdr:cNvSpPr txBox="1"/>
      </cdr:nvSpPr>
      <cdr:spPr>
        <a:xfrm xmlns:a="http://schemas.openxmlformats.org/drawingml/2006/main">
          <a:off x="4286251" y="604838"/>
          <a:ext cx="1685925" cy="10287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ysClr val="windowText" lastClr="000000"/>
              </a:solidFill>
              <a:latin typeface="Bell MT" panose="02020503060305020303" pitchFamily="18" charset="0"/>
            </a:rPr>
            <a:t>+9.5</a:t>
          </a:r>
          <a:r>
            <a:rPr lang="en-US" sz="1100" baseline="0">
              <a:solidFill>
                <a:sysClr val="windowText" lastClr="000000"/>
              </a:solidFill>
              <a:latin typeface="Bell MT" panose="02020503060305020303" pitchFamily="18" charset="0"/>
            </a:rPr>
            <a:t>  </a:t>
          </a:r>
          <a:r>
            <a:rPr lang="en-US" sz="1100">
              <a:solidFill>
                <a:sysClr val="windowText" lastClr="000000"/>
              </a:solidFill>
              <a:latin typeface="Bell MT" panose="02020503060305020303" pitchFamily="18" charset="0"/>
            </a:rPr>
            <a:t>Gini Coefficient</a:t>
          </a:r>
        </a:p>
        <a:p xmlns:a="http://schemas.openxmlformats.org/drawingml/2006/main">
          <a:pPr algn="ctr"/>
          <a:endParaRPr lang="en-US" sz="1100">
            <a:solidFill>
              <a:sysClr val="windowText" lastClr="000000"/>
            </a:solidFill>
            <a:latin typeface="Bell MT" panose="02020503060305020303" pitchFamily="18" charset="0"/>
          </a:endParaRPr>
        </a:p>
        <a:p xmlns:a="http://schemas.openxmlformats.org/drawingml/2006/main"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ysClr val="windowText" lastClr="000000"/>
              </a:solidFill>
              <a:effectLst/>
              <a:latin typeface="Bell MT" panose="02020503060305020303" pitchFamily="18" charset="0"/>
              <a:ea typeface="+mn-ea"/>
              <a:cs typeface="+mn-cs"/>
            </a:rPr>
            <a:t>-0.1 Composition effects</a:t>
          </a:r>
          <a:endParaRPr lang="en-US" sz="1100">
            <a:solidFill>
              <a:sysClr val="windowText" lastClr="000000"/>
            </a:solidFill>
            <a:latin typeface="Bell MT" panose="02020503060305020303" pitchFamily="18" charset="0"/>
          </a:endParaRP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23</xdr:row>
      <xdr:rowOff>95250</xdr:rowOff>
    </xdr:from>
    <xdr:to>
      <xdr:col>5</xdr:col>
      <xdr:colOff>333375</xdr:colOff>
      <xdr:row>33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171450</xdr:colOff>
      <xdr:row>23</xdr:row>
      <xdr:rowOff>161925</xdr:rowOff>
    </xdr:from>
    <xdr:to>
      <xdr:col>10</xdr:col>
      <xdr:colOff>476250</xdr:colOff>
      <xdr:row>33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904875</xdr:colOff>
      <xdr:row>35</xdr:row>
      <xdr:rowOff>47625</xdr:rowOff>
    </xdr:from>
    <xdr:to>
      <xdr:col>5</xdr:col>
      <xdr:colOff>276225</xdr:colOff>
      <xdr:row>44</xdr:row>
      <xdr:rowOff>161925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257175</xdr:colOff>
      <xdr:row>35</xdr:row>
      <xdr:rowOff>114300</xdr:rowOff>
    </xdr:from>
    <xdr:to>
      <xdr:col>10</xdr:col>
      <xdr:colOff>561975</xdr:colOff>
      <xdr:row>45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0</xdr:colOff>
      <xdr:row>24</xdr:row>
      <xdr:rowOff>0</xdr:rowOff>
    </xdr:from>
    <xdr:to>
      <xdr:col>16</xdr:col>
      <xdr:colOff>304800</xdr:colOff>
      <xdr:row>33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295275</xdr:colOff>
      <xdr:row>24</xdr:row>
      <xdr:rowOff>28575</xdr:rowOff>
    </xdr:from>
    <xdr:to>
      <xdr:col>21</xdr:col>
      <xdr:colOff>600075</xdr:colOff>
      <xdr:row>33</xdr:row>
      <xdr:rowOff>142875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28575</xdr:colOff>
      <xdr:row>35</xdr:row>
      <xdr:rowOff>152400</xdr:rowOff>
    </xdr:from>
    <xdr:to>
      <xdr:col>16</xdr:col>
      <xdr:colOff>333375</xdr:colOff>
      <xdr:row>45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209550</xdr:colOff>
      <xdr:row>35</xdr:row>
      <xdr:rowOff>180975</xdr:rowOff>
    </xdr:from>
    <xdr:to>
      <xdr:col>21</xdr:col>
      <xdr:colOff>514350</xdr:colOff>
      <xdr:row>45</xdr:row>
      <xdr:rowOff>104775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22</xdr:row>
      <xdr:rowOff>14287</xdr:rowOff>
    </xdr:from>
    <xdr:to>
      <xdr:col>5</xdr:col>
      <xdr:colOff>523875</xdr:colOff>
      <xdr:row>31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781050</xdr:colOff>
      <xdr:row>22</xdr:row>
      <xdr:rowOff>76200</xdr:rowOff>
    </xdr:from>
    <xdr:to>
      <xdr:col>8</xdr:col>
      <xdr:colOff>419100</xdr:colOff>
      <xdr:row>32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9525</xdr:colOff>
      <xdr:row>33</xdr:row>
      <xdr:rowOff>180975</xdr:rowOff>
    </xdr:from>
    <xdr:to>
      <xdr:col>5</xdr:col>
      <xdr:colOff>466725</xdr:colOff>
      <xdr:row>43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771525</xdr:colOff>
      <xdr:row>34</xdr:row>
      <xdr:rowOff>0</xdr:rowOff>
    </xdr:from>
    <xdr:to>
      <xdr:col>8</xdr:col>
      <xdr:colOff>409575</xdr:colOff>
      <xdr:row>43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600075</xdr:colOff>
      <xdr:row>45</xdr:row>
      <xdr:rowOff>123825</xdr:rowOff>
    </xdr:from>
    <xdr:to>
      <xdr:col>5</xdr:col>
      <xdr:colOff>447675</xdr:colOff>
      <xdr:row>55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742950</xdr:colOff>
      <xdr:row>45</xdr:row>
      <xdr:rowOff>123825</xdr:rowOff>
    </xdr:from>
    <xdr:to>
      <xdr:col>8</xdr:col>
      <xdr:colOff>381000</xdr:colOff>
      <xdr:row>55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an Jeremias Reyes" refreshedDate="42620.684871180558" createdVersion="5" refreshedVersion="5" minRefreshableVersion="3" recordCount="19" xr:uid="{00000000-000A-0000-FFFF-FFFF00000000}">
  <cacheSource type="worksheet">
    <worksheetSource ref="A1:E20" sheet="TableA1"/>
  </cacheSource>
  <cacheFields count="5">
    <cacheField name="Category" numFmtId="0">
      <sharedItems count="4">
        <s v="Access to services"/>
        <s v="Asset ownership"/>
        <s v="Education and Labor market"/>
        <s v="Socio-demographic"/>
      </sharedItems>
    </cacheField>
    <cacheField name="Variable" numFmtId="0">
      <sharedItems count="22">
        <s v="Access to a sewage (%)"/>
        <s v="Access to running water (%)"/>
        <s v="Car (%)"/>
        <s v="Computer (%)"/>
        <s v="Fridge (%)"/>
        <s v="Homeowner (%)"/>
        <s v="Landline (%)"/>
        <s v="Mobile (%)"/>
        <s v="Washing machine (%)"/>
        <s v="Economically active (%)"/>
        <s v="Literate (%)"/>
        <s v="Secondary education or more (%)"/>
        <s v="Parents with secondary education (%)"/>
        <s v="Unemployed (% Labor Force)"/>
        <s v="Age"/>
        <s v="Catholic religion (%)"/>
        <s v="City &gt; 1 Mill. Inhab. (%)"/>
        <s v="Male (%)"/>
        <s v="Married or civil union (%)"/>
        <s v="Unemployed (%)" u="1"/>
        <s v="Land line (%)" u="1"/>
        <s v="Secondary education parents (%)" u="1"/>
      </sharedItems>
    </cacheField>
    <cacheField name="Obs" numFmtId="0">
      <sharedItems containsSemiMixedTypes="0" containsString="0" containsNumber="1" containsInteger="1" minValue="114297" maxValue="167436"/>
    </cacheField>
    <cacheField name="Mean" numFmtId="0">
      <sharedItems containsSemiMixedTypes="0" containsString="0" containsNumber="1" minValue="9.9489355087280273" maxValue="89.953857421875"/>
    </cacheField>
    <cacheField name="Std_Dev" numFmtId="0">
      <sharedItems containsSemiMixedTypes="0" containsString="0" containsNumber="1" minValue="0.29931932687759399" maxValue="16.1750869750976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an Jeremias Reyes" refreshedDate="42674.778727893521" createdVersion="5" refreshedVersion="5" minRefreshableVersion="3" recordCount="1600" xr:uid="{00000000-000A-0000-FFFF-FFFF02000000}">
  <cacheSource type="worksheet">
    <worksheetSource ref="A1:E1601" sheet="TableA2"/>
  </cacheSource>
  <cacheFields count="5">
    <cacheField name="Year" numFmtId="0">
      <sharedItems count="10">
        <s v="1997"/>
        <s v="2001"/>
        <s v="2002"/>
        <s v="2007"/>
        <s v="2009"/>
        <s v="2010"/>
        <s v="2011"/>
        <s v="2013"/>
        <s v="2015"/>
        <s v="all"/>
      </sharedItems>
    </cacheField>
    <cacheField name="Category" numFmtId="0">
      <sharedItems count="9">
        <s v="All"/>
        <s v="Education level"/>
        <s v="Age group"/>
        <s v="Gender"/>
        <s v="Civil Status"/>
        <s v="Religion"/>
        <s v="Type of employment"/>
        <s v="City size"/>
        <s v="Country"/>
      </sharedItems>
    </cacheField>
    <cacheField name="Level" numFmtId="0">
      <sharedItems count="40">
        <s v="All"/>
        <s v="Less than Primary"/>
        <s v="Complete Primary"/>
        <s v="Complete Secondary"/>
        <s v="Complete Tertiary"/>
        <s v="15-24"/>
        <s v="25-40"/>
        <s v="41-64"/>
        <s v="65+"/>
        <s v="Female"/>
        <s v="Male"/>
        <s v="Not married"/>
        <s v="Married"/>
        <s v="Not catholic"/>
        <s v="Catholic"/>
        <s v="Employer"/>
        <s v="Employee"/>
        <s v="Self-employed"/>
        <s v="Unemployed"/>
        <s v="Under 100,000"/>
        <s v="100,000 to 1,000,000"/>
        <s v="More than 1,000,000"/>
        <s v="Argentina"/>
        <s v="Bolivia"/>
        <s v="Brazil"/>
        <s v="Chile"/>
        <s v="Colombia"/>
        <s v="Costa Rica"/>
        <s v="Dominican Rep."/>
        <s v="Ecuador"/>
        <s v="Guatemala"/>
        <s v="Honduras"/>
        <s v="Mexico"/>
        <s v="Nicaragua"/>
        <s v="Panama"/>
        <s v="Peru"/>
        <s v="Paraguay"/>
        <s v="El Salvador"/>
        <s v="Uruguay"/>
        <s v="Venezuela"/>
      </sharedItems>
    </cacheField>
    <cacheField name="Class" numFmtId="0">
      <sharedItems count="4">
        <s v="Very unfair"/>
        <s v="Unfair"/>
        <s v="Fair"/>
        <s v="Very fair"/>
      </sharedItems>
    </cacheField>
    <cacheField name="Percent" numFmtId="0">
      <sharedItems containsString="0" containsBlank="1" containsNumber="1" minValue="0.17079419299743809" maxValue="67.5221238938053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">
  <r>
    <x v="0"/>
    <x v="0"/>
    <n v="164743"/>
    <n v="69.731971740722656"/>
    <n v="0.45941939949989319"/>
  </r>
  <r>
    <x v="0"/>
    <x v="1"/>
    <n v="146354"/>
    <n v="87.67437744140625"/>
    <n v="0.3287321925163269"/>
  </r>
  <r>
    <x v="1"/>
    <x v="2"/>
    <n v="164521"/>
    <n v="27.285158157348633"/>
    <n v="0.44542655348777771"/>
  </r>
  <r>
    <x v="1"/>
    <x v="3"/>
    <n v="164719"/>
    <n v="29.632150650024414"/>
    <n v="0.45663589239120483"/>
  </r>
  <r>
    <x v="1"/>
    <x v="4"/>
    <n v="146686"/>
    <n v="79.216911315917969"/>
    <n v="0.40575650334358215"/>
  </r>
  <r>
    <x v="1"/>
    <x v="5"/>
    <n v="165650"/>
    <n v="73.65087890625"/>
    <n v="0.44052782654762268"/>
  </r>
  <r>
    <x v="1"/>
    <x v="6"/>
    <n v="165108"/>
    <n v="45.142822265625"/>
    <n v="0.49763670563697815"/>
  </r>
  <r>
    <x v="1"/>
    <x v="7"/>
    <n v="114297"/>
    <n v="76.485176086425781"/>
    <n v="0.42409327626228333"/>
  </r>
  <r>
    <x v="1"/>
    <x v="8"/>
    <n v="165195"/>
    <n v="51.721160888671875"/>
    <n v="0.49970519542694092"/>
  </r>
  <r>
    <x v="2"/>
    <x v="9"/>
    <n v="167091"/>
    <n v="64.068756103515625"/>
    <n v="0.47980037331581116"/>
  </r>
  <r>
    <x v="2"/>
    <x v="10"/>
    <n v="165925"/>
    <n v="89.953857421875"/>
    <n v="0.30061513185501099"/>
  </r>
  <r>
    <x v="2"/>
    <x v="11"/>
    <n v="165925"/>
    <n v="32.383068084716797"/>
    <n v="0.46793767809867859"/>
  </r>
  <r>
    <x v="2"/>
    <x v="12"/>
    <n v="132792"/>
    <n v="16.768659591674805"/>
    <n v="0.3735891580581665"/>
  </r>
  <r>
    <x v="2"/>
    <x v="13"/>
    <n v="167091"/>
    <n v="9.9489355087280273"/>
    <n v="0.29931932687759399"/>
  </r>
  <r>
    <x v="3"/>
    <x v="14"/>
    <n v="167420"/>
    <n v="39.488845825195312"/>
    <n v="16.175086975097656"/>
  </r>
  <r>
    <x v="3"/>
    <x v="15"/>
    <n v="165329"/>
    <n v="70.700576782226562"/>
    <n v="0.4551372230052948"/>
  </r>
  <r>
    <x v="3"/>
    <x v="16"/>
    <n v="150224"/>
    <n v="50.433246612548828"/>
    <n v="0.49998289346694946"/>
  </r>
  <r>
    <x v="3"/>
    <x v="17"/>
    <n v="167436"/>
    <n v="49.080863952636719"/>
    <n v="0.49991700053215027"/>
  </r>
  <r>
    <x v="3"/>
    <x v="18"/>
    <n v="166121"/>
    <n v="57.301521301269531"/>
    <n v="0.494641542434692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00">
  <r>
    <x v="0"/>
    <x v="0"/>
    <x v="0"/>
    <x v="0"/>
    <n v="29.14268862185456"/>
  </r>
  <r>
    <x v="0"/>
    <x v="1"/>
    <x v="1"/>
    <x v="0"/>
    <n v="29.884736435949542"/>
  </r>
  <r>
    <x v="0"/>
    <x v="1"/>
    <x v="2"/>
    <x v="0"/>
    <n v="30.058011628825579"/>
  </r>
  <r>
    <x v="0"/>
    <x v="1"/>
    <x v="3"/>
    <x v="0"/>
    <n v="28.006652823373599"/>
  </r>
  <r>
    <x v="0"/>
    <x v="1"/>
    <x v="4"/>
    <x v="0"/>
    <n v="27.876406064687309"/>
  </r>
  <r>
    <x v="0"/>
    <x v="2"/>
    <x v="5"/>
    <x v="0"/>
    <n v="27.763699954392969"/>
  </r>
  <r>
    <x v="0"/>
    <x v="2"/>
    <x v="6"/>
    <x v="0"/>
    <n v="27.47714573676846"/>
  </r>
  <r>
    <x v="0"/>
    <x v="2"/>
    <x v="7"/>
    <x v="0"/>
    <n v="31.807993658430821"/>
  </r>
  <r>
    <x v="0"/>
    <x v="2"/>
    <x v="8"/>
    <x v="0"/>
    <n v="32.054368947287827"/>
  </r>
  <r>
    <x v="0"/>
    <x v="3"/>
    <x v="9"/>
    <x v="0"/>
    <n v="30.198123321383729"/>
  </r>
  <r>
    <x v="0"/>
    <x v="3"/>
    <x v="10"/>
    <x v="0"/>
    <n v="28.045609414138092"/>
  </r>
  <r>
    <x v="0"/>
    <x v="4"/>
    <x v="11"/>
    <x v="0"/>
    <n v="29.62767232426021"/>
  </r>
  <r>
    <x v="0"/>
    <x v="4"/>
    <x v="12"/>
    <x v="0"/>
    <n v="28.63940551180869"/>
  </r>
  <r>
    <x v="0"/>
    <x v="5"/>
    <x v="13"/>
    <x v="0"/>
    <n v="29.726871880834789"/>
  </r>
  <r>
    <x v="0"/>
    <x v="5"/>
    <x v="14"/>
    <x v="0"/>
    <n v="29.047379320319219"/>
  </r>
  <r>
    <x v="0"/>
    <x v="6"/>
    <x v="15"/>
    <x v="0"/>
    <n v="29.50225472811767"/>
  </r>
  <r>
    <x v="0"/>
    <x v="6"/>
    <x v="16"/>
    <x v="0"/>
    <n v="28.432231446728611"/>
  </r>
  <r>
    <x v="0"/>
    <x v="6"/>
    <x v="17"/>
    <x v="0"/>
    <n v="28.488324341780331"/>
  </r>
  <r>
    <x v="0"/>
    <x v="6"/>
    <x v="18"/>
    <x v="0"/>
    <n v="30.38967519773156"/>
  </r>
  <r>
    <x v="0"/>
    <x v="7"/>
    <x v="19"/>
    <x v="0"/>
    <m/>
  </r>
  <r>
    <x v="0"/>
    <x v="7"/>
    <x v="20"/>
    <x v="0"/>
    <m/>
  </r>
  <r>
    <x v="0"/>
    <x v="7"/>
    <x v="21"/>
    <x v="0"/>
    <m/>
  </r>
  <r>
    <x v="0"/>
    <x v="8"/>
    <x v="22"/>
    <x v="0"/>
    <n v="54.739538855678902"/>
  </r>
  <r>
    <x v="0"/>
    <x v="8"/>
    <x v="23"/>
    <x v="0"/>
    <n v="23.840206185567009"/>
  </r>
  <r>
    <x v="0"/>
    <x v="8"/>
    <x v="24"/>
    <x v="0"/>
    <n v="38.524590163934427"/>
  </r>
  <r>
    <x v="0"/>
    <x v="8"/>
    <x v="25"/>
    <x v="0"/>
    <n v="34.45680660374645"/>
  </r>
  <r>
    <x v="0"/>
    <x v="8"/>
    <x v="26"/>
    <x v="0"/>
    <n v="32.517524269440393"/>
  </r>
  <r>
    <x v="0"/>
    <x v="8"/>
    <x v="27"/>
    <x v="0"/>
    <n v="15.31440162271805"/>
  </r>
  <r>
    <x v="0"/>
    <x v="8"/>
    <x v="28"/>
    <x v="0"/>
    <m/>
  </r>
  <r>
    <x v="0"/>
    <x v="8"/>
    <x v="29"/>
    <x v="0"/>
    <n v="32.508833922261481"/>
  </r>
  <r>
    <x v="0"/>
    <x v="8"/>
    <x v="30"/>
    <x v="0"/>
    <n v="24.7578040904198"/>
  </r>
  <r>
    <x v="0"/>
    <x v="8"/>
    <x v="31"/>
    <x v="0"/>
    <n v="15.686274509803919"/>
  </r>
  <r>
    <x v="0"/>
    <x v="8"/>
    <x v="32"/>
    <x v="0"/>
    <n v="32.033426183844007"/>
  </r>
  <r>
    <x v="0"/>
    <x v="8"/>
    <x v="33"/>
    <x v="0"/>
    <n v="19.289340101522839"/>
  </r>
  <r>
    <x v="0"/>
    <x v="8"/>
    <x v="34"/>
    <x v="0"/>
    <n v="20.62062062062062"/>
  </r>
  <r>
    <x v="0"/>
    <x v="8"/>
    <x v="35"/>
    <x v="0"/>
    <n v="28.795298726738491"/>
  </r>
  <r>
    <x v="0"/>
    <x v="8"/>
    <x v="36"/>
    <x v="0"/>
    <n v="35.670607984628766"/>
  </r>
  <r>
    <x v="0"/>
    <x v="8"/>
    <x v="37"/>
    <x v="0"/>
    <n v="16.565656565656571"/>
  </r>
  <r>
    <x v="0"/>
    <x v="8"/>
    <x v="38"/>
    <x v="0"/>
    <n v="26.4855298556745"/>
  </r>
  <r>
    <x v="0"/>
    <x v="8"/>
    <x v="39"/>
    <x v="0"/>
    <n v="37.06293706293706"/>
  </r>
  <r>
    <x v="0"/>
    <x v="0"/>
    <x v="0"/>
    <x v="1"/>
    <n v="51.34246564593672"/>
  </r>
  <r>
    <x v="0"/>
    <x v="1"/>
    <x v="1"/>
    <x v="1"/>
    <n v="50.183791811612757"/>
  </r>
  <r>
    <x v="0"/>
    <x v="1"/>
    <x v="2"/>
    <x v="1"/>
    <n v="51.295844510110079"/>
  </r>
  <r>
    <x v="0"/>
    <x v="1"/>
    <x v="3"/>
    <x v="1"/>
    <n v="52.794460828176462"/>
  </r>
  <r>
    <x v="0"/>
    <x v="1"/>
    <x v="4"/>
    <x v="1"/>
    <n v="51.554518899794672"/>
  </r>
  <r>
    <x v="0"/>
    <x v="2"/>
    <x v="5"/>
    <x v="1"/>
    <n v="53.240783544211453"/>
  </r>
  <r>
    <x v="0"/>
    <x v="2"/>
    <x v="6"/>
    <x v="1"/>
    <n v="51.377284989107572"/>
  </r>
  <r>
    <x v="0"/>
    <x v="2"/>
    <x v="7"/>
    <x v="1"/>
    <n v="49.752485826056457"/>
  </r>
  <r>
    <x v="0"/>
    <x v="2"/>
    <x v="8"/>
    <x v="1"/>
    <n v="52.232703126661193"/>
  </r>
  <r>
    <x v="0"/>
    <x v="3"/>
    <x v="9"/>
    <x v="1"/>
    <n v="51.246950926954312"/>
  </r>
  <r>
    <x v="0"/>
    <x v="3"/>
    <x v="10"/>
    <x v="1"/>
    <n v="51.441749109208487"/>
  </r>
  <r>
    <x v="0"/>
    <x v="4"/>
    <x v="11"/>
    <x v="1"/>
    <n v="50.878433263982323"/>
  </r>
  <r>
    <x v="0"/>
    <x v="4"/>
    <x v="12"/>
    <x v="1"/>
    <n v="52.012121684572072"/>
  </r>
  <r>
    <x v="0"/>
    <x v="5"/>
    <x v="13"/>
    <x v="1"/>
    <n v="46.803938194907722"/>
  </r>
  <r>
    <x v="0"/>
    <x v="5"/>
    <x v="14"/>
    <x v="1"/>
    <n v="52.731940670672593"/>
  </r>
  <r>
    <x v="0"/>
    <x v="6"/>
    <x v="15"/>
    <x v="1"/>
    <n v="50.291275195401766"/>
  </r>
  <r>
    <x v="0"/>
    <x v="6"/>
    <x v="16"/>
    <x v="1"/>
    <n v="51.699878047301148"/>
  </r>
  <r>
    <x v="0"/>
    <x v="6"/>
    <x v="17"/>
    <x v="1"/>
    <n v="50.026567228533011"/>
  </r>
  <r>
    <x v="0"/>
    <x v="6"/>
    <x v="18"/>
    <x v="1"/>
    <n v="52.938409010904373"/>
  </r>
  <r>
    <x v="0"/>
    <x v="7"/>
    <x v="19"/>
    <x v="1"/>
    <m/>
  </r>
  <r>
    <x v="0"/>
    <x v="7"/>
    <x v="20"/>
    <x v="1"/>
    <m/>
  </r>
  <r>
    <x v="0"/>
    <x v="7"/>
    <x v="21"/>
    <x v="1"/>
    <m/>
  </r>
  <r>
    <x v="0"/>
    <x v="8"/>
    <x v="22"/>
    <x v="1"/>
    <n v="40.990606319385137"/>
  </r>
  <r>
    <x v="0"/>
    <x v="8"/>
    <x v="23"/>
    <x v="1"/>
    <n v="66.237113402061851"/>
  </r>
  <r>
    <x v="0"/>
    <x v="8"/>
    <x v="24"/>
    <x v="1"/>
    <n v="54.098360655737707"/>
  </r>
  <r>
    <x v="0"/>
    <x v="8"/>
    <x v="25"/>
    <x v="1"/>
    <n v="53.936967252240272"/>
  </r>
  <r>
    <x v="0"/>
    <x v="8"/>
    <x v="26"/>
    <x v="1"/>
    <n v="52.269026321191902"/>
  </r>
  <r>
    <x v="0"/>
    <x v="8"/>
    <x v="27"/>
    <x v="1"/>
    <n v="61.967545638945232"/>
  </r>
  <r>
    <x v="0"/>
    <x v="8"/>
    <x v="28"/>
    <x v="1"/>
    <m/>
  </r>
  <r>
    <x v="0"/>
    <x v="8"/>
    <x v="29"/>
    <x v="1"/>
    <n v="54.946996466431102"/>
  </r>
  <r>
    <x v="0"/>
    <x v="8"/>
    <x v="30"/>
    <x v="1"/>
    <n v="38.213132400430567"/>
  </r>
  <r>
    <x v="0"/>
    <x v="8"/>
    <x v="31"/>
    <x v="1"/>
    <n v="59.958720330237362"/>
  </r>
  <r>
    <x v="0"/>
    <x v="8"/>
    <x v="32"/>
    <x v="1"/>
    <n v="39.182915506035279"/>
  </r>
  <r>
    <x v="0"/>
    <x v="8"/>
    <x v="33"/>
    <x v="1"/>
    <n v="43.248730964467001"/>
  </r>
  <r>
    <x v="0"/>
    <x v="8"/>
    <x v="34"/>
    <x v="1"/>
    <n v="58.458458458458459"/>
  </r>
  <r>
    <x v="0"/>
    <x v="8"/>
    <x v="35"/>
    <x v="1"/>
    <n v="57.002938295788439"/>
  </r>
  <r>
    <x v="0"/>
    <x v="8"/>
    <x v="36"/>
    <x v="1"/>
    <n v="52.356206910253668"/>
  </r>
  <r>
    <x v="0"/>
    <x v="8"/>
    <x v="37"/>
    <x v="1"/>
    <n v="44.343434343434353"/>
  </r>
  <r>
    <x v="0"/>
    <x v="8"/>
    <x v="38"/>
    <x v="1"/>
    <n v="52.386269496964417"/>
  </r>
  <r>
    <x v="0"/>
    <x v="8"/>
    <x v="39"/>
    <x v="1"/>
    <n v="48.164335664335667"/>
  </r>
  <r>
    <x v="0"/>
    <x v="0"/>
    <x v="0"/>
    <x v="2"/>
    <n v="14.31782436799408"/>
  </r>
  <r>
    <x v="0"/>
    <x v="1"/>
    <x v="1"/>
    <x v="2"/>
    <n v="13.75438736465372"/>
  </r>
  <r>
    <x v="0"/>
    <x v="1"/>
    <x v="2"/>
    <x v="2"/>
    <n v="13.565057988841829"/>
  </r>
  <r>
    <x v="0"/>
    <x v="1"/>
    <x v="3"/>
    <x v="2"/>
    <n v="14.556501488565649"/>
  </r>
  <r>
    <x v="0"/>
    <x v="1"/>
    <x v="4"/>
    <x v="2"/>
    <n v="15.62157813256791"/>
  </r>
  <r>
    <x v="0"/>
    <x v="2"/>
    <x v="5"/>
    <x v="2"/>
    <n v="13.913345522113209"/>
  </r>
  <r>
    <x v="0"/>
    <x v="2"/>
    <x v="6"/>
    <x v="2"/>
    <n v="15.10843142482361"/>
  </r>
  <r>
    <x v="0"/>
    <x v="2"/>
    <x v="7"/>
    <x v="2"/>
    <n v="14.032502250995501"/>
  </r>
  <r>
    <x v="0"/>
    <x v="2"/>
    <x v="8"/>
    <x v="2"/>
    <n v="11.78990357009784"/>
  </r>
  <r>
    <x v="0"/>
    <x v="3"/>
    <x v="9"/>
    <x v="2"/>
    <n v="13.43380046846293"/>
  </r>
  <r>
    <x v="0"/>
    <x v="3"/>
    <x v="10"/>
    <x v="2"/>
    <n v="15.236729383844621"/>
  </r>
  <r>
    <x v="0"/>
    <x v="4"/>
    <x v="11"/>
    <x v="2"/>
    <n v="14.35189225491461"/>
  </r>
  <r>
    <x v="0"/>
    <x v="4"/>
    <x v="12"/>
    <x v="2"/>
    <n v="14.167175608361751"/>
  </r>
  <r>
    <x v="0"/>
    <x v="5"/>
    <x v="13"/>
    <x v="2"/>
    <n v="17.402847306132308"/>
  </r>
  <r>
    <x v="0"/>
    <x v="5"/>
    <x v="14"/>
    <x v="2"/>
    <n v="13.326941861437639"/>
  </r>
  <r>
    <x v="0"/>
    <x v="6"/>
    <x v="15"/>
    <x v="2"/>
    <n v="14.87264246462181"/>
  </r>
  <r>
    <x v="0"/>
    <x v="6"/>
    <x v="16"/>
    <x v="2"/>
    <n v="14.66726155283345"/>
  </r>
  <r>
    <x v="0"/>
    <x v="6"/>
    <x v="17"/>
    <x v="2"/>
    <n v="15.100078390292371"/>
  </r>
  <r>
    <x v="0"/>
    <x v="6"/>
    <x v="18"/>
    <x v="2"/>
    <n v="12.40142767927556"/>
  </r>
  <r>
    <x v="0"/>
    <x v="7"/>
    <x v="19"/>
    <x v="2"/>
    <m/>
  </r>
  <r>
    <x v="0"/>
    <x v="7"/>
    <x v="20"/>
    <x v="2"/>
    <m/>
  </r>
  <r>
    <x v="0"/>
    <x v="7"/>
    <x v="21"/>
    <x v="2"/>
    <m/>
  </r>
  <r>
    <x v="0"/>
    <x v="8"/>
    <x v="22"/>
    <x v="2"/>
    <n v="4.0990606319385154"/>
  </r>
  <r>
    <x v="0"/>
    <x v="8"/>
    <x v="23"/>
    <x v="2"/>
    <n v="7.6030927835051543"/>
  </r>
  <r>
    <x v="0"/>
    <x v="8"/>
    <x v="24"/>
    <x v="2"/>
    <n v="5.6352459016393439"/>
  </r>
  <r>
    <x v="0"/>
    <x v="8"/>
    <x v="25"/>
    <x v="2"/>
    <n v="9.4108241523481411"/>
  </r>
  <r>
    <x v="0"/>
    <x v="8"/>
    <x v="26"/>
    <x v="2"/>
    <n v="8.6394257407502106"/>
  </r>
  <r>
    <x v="0"/>
    <x v="8"/>
    <x v="27"/>
    <x v="2"/>
    <n v="14.401622718052741"/>
  </r>
  <r>
    <x v="0"/>
    <x v="8"/>
    <x v="28"/>
    <x v="2"/>
    <m/>
  </r>
  <r>
    <x v="0"/>
    <x v="8"/>
    <x v="29"/>
    <x v="2"/>
    <n v="8.0388692579505303"/>
  </r>
  <r>
    <x v="0"/>
    <x v="8"/>
    <x v="30"/>
    <x v="2"/>
    <n v="26.372443487621101"/>
  </r>
  <r>
    <x v="0"/>
    <x v="8"/>
    <x v="31"/>
    <x v="2"/>
    <n v="15.170278637770901"/>
  </r>
  <r>
    <x v="0"/>
    <x v="8"/>
    <x v="32"/>
    <x v="2"/>
    <n v="23.212627669452178"/>
  </r>
  <r>
    <x v="0"/>
    <x v="8"/>
    <x v="33"/>
    <x v="2"/>
    <n v="24.771573604060919"/>
  </r>
  <r>
    <x v="0"/>
    <x v="8"/>
    <x v="34"/>
    <x v="2"/>
    <n v="18.518518518518519"/>
  </r>
  <r>
    <x v="0"/>
    <x v="8"/>
    <x v="35"/>
    <x v="2"/>
    <n v="12.242899118511261"/>
  </r>
  <r>
    <x v="0"/>
    <x v="8"/>
    <x v="36"/>
    <x v="2"/>
    <n v="6.9909029327375389"/>
  </r>
  <r>
    <x v="0"/>
    <x v="8"/>
    <x v="37"/>
    <x v="2"/>
    <n v="30.404040404040408"/>
  </r>
  <r>
    <x v="0"/>
    <x v="8"/>
    <x v="38"/>
    <x v="2"/>
    <n v="17.59984614393905"/>
  </r>
  <r>
    <x v="0"/>
    <x v="8"/>
    <x v="39"/>
    <x v="2"/>
    <n v="10.4020979020979"/>
  </r>
  <r>
    <x v="0"/>
    <x v="0"/>
    <x v="0"/>
    <x v="3"/>
    <n v="5.1970213642146499"/>
  </r>
  <r>
    <x v="0"/>
    <x v="1"/>
    <x v="1"/>
    <x v="3"/>
    <n v="6.1770843877839754"/>
  </r>
  <r>
    <x v="0"/>
    <x v="1"/>
    <x v="2"/>
    <x v="3"/>
    <n v="5.0810858722225003"/>
  </r>
  <r>
    <x v="0"/>
    <x v="1"/>
    <x v="3"/>
    <x v="3"/>
    <n v="4.6423848598842898"/>
  </r>
  <r>
    <x v="0"/>
    <x v="1"/>
    <x v="4"/>
    <x v="3"/>
    <n v="4.9474969029501121"/>
  </r>
  <r>
    <x v="0"/>
    <x v="2"/>
    <x v="5"/>
    <x v="3"/>
    <n v="5.0821709792823846"/>
  </r>
  <r>
    <x v="0"/>
    <x v="2"/>
    <x v="6"/>
    <x v="3"/>
    <n v="6.0371378493003576"/>
  </r>
  <r>
    <x v="0"/>
    <x v="2"/>
    <x v="7"/>
    <x v="3"/>
    <n v="4.4070182645172249"/>
  </r>
  <r>
    <x v="0"/>
    <x v="2"/>
    <x v="8"/>
    <x v="3"/>
    <n v="3.9230243559531348"/>
  </r>
  <r>
    <x v="0"/>
    <x v="3"/>
    <x v="9"/>
    <x v="3"/>
    <n v="5.1211252831990288"/>
  </r>
  <r>
    <x v="0"/>
    <x v="3"/>
    <x v="10"/>
    <x v="3"/>
    <n v="5.275912092808797"/>
  </r>
  <r>
    <x v="0"/>
    <x v="4"/>
    <x v="11"/>
    <x v="3"/>
    <n v="5.1420021568428567"/>
  </r>
  <r>
    <x v="0"/>
    <x v="4"/>
    <x v="12"/>
    <x v="3"/>
    <n v="5.1812971952575007"/>
  </r>
  <r>
    <x v="0"/>
    <x v="5"/>
    <x v="13"/>
    <x v="3"/>
    <n v="6.066342618125196"/>
  </r>
  <r>
    <x v="0"/>
    <x v="5"/>
    <x v="14"/>
    <x v="3"/>
    <n v="4.8937381475705601"/>
  </r>
  <r>
    <x v="0"/>
    <x v="6"/>
    <x v="15"/>
    <x v="3"/>
    <n v="5.3338276118587604"/>
  </r>
  <r>
    <x v="0"/>
    <x v="6"/>
    <x v="16"/>
    <x v="3"/>
    <n v="5.2006289531367891"/>
  </r>
  <r>
    <x v="0"/>
    <x v="6"/>
    <x v="17"/>
    <x v="3"/>
    <n v="6.3850300393942838"/>
  </r>
  <r>
    <x v="0"/>
    <x v="6"/>
    <x v="18"/>
    <x v="3"/>
    <n v="4.2704881120885121"/>
  </r>
  <r>
    <x v="0"/>
    <x v="7"/>
    <x v="19"/>
    <x v="3"/>
    <m/>
  </r>
  <r>
    <x v="0"/>
    <x v="7"/>
    <x v="20"/>
    <x v="3"/>
    <m/>
  </r>
  <r>
    <x v="0"/>
    <x v="7"/>
    <x v="21"/>
    <x v="3"/>
    <m/>
  </r>
  <r>
    <x v="0"/>
    <x v="8"/>
    <x v="22"/>
    <x v="3"/>
    <n v="0.17079419299743809"/>
  </r>
  <r>
    <x v="0"/>
    <x v="8"/>
    <x v="23"/>
    <x v="3"/>
    <n v="2.31958762886598"/>
  </r>
  <r>
    <x v="0"/>
    <x v="8"/>
    <x v="24"/>
    <x v="3"/>
    <n v="1.7418032786885249"/>
  </r>
  <r>
    <x v="0"/>
    <x v="8"/>
    <x v="25"/>
    <x v="3"/>
    <n v="2.1954019916651419"/>
  </r>
  <r>
    <x v="0"/>
    <x v="8"/>
    <x v="26"/>
    <x v="3"/>
    <n v="6.5740236686175066"/>
  </r>
  <r>
    <x v="0"/>
    <x v="8"/>
    <x v="27"/>
    <x v="3"/>
    <n v="8.3164300202839758"/>
  </r>
  <r>
    <x v="0"/>
    <x v="8"/>
    <x v="28"/>
    <x v="3"/>
    <m/>
  </r>
  <r>
    <x v="0"/>
    <x v="8"/>
    <x v="29"/>
    <x v="3"/>
    <n v="4.5053003533568914"/>
  </r>
  <r>
    <x v="0"/>
    <x v="8"/>
    <x v="30"/>
    <x v="3"/>
    <n v="10.65662002152853"/>
  </r>
  <r>
    <x v="0"/>
    <x v="8"/>
    <x v="31"/>
    <x v="3"/>
    <n v="9.1847265221878214"/>
  </r>
  <r>
    <x v="0"/>
    <x v="8"/>
    <x v="32"/>
    <x v="3"/>
    <n v="5.5710306406685239"/>
  </r>
  <r>
    <x v="0"/>
    <x v="8"/>
    <x v="33"/>
    <x v="3"/>
    <n v="12.69035532994924"/>
  </r>
  <r>
    <x v="0"/>
    <x v="8"/>
    <x v="34"/>
    <x v="3"/>
    <n v="2.402402402402402"/>
  </r>
  <r>
    <x v="0"/>
    <x v="8"/>
    <x v="35"/>
    <x v="3"/>
    <n v="1.9588638589618019"/>
  </r>
  <r>
    <x v="0"/>
    <x v="8"/>
    <x v="36"/>
    <x v="3"/>
    <n v="4.9822821723800192"/>
  </r>
  <r>
    <x v="0"/>
    <x v="8"/>
    <x v="37"/>
    <x v="3"/>
    <n v="8.6868686868686869"/>
  </r>
  <r>
    <x v="0"/>
    <x v="8"/>
    <x v="38"/>
    <x v="3"/>
    <n v="3.5283545034220332"/>
  </r>
  <r>
    <x v="0"/>
    <x v="8"/>
    <x v="39"/>
    <x v="3"/>
    <n v="4.3706293706293708"/>
  </r>
  <r>
    <x v="1"/>
    <x v="0"/>
    <x v="0"/>
    <x v="0"/>
    <n v="37.028218240335178"/>
  </r>
  <r>
    <x v="1"/>
    <x v="1"/>
    <x v="1"/>
    <x v="0"/>
    <n v="38.938800194869252"/>
  </r>
  <r>
    <x v="1"/>
    <x v="1"/>
    <x v="2"/>
    <x v="0"/>
    <n v="35.409755997443099"/>
  </r>
  <r>
    <x v="1"/>
    <x v="1"/>
    <x v="3"/>
    <x v="0"/>
    <n v="38.364034482175612"/>
  </r>
  <r>
    <x v="1"/>
    <x v="1"/>
    <x v="4"/>
    <x v="0"/>
    <n v="36.420194954154859"/>
  </r>
  <r>
    <x v="1"/>
    <x v="2"/>
    <x v="5"/>
    <x v="0"/>
    <n v="32.414371681305163"/>
  </r>
  <r>
    <x v="1"/>
    <x v="2"/>
    <x v="6"/>
    <x v="0"/>
    <n v="37.752661628274481"/>
  </r>
  <r>
    <x v="1"/>
    <x v="2"/>
    <x v="7"/>
    <x v="0"/>
    <n v="38.998973287878172"/>
  </r>
  <r>
    <x v="1"/>
    <x v="2"/>
    <x v="8"/>
    <x v="0"/>
    <n v="39.504323863210253"/>
  </r>
  <r>
    <x v="1"/>
    <x v="3"/>
    <x v="9"/>
    <x v="0"/>
    <n v="37.310184530464937"/>
  </r>
  <r>
    <x v="1"/>
    <x v="3"/>
    <x v="10"/>
    <x v="0"/>
    <n v="36.741755043075393"/>
  </r>
  <r>
    <x v="1"/>
    <x v="4"/>
    <x v="11"/>
    <x v="0"/>
    <n v="35.834490985171762"/>
  </r>
  <r>
    <x v="1"/>
    <x v="4"/>
    <x v="12"/>
    <x v="0"/>
    <n v="37.986975763633779"/>
  </r>
  <r>
    <x v="1"/>
    <x v="5"/>
    <x v="13"/>
    <x v="0"/>
    <n v="34.714146088406437"/>
  </r>
  <r>
    <x v="1"/>
    <x v="5"/>
    <x v="14"/>
    <x v="0"/>
    <n v="37.561633773363617"/>
  </r>
  <r>
    <x v="1"/>
    <x v="6"/>
    <x v="15"/>
    <x v="0"/>
    <n v="34.728836614047367"/>
  </r>
  <r>
    <x v="1"/>
    <x v="6"/>
    <x v="16"/>
    <x v="0"/>
    <n v="35.459053575398997"/>
  </r>
  <r>
    <x v="1"/>
    <x v="6"/>
    <x v="17"/>
    <x v="0"/>
    <n v="38.523506470265417"/>
  </r>
  <r>
    <x v="1"/>
    <x v="6"/>
    <x v="18"/>
    <x v="0"/>
    <n v="38.780646779713287"/>
  </r>
  <r>
    <x v="1"/>
    <x v="7"/>
    <x v="19"/>
    <x v="0"/>
    <n v="35.552345675065787"/>
  </r>
  <r>
    <x v="1"/>
    <x v="7"/>
    <x v="20"/>
    <x v="0"/>
    <n v="33.311903690610308"/>
  </r>
  <r>
    <x v="1"/>
    <x v="7"/>
    <x v="21"/>
    <x v="0"/>
    <n v="39.140307125105153"/>
  </r>
  <r>
    <x v="1"/>
    <x v="8"/>
    <x v="22"/>
    <x v="0"/>
    <n v="54.878391221008712"/>
  </r>
  <r>
    <x v="1"/>
    <x v="8"/>
    <x v="23"/>
    <x v="0"/>
    <n v="34.247871333964049"/>
  </r>
  <r>
    <x v="1"/>
    <x v="8"/>
    <x v="24"/>
    <x v="0"/>
    <n v="35.691657866948262"/>
  </r>
  <r>
    <x v="1"/>
    <x v="8"/>
    <x v="25"/>
    <x v="0"/>
    <n v="38.167968510459048"/>
  </r>
  <r>
    <x v="1"/>
    <x v="8"/>
    <x v="26"/>
    <x v="0"/>
    <n v="53.329728424451659"/>
  </r>
  <r>
    <x v="1"/>
    <x v="8"/>
    <x v="27"/>
    <x v="0"/>
    <n v="32.661717921527043"/>
  </r>
  <r>
    <x v="1"/>
    <x v="8"/>
    <x v="28"/>
    <x v="0"/>
    <m/>
  </r>
  <r>
    <x v="1"/>
    <x v="8"/>
    <x v="29"/>
    <x v="0"/>
    <n v="32.547957803704278"/>
  </r>
  <r>
    <x v="1"/>
    <x v="8"/>
    <x v="30"/>
    <x v="0"/>
    <n v="30.74973577417007"/>
  </r>
  <r>
    <x v="1"/>
    <x v="8"/>
    <x v="31"/>
    <x v="0"/>
    <n v="28.27069141281396"/>
  </r>
  <r>
    <x v="1"/>
    <x v="8"/>
    <x v="32"/>
    <x v="0"/>
    <n v="29.694578186673599"/>
  </r>
  <r>
    <x v="1"/>
    <x v="8"/>
    <x v="33"/>
    <x v="0"/>
    <n v="29.88624612202689"/>
  </r>
  <r>
    <x v="1"/>
    <x v="8"/>
    <x v="34"/>
    <x v="0"/>
    <n v="54.017857142857139"/>
  </r>
  <r>
    <x v="1"/>
    <x v="8"/>
    <x v="35"/>
    <x v="0"/>
    <n v="36.87943262411347"/>
  </r>
  <r>
    <x v="1"/>
    <x v="8"/>
    <x v="36"/>
    <x v="0"/>
    <n v="54.694745053605928"/>
  </r>
  <r>
    <x v="1"/>
    <x v="8"/>
    <x v="37"/>
    <x v="0"/>
    <n v="34.557371273209903"/>
  </r>
  <r>
    <x v="1"/>
    <x v="8"/>
    <x v="38"/>
    <x v="0"/>
    <n v="31.326898779788792"/>
  </r>
  <r>
    <x v="1"/>
    <x v="8"/>
    <x v="39"/>
    <x v="0"/>
    <n v="24.789869405619179"/>
  </r>
  <r>
    <x v="1"/>
    <x v="0"/>
    <x v="0"/>
    <x v="1"/>
    <n v="51.706265632593919"/>
  </r>
  <r>
    <x v="1"/>
    <x v="1"/>
    <x v="1"/>
    <x v="1"/>
    <n v="49.034425326936052"/>
  </r>
  <r>
    <x v="1"/>
    <x v="1"/>
    <x v="2"/>
    <x v="1"/>
    <n v="52.233085196752583"/>
  </r>
  <r>
    <x v="1"/>
    <x v="1"/>
    <x v="3"/>
    <x v="1"/>
    <n v="52.809378116153482"/>
  </r>
  <r>
    <x v="1"/>
    <x v="1"/>
    <x v="4"/>
    <x v="1"/>
    <n v="53.544427260292913"/>
  </r>
  <r>
    <x v="1"/>
    <x v="2"/>
    <x v="5"/>
    <x v="1"/>
    <n v="53.575355212467443"/>
  </r>
  <r>
    <x v="1"/>
    <x v="2"/>
    <x v="6"/>
    <x v="1"/>
    <n v="51.161914375356467"/>
  </r>
  <r>
    <x v="1"/>
    <x v="2"/>
    <x v="7"/>
    <x v="1"/>
    <n v="51.207167244149829"/>
  </r>
  <r>
    <x v="1"/>
    <x v="2"/>
    <x v="8"/>
    <x v="1"/>
    <n v="50.730376048569958"/>
  </r>
  <r>
    <x v="1"/>
    <x v="3"/>
    <x v="9"/>
    <x v="1"/>
    <n v="51.592026197381728"/>
  </r>
  <r>
    <x v="1"/>
    <x v="3"/>
    <x v="10"/>
    <x v="1"/>
    <n v="51.822327002373171"/>
  </r>
  <r>
    <x v="1"/>
    <x v="4"/>
    <x v="11"/>
    <x v="1"/>
    <n v="52.630609771717893"/>
  </r>
  <r>
    <x v="1"/>
    <x v="4"/>
    <x v="12"/>
    <x v="1"/>
    <n v="50.99411870947629"/>
  </r>
  <r>
    <x v="1"/>
    <x v="5"/>
    <x v="13"/>
    <x v="1"/>
    <n v="53.178398603277913"/>
  </r>
  <r>
    <x v="1"/>
    <x v="5"/>
    <x v="14"/>
    <x v="1"/>
    <n v="51.391326915608232"/>
  </r>
  <r>
    <x v="1"/>
    <x v="6"/>
    <x v="15"/>
    <x v="1"/>
    <n v="54.613163364190306"/>
  </r>
  <r>
    <x v="1"/>
    <x v="6"/>
    <x v="16"/>
    <x v="1"/>
    <n v="53.628673530708987"/>
  </r>
  <r>
    <x v="1"/>
    <x v="6"/>
    <x v="17"/>
    <x v="1"/>
    <n v="49.517462842096293"/>
  </r>
  <r>
    <x v="1"/>
    <x v="6"/>
    <x v="18"/>
    <x v="1"/>
    <n v="50.966431520154131"/>
  </r>
  <r>
    <x v="1"/>
    <x v="7"/>
    <x v="19"/>
    <x v="1"/>
    <n v="52.597063354073612"/>
  </r>
  <r>
    <x v="1"/>
    <x v="7"/>
    <x v="20"/>
    <x v="1"/>
    <n v="52.815932264152501"/>
  </r>
  <r>
    <x v="1"/>
    <x v="7"/>
    <x v="21"/>
    <x v="1"/>
    <n v="50.967624913788732"/>
  </r>
  <r>
    <x v="1"/>
    <x v="8"/>
    <x v="22"/>
    <x v="1"/>
    <n v="42.004798163952259"/>
  </r>
  <r>
    <x v="1"/>
    <x v="8"/>
    <x v="23"/>
    <x v="1"/>
    <n v="57.142857142857139"/>
  </r>
  <r>
    <x v="1"/>
    <x v="8"/>
    <x v="24"/>
    <x v="1"/>
    <n v="50.686378035902848"/>
  </r>
  <r>
    <x v="1"/>
    <x v="8"/>
    <x v="25"/>
    <x v="1"/>
    <n v="52.036505265326703"/>
  </r>
  <r>
    <x v="1"/>
    <x v="8"/>
    <x v="26"/>
    <x v="1"/>
    <n v="42.48268412795835"/>
  </r>
  <r>
    <x v="1"/>
    <x v="8"/>
    <x v="27"/>
    <x v="1"/>
    <n v="51.855779427359487"/>
  </r>
  <r>
    <x v="1"/>
    <x v="8"/>
    <x v="28"/>
    <x v="1"/>
    <m/>
  </r>
  <r>
    <x v="1"/>
    <x v="8"/>
    <x v="29"/>
    <x v="1"/>
    <n v="57.433714075399102"/>
  </r>
  <r>
    <x v="1"/>
    <x v="8"/>
    <x v="30"/>
    <x v="1"/>
    <n v="54.286234364377933"/>
  </r>
  <r>
    <x v="1"/>
    <x v="8"/>
    <x v="31"/>
    <x v="1"/>
    <n v="63.453306934474753"/>
  </r>
  <r>
    <x v="1"/>
    <x v="8"/>
    <x v="32"/>
    <x v="1"/>
    <n v="52.931030319919067"/>
  </r>
  <r>
    <x v="1"/>
    <x v="8"/>
    <x v="33"/>
    <x v="1"/>
    <n v="54.705274043433292"/>
  </r>
  <r>
    <x v="1"/>
    <x v="8"/>
    <x v="34"/>
    <x v="1"/>
    <n v="40.848214285714292"/>
  </r>
  <r>
    <x v="1"/>
    <x v="8"/>
    <x v="35"/>
    <x v="1"/>
    <n v="57.750759878419458"/>
  </r>
  <r>
    <x v="1"/>
    <x v="8"/>
    <x v="36"/>
    <x v="1"/>
    <n v="39.769950688882801"/>
  </r>
  <r>
    <x v="1"/>
    <x v="8"/>
    <x v="37"/>
    <x v="1"/>
    <n v="49.069734530206603"/>
  </r>
  <r>
    <x v="1"/>
    <x v="8"/>
    <x v="38"/>
    <x v="1"/>
    <n v="60.536360150206917"/>
  </r>
  <r>
    <x v="1"/>
    <x v="8"/>
    <x v="39"/>
    <x v="1"/>
    <n v="47.398665976523013"/>
  </r>
  <r>
    <x v="1"/>
    <x v="0"/>
    <x v="0"/>
    <x v="2"/>
    <n v="9.5296729644431455"/>
  </r>
  <r>
    <x v="1"/>
    <x v="1"/>
    <x v="1"/>
    <x v="2"/>
    <n v="10.291481505472619"/>
  </r>
  <r>
    <x v="1"/>
    <x v="1"/>
    <x v="2"/>
    <x v="2"/>
    <n v="10.72092459830313"/>
  </r>
  <r>
    <x v="1"/>
    <x v="1"/>
    <x v="3"/>
    <x v="2"/>
    <n v="7.0406949553781164"/>
  </r>
  <r>
    <x v="1"/>
    <x v="1"/>
    <x v="4"/>
    <x v="2"/>
    <n v="7.9537625860827283"/>
  </r>
  <r>
    <x v="1"/>
    <x v="2"/>
    <x v="5"/>
    <x v="2"/>
    <n v="12.1663171145706"/>
  </r>
  <r>
    <x v="1"/>
    <x v="2"/>
    <x v="6"/>
    <x v="2"/>
    <n v="9.4628256042761496"/>
  </r>
  <r>
    <x v="1"/>
    <x v="2"/>
    <x v="7"/>
    <x v="2"/>
    <n v="7.9113571180187803"/>
  </r>
  <r>
    <x v="1"/>
    <x v="2"/>
    <x v="8"/>
    <x v="2"/>
    <n v="8.3652453825325122"/>
  </r>
  <r>
    <x v="1"/>
    <x v="3"/>
    <x v="9"/>
    <x v="2"/>
    <n v="9.4876465043655234"/>
  </r>
  <r>
    <x v="1"/>
    <x v="3"/>
    <x v="10"/>
    <x v="2"/>
    <n v="9.5723696787128052"/>
  </r>
  <r>
    <x v="1"/>
    <x v="4"/>
    <x v="11"/>
    <x v="2"/>
    <n v="9.9215149540909344"/>
  </r>
  <r>
    <x v="1"/>
    <x v="4"/>
    <x v="12"/>
    <x v="2"/>
    <n v="9.1846111784030082"/>
  </r>
  <r>
    <x v="1"/>
    <x v="5"/>
    <x v="13"/>
    <x v="2"/>
    <n v="10.735314007175459"/>
  </r>
  <r>
    <x v="1"/>
    <x v="5"/>
    <x v="14"/>
    <x v="2"/>
    <n v="9.1805356483038185"/>
  </r>
  <r>
    <x v="1"/>
    <x v="6"/>
    <x v="15"/>
    <x v="2"/>
    <n v="8.2798394515000631"/>
  </r>
  <r>
    <x v="1"/>
    <x v="6"/>
    <x v="16"/>
    <x v="2"/>
    <n v="9.4142327712487681"/>
  </r>
  <r>
    <x v="1"/>
    <x v="6"/>
    <x v="17"/>
    <x v="2"/>
    <n v="10.095262125148"/>
  </r>
  <r>
    <x v="1"/>
    <x v="6"/>
    <x v="18"/>
    <x v="2"/>
    <n v="7.9091447546007307"/>
  </r>
  <r>
    <x v="1"/>
    <x v="7"/>
    <x v="19"/>
    <x v="2"/>
    <n v="10.11537245133027"/>
  </r>
  <r>
    <x v="1"/>
    <x v="7"/>
    <x v="20"/>
    <x v="2"/>
    <n v="11.95997394608785"/>
  </r>
  <r>
    <x v="1"/>
    <x v="7"/>
    <x v="21"/>
    <x v="2"/>
    <n v="8.2394965165802478"/>
  </r>
  <r>
    <x v="1"/>
    <x v="8"/>
    <x v="22"/>
    <x v="2"/>
    <n v="2.1169007820990031"/>
  </r>
  <r>
    <x v="1"/>
    <x v="8"/>
    <x v="23"/>
    <x v="2"/>
    <n v="5.7710501419110694"/>
  </r>
  <r>
    <x v="1"/>
    <x v="8"/>
    <x v="24"/>
    <x v="2"/>
    <n v="12.777191129883841"/>
  </r>
  <r>
    <x v="1"/>
    <x v="8"/>
    <x v="25"/>
    <x v="2"/>
    <n v="8.4135073060365162"/>
  </r>
  <r>
    <x v="1"/>
    <x v="8"/>
    <x v="26"/>
    <x v="2"/>
    <n v="3.5919355372857722"/>
  </r>
  <r>
    <x v="1"/>
    <x v="8"/>
    <x v="27"/>
    <x v="2"/>
    <n v="14.20996818663839"/>
  </r>
  <r>
    <x v="1"/>
    <x v="8"/>
    <x v="28"/>
    <x v="2"/>
    <m/>
  </r>
  <r>
    <x v="1"/>
    <x v="8"/>
    <x v="29"/>
    <x v="2"/>
    <n v="6.5365004095016417"/>
  </r>
  <r>
    <x v="1"/>
    <x v="8"/>
    <x v="30"/>
    <x v="2"/>
    <n v="14.09508167946862"/>
  </r>
  <r>
    <x v="1"/>
    <x v="8"/>
    <x v="31"/>
    <x v="2"/>
    <n v="6.6625512688564124"/>
  </r>
  <r>
    <x v="1"/>
    <x v="8"/>
    <x v="32"/>
    <x v="2"/>
    <n v="16.438845236666801"/>
  </r>
  <r>
    <x v="1"/>
    <x v="8"/>
    <x v="33"/>
    <x v="2"/>
    <n v="13.34022750775595"/>
  </r>
  <r>
    <x v="1"/>
    <x v="8"/>
    <x v="34"/>
    <x v="2"/>
    <n v="4.6875"/>
  </r>
  <r>
    <x v="1"/>
    <x v="8"/>
    <x v="35"/>
    <x v="2"/>
    <n v="4.0526849037487338"/>
  </r>
  <r>
    <x v="1"/>
    <x v="8"/>
    <x v="36"/>
    <x v="2"/>
    <n v="4.4560995137849559"/>
  </r>
  <r>
    <x v="1"/>
    <x v="8"/>
    <x v="37"/>
    <x v="2"/>
    <n v="14.78889007263804"/>
  </r>
  <r>
    <x v="1"/>
    <x v="8"/>
    <x v="38"/>
    <x v="2"/>
    <n v="7.1526694973494473"/>
  </r>
  <r>
    <x v="1"/>
    <x v="8"/>
    <x v="39"/>
    <x v="2"/>
    <n v="21.507131406593579"/>
  </r>
  <r>
    <x v="1"/>
    <x v="0"/>
    <x v="0"/>
    <x v="3"/>
    <n v="1.7358431626277659"/>
  </r>
  <r>
    <x v="1"/>
    <x v="1"/>
    <x v="1"/>
    <x v="3"/>
    <n v="1.7352929727220849"/>
  </r>
  <r>
    <x v="1"/>
    <x v="1"/>
    <x v="2"/>
    <x v="3"/>
    <n v="1.636234207501194"/>
  </r>
  <r>
    <x v="1"/>
    <x v="1"/>
    <x v="3"/>
    <x v="3"/>
    <n v="1.7858924462927821"/>
  </r>
  <r>
    <x v="1"/>
    <x v="1"/>
    <x v="4"/>
    <x v="3"/>
    <n v="2.0816151994695069"/>
  </r>
  <r>
    <x v="1"/>
    <x v="2"/>
    <x v="5"/>
    <x v="3"/>
    <n v="1.843955991656816"/>
  </r>
  <r>
    <x v="1"/>
    <x v="2"/>
    <x v="6"/>
    <x v="3"/>
    <n v="1.6225983920928939"/>
  </r>
  <r>
    <x v="1"/>
    <x v="2"/>
    <x v="7"/>
    <x v="3"/>
    <n v="1.8825023499532001"/>
  </r>
  <r>
    <x v="1"/>
    <x v="2"/>
    <x v="8"/>
    <x v="3"/>
    <n v="1.400054705687253"/>
  </r>
  <r>
    <x v="1"/>
    <x v="3"/>
    <x v="9"/>
    <x v="3"/>
    <n v="1.610142767787812"/>
  </r>
  <r>
    <x v="1"/>
    <x v="3"/>
    <x v="10"/>
    <x v="3"/>
    <n v="1.863548275838637"/>
  </r>
  <r>
    <x v="1"/>
    <x v="4"/>
    <x v="11"/>
    <x v="3"/>
    <n v="1.6133842890193859"/>
  </r>
  <r>
    <x v="1"/>
    <x v="4"/>
    <x v="12"/>
    <x v="3"/>
    <n v="1.834294348486915"/>
  </r>
  <r>
    <x v="1"/>
    <x v="5"/>
    <x v="13"/>
    <x v="3"/>
    <n v="1.3721413011401979"/>
  </r>
  <r>
    <x v="1"/>
    <x v="5"/>
    <x v="14"/>
    <x v="3"/>
    <n v="1.866503662724347"/>
  </r>
  <r>
    <x v="1"/>
    <x v="6"/>
    <x v="15"/>
    <x v="3"/>
    <n v="2.3781605702622501"/>
  </r>
  <r>
    <x v="1"/>
    <x v="6"/>
    <x v="16"/>
    <x v="3"/>
    <n v="1.498040122643258"/>
  </r>
  <r>
    <x v="1"/>
    <x v="6"/>
    <x v="17"/>
    <x v="3"/>
    <n v="1.8637685624902709"/>
  </r>
  <r>
    <x v="1"/>
    <x v="6"/>
    <x v="18"/>
    <x v="3"/>
    <n v="2.34377694553184"/>
  </r>
  <r>
    <x v="1"/>
    <x v="7"/>
    <x v="19"/>
    <x v="3"/>
    <n v="1.735218519530322"/>
  </r>
  <r>
    <x v="1"/>
    <x v="7"/>
    <x v="20"/>
    <x v="3"/>
    <n v="1.912190099149347"/>
  </r>
  <r>
    <x v="1"/>
    <x v="7"/>
    <x v="21"/>
    <x v="3"/>
    <n v="1.6525714445258439"/>
  </r>
  <r>
    <x v="1"/>
    <x v="8"/>
    <x v="22"/>
    <x v="3"/>
    <n v="0.99990983294004609"/>
  </r>
  <r>
    <x v="1"/>
    <x v="8"/>
    <x v="23"/>
    <x v="3"/>
    <n v="2.838221381267739"/>
  </r>
  <r>
    <x v="1"/>
    <x v="8"/>
    <x v="24"/>
    <x v="3"/>
    <n v="0.84477296726504747"/>
  </r>
  <r>
    <x v="1"/>
    <x v="8"/>
    <x v="25"/>
    <x v="3"/>
    <n v="1.3820189181777629"/>
  </r>
  <r>
    <x v="1"/>
    <x v="8"/>
    <x v="26"/>
    <x v="3"/>
    <n v="0.59565191030422171"/>
  </r>
  <r>
    <x v="1"/>
    <x v="8"/>
    <x v="27"/>
    <x v="3"/>
    <n v="1.27253446447508"/>
  </r>
  <r>
    <x v="1"/>
    <x v="8"/>
    <x v="28"/>
    <x v="3"/>
    <m/>
  </r>
  <r>
    <x v="1"/>
    <x v="8"/>
    <x v="29"/>
    <x v="3"/>
    <n v="3.4818277113949621"/>
  </r>
  <r>
    <x v="1"/>
    <x v="8"/>
    <x v="30"/>
    <x v="3"/>
    <n v="0.8689481819833863"/>
  </r>
  <r>
    <x v="1"/>
    <x v="8"/>
    <x v="31"/>
    <x v="3"/>
    <n v="1.6134503838548839"/>
  </r>
  <r>
    <x v="1"/>
    <x v="8"/>
    <x v="32"/>
    <x v="3"/>
    <n v="0.9355462567405276"/>
  </r>
  <r>
    <x v="1"/>
    <x v="8"/>
    <x v="33"/>
    <x v="3"/>
    <n v="2.0682523267838682"/>
  </r>
  <r>
    <x v="1"/>
    <x v="8"/>
    <x v="34"/>
    <x v="3"/>
    <n v="0.4464285714285714"/>
  </r>
  <r>
    <x v="1"/>
    <x v="8"/>
    <x v="35"/>
    <x v="3"/>
    <n v="1.317122593718338"/>
  </r>
  <r>
    <x v="1"/>
    <x v="8"/>
    <x v="36"/>
    <x v="3"/>
    <n v="1.0792047437263099"/>
  </r>
  <r>
    <x v="1"/>
    <x v="8"/>
    <x v="37"/>
    <x v="3"/>
    <n v="1.584004123945457"/>
  </r>
  <r>
    <x v="1"/>
    <x v="8"/>
    <x v="38"/>
    <x v="3"/>
    <n v="0.98407157265489076"/>
  </r>
  <r>
    <x v="1"/>
    <x v="8"/>
    <x v="39"/>
    <x v="3"/>
    <n v="6.3043332112642254"/>
  </r>
  <r>
    <x v="2"/>
    <x v="0"/>
    <x v="0"/>
    <x v="0"/>
    <n v="33.586094071306"/>
  </r>
  <r>
    <x v="2"/>
    <x v="1"/>
    <x v="1"/>
    <x v="0"/>
    <n v="32.11526993336237"/>
  </r>
  <r>
    <x v="2"/>
    <x v="1"/>
    <x v="2"/>
    <x v="0"/>
    <n v="33.06288344065225"/>
  </r>
  <r>
    <x v="2"/>
    <x v="1"/>
    <x v="3"/>
    <x v="0"/>
    <n v="35.910001572046269"/>
  </r>
  <r>
    <x v="2"/>
    <x v="1"/>
    <x v="4"/>
    <x v="0"/>
    <n v="36.13714394100208"/>
  </r>
  <r>
    <x v="2"/>
    <x v="2"/>
    <x v="5"/>
    <x v="0"/>
    <n v="31.1736204735051"/>
  </r>
  <r>
    <x v="2"/>
    <x v="2"/>
    <x v="6"/>
    <x v="0"/>
    <n v="33.385099451301663"/>
  </r>
  <r>
    <x v="2"/>
    <x v="2"/>
    <x v="7"/>
    <x v="0"/>
    <n v="35.289531809604277"/>
  </r>
  <r>
    <x v="2"/>
    <x v="2"/>
    <x v="8"/>
    <x v="0"/>
    <n v="34.90499896104005"/>
  </r>
  <r>
    <x v="2"/>
    <x v="3"/>
    <x v="9"/>
    <x v="0"/>
    <n v="33.555298570473227"/>
  </r>
  <r>
    <x v="2"/>
    <x v="3"/>
    <x v="10"/>
    <x v="0"/>
    <n v="33.618661821602117"/>
  </r>
  <r>
    <x v="2"/>
    <x v="4"/>
    <x v="11"/>
    <x v="0"/>
    <n v="33.445346774884342"/>
  </r>
  <r>
    <x v="2"/>
    <x v="4"/>
    <x v="12"/>
    <x v="0"/>
    <n v="33.482136924104793"/>
  </r>
  <r>
    <x v="2"/>
    <x v="5"/>
    <x v="13"/>
    <x v="0"/>
    <n v="32.671991975530887"/>
  </r>
  <r>
    <x v="2"/>
    <x v="5"/>
    <x v="14"/>
    <x v="0"/>
    <n v="33.795029765218999"/>
  </r>
  <r>
    <x v="2"/>
    <x v="6"/>
    <x v="15"/>
    <x v="0"/>
    <n v="34.791187472815317"/>
  </r>
  <r>
    <x v="2"/>
    <x v="6"/>
    <x v="16"/>
    <x v="0"/>
    <n v="35.821506815676372"/>
  </r>
  <r>
    <x v="2"/>
    <x v="6"/>
    <x v="17"/>
    <x v="0"/>
    <n v="31.74222989754762"/>
  </r>
  <r>
    <x v="2"/>
    <x v="6"/>
    <x v="18"/>
    <x v="0"/>
    <n v="35.727767838038048"/>
  </r>
  <r>
    <x v="2"/>
    <x v="7"/>
    <x v="19"/>
    <x v="0"/>
    <n v="27.534906245685239"/>
  </r>
  <r>
    <x v="2"/>
    <x v="7"/>
    <x v="20"/>
    <x v="0"/>
    <n v="27.33551555977968"/>
  </r>
  <r>
    <x v="2"/>
    <x v="7"/>
    <x v="21"/>
    <x v="0"/>
    <n v="39.151792244143657"/>
  </r>
  <r>
    <x v="2"/>
    <x v="8"/>
    <x v="22"/>
    <x v="0"/>
    <n v="63.688573989759632"/>
  </r>
  <r>
    <x v="2"/>
    <x v="8"/>
    <x v="23"/>
    <x v="0"/>
    <n v="23.647570828919161"/>
  </r>
  <r>
    <x v="2"/>
    <x v="8"/>
    <x v="24"/>
    <x v="0"/>
    <n v="32.920536635706917"/>
  </r>
  <r>
    <x v="2"/>
    <x v="8"/>
    <x v="25"/>
    <x v="0"/>
    <n v="30.460539344371689"/>
  </r>
  <r>
    <x v="2"/>
    <x v="8"/>
    <x v="26"/>
    <x v="0"/>
    <n v="41.498090806361333"/>
  </r>
  <r>
    <x v="2"/>
    <x v="8"/>
    <x v="27"/>
    <x v="0"/>
    <n v="16.111111111111111"/>
  </r>
  <r>
    <x v="2"/>
    <x v="8"/>
    <x v="28"/>
    <x v="0"/>
    <m/>
  </r>
  <r>
    <x v="2"/>
    <x v="8"/>
    <x v="29"/>
    <x v="0"/>
    <n v="36.331733813118348"/>
  </r>
  <r>
    <x v="2"/>
    <x v="8"/>
    <x v="30"/>
    <x v="0"/>
    <n v="33.817751788014142"/>
  </r>
  <r>
    <x v="2"/>
    <x v="8"/>
    <x v="31"/>
    <x v="0"/>
    <n v="19.116954392149282"/>
  </r>
  <r>
    <x v="2"/>
    <x v="8"/>
    <x v="32"/>
    <x v="0"/>
    <n v="47.921509797128138"/>
  </r>
  <r>
    <x v="2"/>
    <x v="8"/>
    <x v="33"/>
    <x v="0"/>
    <n v="24.035281146637271"/>
  </r>
  <r>
    <x v="2"/>
    <x v="8"/>
    <x v="34"/>
    <x v="0"/>
    <n v="46.764961967574237"/>
  </r>
  <r>
    <x v="2"/>
    <x v="8"/>
    <x v="35"/>
    <x v="0"/>
    <n v="29.156211456363032"/>
  </r>
  <r>
    <x v="2"/>
    <x v="8"/>
    <x v="36"/>
    <x v="0"/>
    <n v="40.033727491073613"/>
  </r>
  <r>
    <x v="2"/>
    <x v="8"/>
    <x v="37"/>
    <x v="0"/>
    <n v="22.207868333073709"/>
  </r>
  <r>
    <x v="2"/>
    <x v="8"/>
    <x v="38"/>
    <x v="0"/>
    <n v="30.414158075809929"/>
  </r>
  <r>
    <x v="2"/>
    <x v="8"/>
    <x v="39"/>
    <x v="0"/>
    <n v="24.287787004647761"/>
  </r>
  <r>
    <x v="2"/>
    <x v="0"/>
    <x v="0"/>
    <x v="1"/>
    <n v="53.297753843337183"/>
  </r>
  <r>
    <x v="2"/>
    <x v="1"/>
    <x v="1"/>
    <x v="1"/>
    <n v="53.929653044556012"/>
  </r>
  <r>
    <x v="2"/>
    <x v="1"/>
    <x v="2"/>
    <x v="1"/>
    <n v="52.967360173815301"/>
  </r>
  <r>
    <x v="2"/>
    <x v="1"/>
    <x v="3"/>
    <x v="1"/>
    <n v="53.243030541721502"/>
  </r>
  <r>
    <x v="2"/>
    <x v="1"/>
    <x v="4"/>
    <x v="1"/>
    <n v="53.273224480326107"/>
  </r>
  <r>
    <x v="2"/>
    <x v="2"/>
    <x v="5"/>
    <x v="1"/>
    <n v="52.625145652657949"/>
  </r>
  <r>
    <x v="2"/>
    <x v="2"/>
    <x v="6"/>
    <x v="1"/>
    <n v="53.559456549015508"/>
  </r>
  <r>
    <x v="2"/>
    <x v="2"/>
    <x v="7"/>
    <x v="1"/>
    <n v="53.504757351993938"/>
  </r>
  <r>
    <x v="2"/>
    <x v="2"/>
    <x v="8"/>
    <x v="1"/>
    <n v="53.188975960734972"/>
  </r>
  <r>
    <x v="2"/>
    <x v="3"/>
    <x v="9"/>
    <x v="1"/>
    <n v="53.346357410793729"/>
  </r>
  <r>
    <x v="2"/>
    <x v="3"/>
    <x v="10"/>
    <x v="1"/>
    <n v="53.246353190461953"/>
  </r>
  <r>
    <x v="2"/>
    <x v="4"/>
    <x v="11"/>
    <x v="1"/>
    <n v="52.200938144125637"/>
  </r>
  <r>
    <x v="2"/>
    <x v="4"/>
    <x v="12"/>
    <x v="1"/>
    <n v="54.290155443381103"/>
  </r>
  <r>
    <x v="2"/>
    <x v="5"/>
    <x v="13"/>
    <x v="1"/>
    <n v="53.722435831868673"/>
  </r>
  <r>
    <x v="2"/>
    <x v="5"/>
    <x v="14"/>
    <x v="1"/>
    <n v="53.244045048119823"/>
  </r>
  <r>
    <x v="2"/>
    <x v="6"/>
    <x v="15"/>
    <x v="1"/>
    <n v="54.888270363123901"/>
  </r>
  <r>
    <x v="2"/>
    <x v="6"/>
    <x v="16"/>
    <x v="1"/>
    <n v="52.114855970474927"/>
  </r>
  <r>
    <x v="2"/>
    <x v="6"/>
    <x v="17"/>
    <x v="1"/>
    <n v="54.233423521515491"/>
  </r>
  <r>
    <x v="2"/>
    <x v="6"/>
    <x v="18"/>
    <x v="1"/>
    <n v="51.423955740888474"/>
  </r>
  <r>
    <x v="2"/>
    <x v="7"/>
    <x v="19"/>
    <x v="1"/>
    <n v="56.564353582696029"/>
  </r>
  <r>
    <x v="2"/>
    <x v="7"/>
    <x v="20"/>
    <x v="1"/>
    <n v="56.314009836739409"/>
  </r>
  <r>
    <x v="2"/>
    <x v="7"/>
    <x v="21"/>
    <x v="1"/>
    <n v="50.444371752371417"/>
  </r>
  <r>
    <x v="2"/>
    <x v="8"/>
    <x v="22"/>
    <x v="1"/>
    <n v="33.837419537814078"/>
  </r>
  <r>
    <x v="2"/>
    <x v="8"/>
    <x v="23"/>
    <x v="1"/>
    <n v="63.166447647879437"/>
  </r>
  <r>
    <x v="2"/>
    <x v="8"/>
    <x v="24"/>
    <x v="1"/>
    <n v="53.044375644994837"/>
  </r>
  <r>
    <x v="2"/>
    <x v="8"/>
    <x v="25"/>
    <x v="1"/>
    <n v="60.406550171028947"/>
  </r>
  <r>
    <x v="2"/>
    <x v="8"/>
    <x v="26"/>
    <x v="1"/>
    <n v="49.21158753447186"/>
  </r>
  <r>
    <x v="2"/>
    <x v="8"/>
    <x v="27"/>
    <x v="1"/>
    <n v="58.888888888888893"/>
  </r>
  <r>
    <x v="2"/>
    <x v="8"/>
    <x v="28"/>
    <x v="1"/>
    <m/>
  </r>
  <r>
    <x v="2"/>
    <x v="8"/>
    <x v="29"/>
    <x v="1"/>
    <n v="51.988659110337053"/>
  </r>
  <r>
    <x v="2"/>
    <x v="8"/>
    <x v="30"/>
    <x v="1"/>
    <n v="53.320346984979622"/>
  </r>
  <r>
    <x v="2"/>
    <x v="8"/>
    <x v="31"/>
    <x v="1"/>
    <n v="62.49702118981282"/>
  </r>
  <r>
    <x v="2"/>
    <x v="8"/>
    <x v="32"/>
    <x v="1"/>
    <n v="44.352191947010859"/>
  </r>
  <r>
    <x v="2"/>
    <x v="8"/>
    <x v="33"/>
    <x v="1"/>
    <n v="54.355016538037482"/>
  </r>
  <r>
    <x v="2"/>
    <x v="8"/>
    <x v="34"/>
    <x v="1"/>
    <n v="45.030658739868883"/>
  </r>
  <r>
    <x v="2"/>
    <x v="8"/>
    <x v="35"/>
    <x v="1"/>
    <n v="56.904711107148373"/>
  </r>
  <r>
    <x v="2"/>
    <x v="8"/>
    <x v="36"/>
    <x v="1"/>
    <n v="52.241447794743983"/>
  </r>
  <r>
    <x v="2"/>
    <x v="8"/>
    <x v="37"/>
    <x v="1"/>
    <n v="59.146824733322667"/>
  </r>
  <r>
    <x v="2"/>
    <x v="8"/>
    <x v="38"/>
    <x v="1"/>
    <n v="61.196389327013122"/>
  </r>
  <r>
    <x v="2"/>
    <x v="8"/>
    <x v="39"/>
    <x v="1"/>
    <n v="50.312580306208389"/>
  </r>
  <r>
    <x v="2"/>
    <x v="0"/>
    <x v="0"/>
    <x v="2"/>
    <n v="10.937457294447031"/>
  </r>
  <r>
    <x v="2"/>
    <x v="1"/>
    <x v="1"/>
    <x v="2"/>
    <n v="12.4225445128184"/>
  </r>
  <r>
    <x v="2"/>
    <x v="1"/>
    <x v="2"/>
    <x v="2"/>
    <n v="11.322238982805059"/>
  </r>
  <r>
    <x v="2"/>
    <x v="1"/>
    <x v="3"/>
    <x v="2"/>
    <n v="8.9054635997903038"/>
  </r>
  <r>
    <x v="2"/>
    <x v="1"/>
    <x v="4"/>
    <x v="2"/>
    <n v="8.4590731313274858"/>
  </r>
  <r>
    <x v="2"/>
    <x v="2"/>
    <x v="5"/>
    <x v="2"/>
    <n v="13.34179707858393"/>
  </r>
  <r>
    <x v="2"/>
    <x v="2"/>
    <x v="6"/>
    <x v="2"/>
    <n v="10.749253891635931"/>
  </r>
  <r>
    <x v="2"/>
    <x v="2"/>
    <x v="7"/>
    <x v="2"/>
    <n v="9.412472211365543"/>
  </r>
  <r>
    <x v="2"/>
    <x v="2"/>
    <x v="8"/>
    <x v="2"/>
    <n v="10.73677294205933"/>
  </r>
  <r>
    <x v="2"/>
    <x v="3"/>
    <x v="9"/>
    <x v="2"/>
    <n v="10.8491154174719"/>
  </r>
  <r>
    <x v="2"/>
    <x v="3"/>
    <x v="10"/>
    <x v="2"/>
    <n v="11.03088315576484"/>
  </r>
  <r>
    <x v="2"/>
    <x v="4"/>
    <x v="11"/>
    <x v="2"/>
    <n v="11.68487699642904"/>
  </r>
  <r>
    <x v="2"/>
    <x v="4"/>
    <x v="12"/>
    <x v="2"/>
    <n v="10.43732587177726"/>
  </r>
  <r>
    <x v="2"/>
    <x v="5"/>
    <x v="13"/>
    <x v="2"/>
    <n v="11.60212724651681"/>
  </r>
  <r>
    <x v="2"/>
    <x v="5"/>
    <x v="14"/>
    <x v="2"/>
    <n v="10.718869660113519"/>
  </r>
  <r>
    <x v="2"/>
    <x v="6"/>
    <x v="15"/>
    <x v="2"/>
    <n v="9.2975227741604378"/>
  </r>
  <r>
    <x v="2"/>
    <x v="6"/>
    <x v="16"/>
    <x v="2"/>
    <n v="9.626996828155896"/>
  </r>
  <r>
    <x v="2"/>
    <x v="6"/>
    <x v="17"/>
    <x v="2"/>
    <n v="11.824878119773819"/>
  </r>
  <r>
    <x v="2"/>
    <x v="6"/>
    <x v="18"/>
    <x v="2"/>
    <n v="10.70858506147137"/>
  </r>
  <r>
    <x v="2"/>
    <x v="7"/>
    <x v="19"/>
    <x v="2"/>
    <n v="14.33358937670641"/>
  </r>
  <r>
    <x v="2"/>
    <x v="7"/>
    <x v="20"/>
    <x v="2"/>
    <n v="14.2901189454599"/>
  </r>
  <r>
    <x v="2"/>
    <x v="7"/>
    <x v="21"/>
    <x v="2"/>
    <n v="7.8793968334774434"/>
  </r>
  <r>
    <x v="2"/>
    <x v="8"/>
    <x v="22"/>
    <x v="2"/>
    <n v="1.513271512714419"/>
  </r>
  <r>
    <x v="2"/>
    <x v="8"/>
    <x v="23"/>
    <x v="2"/>
    <n v="11.094741749424079"/>
  </r>
  <r>
    <x v="2"/>
    <x v="8"/>
    <x v="24"/>
    <x v="2"/>
    <n v="13.003095975232201"/>
  </r>
  <r>
    <x v="2"/>
    <x v="8"/>
    <x v="25"/>
    <x v="2"/>
    <n v="6.3545255579198026"/>
  </r>
  <r>
    <x v="2"/>
    <x v="8"/>
    <x v="26"/>
    <x v="2"/>
    <n v="6.7983057642227633"/>
  </r>
  <r>
    <x v="2"/>
    <x v="8"/>
    <x v="27"/>
    <x v="2"/>
    <n v="23.666666666666671"/>
  </r>
  <r>
    <x v="2"/>
    <x v="8"/>
    <x v="28"/>
    <x v="2"/>
    <m/>
  </r>
  <r>
    <x v="2"/>
    <x v="8"/>
    <x v="29"/>
    <x v="2"/>
    <n v="9.8052308787697271"/>
  </r>
  <r>
    <x v="2"/>
    <x v="8"/>
    <x v="30"/>
    <x v="2"/>
    <n v="11.83365582784897"/>
  </r>
  <r>
    <x v="2"/>
    <x v="8"/>
    <x v="31"/>
    <x v="2"/>
    <n v="16.967968191039589"/>
  </r>
  <r>
    <x v="2"/>
    <x v="8"/>
    <x v="32"/>
    <x v="2"/>
    <n v="4.5328085226904342"/>
  </r>
  <r>
    <x v="2"/>
    <x v="8"/>
    <x v="33"/>
    <x v="2"/>
    <n v="19.5148842337376"/>
  </r>
  <r>
    <x v="2"/>
    <x v="8"/>
    <x v="34"/>
    <x v="2"/>
    <n v="6.3583939517315864"/>
  </r>
  <r>
    <x v="2"/>
    <x v="8"/>
    <x v="35"/>
    <x v="2"/>
    <n v="9.9268595237235946"/>
  </r>
  <r>
    <x v="2"/>
    <x v="8"/>
    <x v="36"/>
    <x v="2"/>
    <n v="7.0043466501982437"/>
  </r>
  <r>
    <x v="2"/>
    <x v="8"/>
    <x v="37"/>
    <x v="2"/>
    <n v="15.48960713942618"/>
  </r>
  <r>
    <x v="2"/>
    <x v="8"/>
    <x v="38"/>
    <x v="2"/>
    <n v="7.5445980878127994"/>
  </r>
  <r>
    <x v="2"/>
    <x v="8"/>
    <x v="39"/>
    <x v="2"/>
    <n v="20.41654297924843"/>
  </r>
  <r>
    <x v="2"/>
    <x v="0"/>
    <x v="0"/>
    <x v="3"/>
    <n v="2.1786947909097698"/>
  </r>
  <r>
    <x v="2"/>
    <x v="1"/>
    <x v="1"/>
    <x v="3"/>
    <n v="1.5325325092632209"/>
  </r>
  <r>
    <x v="2"/>
    <x v="1"/>
    <x v="2"/>
    <x v="3"/>
    <n v="2.6475174027273929"/>
  </r>
  <r>
    <x v="2"/>
    <x v="1"/>
    <x v="3"/>
    <x v="3"/>
    <n v="1.9415042864419341"/>
  </r>
  <r>
    <x v="2"/>
    <x v="1"/>
    <x v="4"/>
    <x v="3"/>
    <n v="2.1305584473443591"/>
  </r>
  <r>
    <x v="2"/>
    <x v="2"/>
    <x v="5"/>
    <x v="3"/>
    <n v="2.859436795253016"/>
  </r>
  <r>
    <x v="2"/>
    <x v="2"/>
    <x v="6"/>
    <x v="3"/>
    <n v="2.3061901080469189"/>
  </r>
  <r>
    <x v="2"/>
    <x v="2"/>
    <x v="7"/>
    <x v="3"/>
    <n v="1.7932386270362519"/>
  </r>
  <r>
    <x v="2"/>
    <x v="2"/>
    <x v="8"/>
    <x v="3"/>
    <n v="1.1692521361656361"/>
  </r>
  <r>
    <x v="2"/>
    <x v="3"/>
    <x v="9"/>
    <x v="3"/>
    <n v="2.2492286012611311"/>
  </r>
  <r>
    <x v="2"/>
    <x v="3"/>
    <x v="10"/>
    <x v="3"/>
    <n v="2.1041018321711049"/>
  </r>
  <r>
    <x v="2"/>
    <x v="4"/>
    <x v="11"/>
    <x v="3"/>
    <n v="2.6688380845609769"/>
  </r>
  <r>
    <x v="2"/>
    <x v="4"/>
    <x v="12"/>
    <x v="3"/>
    <n v="1.790381760736852"/>
  </r>
  <r>
    <x v="2"/>
    <x v="5"/>
    <x v="13"/>
    <x v="3"/>
    <n v="2.003444946083639"/>
  </r>
  <r>
    <x v="2"/>
    <x v="5"/>
    <x v="14"/>
    <x v="3"/>
    <n v="2.2420555265476678"/>
  </r>
  <r>
    <x v="2"/>
    <x v="6"/>
    <x v="15"/>
    <x v="3"/>
    <n v="1.023019389900315"/>
  </r>
  <r>
    <x v="2"/>
    <x v="6"/>
    <x v="16"/>
    <x v="3"/>
    <n v="2.4366403856928049"/>
  </r>
  <r>
    <x v="2"/>
    <x v="6"/>
    <x v="17"/>
    <x v="3"/>
    <n v="2.1994684611630841"/>
  </r>
  <r>
    <x v="2"/>
    <x v="6"/>
    <x v="18"/>
    <x v="3"/>
    <n v="2.139691359602089"/>
  </r>
  <r>
    <x v="2"/>
    <x v="7"/>
    <x v="19"/>
    <x v="3"/>
    <n v="1.5671507949122949"/>
  </r>
  <r>
    <x v="2"/>
    <x v="7"/>
    <x v="20"/>
    <x v="3"/>
    <n v="2.0603556580210189"/>
  </r>
  <r>
    <x v="2"/>
    <x v="7"/>
    <x v="21"/>
    <x v="3"/>
    <n v="2.5244391700074682"/>
  </r>
  <r>
    <x v="2"/>
    <x v="8"/>
    <x v="22"/>
    <x v="3"/>
    <n v="0.9607349597119319"/>
  </r>
  <r>
    <x v="2"/>
    <x v="8"/>
    <x v="23"/>
    <x v="3"/>
    <n v="2.0912397737773158"/>
  </r>
  <r>
    <x v="2"/>
    <x v="8"/>
    <x v="24"/>
    <x v="3"/>
    <n v="1.031991744066048"/>
  </r>
  <r>
    <x v="2"/>
    <x v="8"/>
    <x v="25"/>
    <x v="3"/>
    <n v="2.7783849266795122"/>
  </r>
  <r>
    <x v="2"/>
    <x v="8"/>
    <x v="26"/>
    <x v="3"/>
    <n v="2.4920158949440512"/>
  </r>
  <r>
    <x v="2"/>
    <x v="8"/>
    <x v="27"/>
    <x v="3"/>
    <n v="1.3333333333333339"/>
  </r>
  <r>
    <x v="2"/>
    <x v="8"/>
    <x v="28"/>
    <x v="3"/>
    <m/>
  </r>
  <r>
    <x v="2"/>
    <x v="8"/>
    <x v="29"/>
    <x v="3"/>
    <n v="1.8743761977748841"/>
  </r>
  <r>
    <x v="2"/>
    <x v="8"/>
    <x v="30"/>
    <x v="3"/>
    <n v="1.02824539915727"/>
  </r>
  <r>
    <x v="2"/>
    <x v="8"/>
    <x v="31"/>
    <x v="3"/>
    <n v="1.418056226998301"/>
  </r>
  <r>
    <x v="2"/>
    <x v="8"/>
    <x v="32"/>
    <x v="3"/>
    <n v="3.1934897331705661"/>
  </r>
  <r>
    <x v="2"/>
    <x v="8"/>
    <x v="33"/>
    <x v="3"/>
    <n v="2.0948180815876509"/>
  </r>
  <r>
    <x v="2"/>
    <x v="8"/>
    <x v="34"/>
    <x v="3"/>
    <n v="1.8459853408252991"/>
  </r>
  <r>
    <x v="2"/>
    <x v="8"/>
    <x v="35"/>
    <x v="3"/>
    <n v="4.0122179127649789"/>
  </r>
  <r>
    <x v="2"/>
    <x v="8"/>
    <x v="36"/>
    <x v="3"/>
    <n v="0.72047806398416037"/>
  </r>
  <r>
    <x v="2"/>
    <x v="8"/>
    <x v="37"/>
    <x v="3"/>
    <n v="3.1556997941774432"/>
  </r>
  <r>
    <x v="2"/>
    <x v="8"/>
    <x v="38"/>
    <x v="3"/>
    <n v="0.84485450936415651"/>
  </r>
  <r>
    <x v="2"/>
    <x v="8"/>
    <x v="39"/>
    <x v="3"/>
    <n v="4.9830897098954656"/>
  </r>
  <r>
    <x v="3"/>
    <x v="0"/>
    <x v="0"/>
    <x v="0"/>
    <n v="27.686924654698359"/>
  </r>
  <r>
    <x v="3"/>
    <x v="1"/>
    <x v="1"/>
    <x v="0"/>
    <n v="27.813069970139669"/>
  </r>
  <r>
    <x v="3"/>
    <x v="1"/>
    <x v="2"/>
    <x v="0"/>
    <n v="26.9607195724194"/>
  </r>
  <r>
    <x v="3"/>
    <x v="1"/>
    <x v="3"/>
    <x v="0"/>
    <n v="28.65187440813024"/>
  </r>
  <r>
    <x v="3"/>
    <x v="1"/>
    <x v="4"/>
    <x v="0"/>
    <n v="28.636679162134079"/>
  </r>
  <r>
    <x v="3"/>
    <x v="2"/>
    <x v="5"/>
    <x v="0"/>
    <n v="23.795838117881729"/>
  </r>
  <r>
    <x v="3"/>
    <x v="2"/>
    <x v="6"/>
    <x v="0"/>
    <n v="28.626412477768039"/>
  </r>
  <r>
    <x v="3"/>
    <x v="2"/>
    <x v="7"/>
    <x v="0"/>
    <n v="28.956671763088"/>
  </r>
  <r>
    <x v="3"/>
    <x v="2"/>
    <x v="8"/>
    <x v="0"/>
    <n v="28.132685602163949"/>
  </r>
  <r>
    <x v="3"/>
    <x v="3"/>
    <x v="9"/>
    <x v="0"/>
    <n v="27.732637978584162"/>
  </r>
  <r>
    <x v="3"/>
    <x v="3"/>
    <x v="10"/>
    <x v="0"/>
    <n v="27.640554161142269"/>
  </r>
  <r>
    <x v="3"/>
    <x v="4"/>
    <x v="11"/>
    <x v="0"/>
    <n v="26.921710747410732"/>
  </r>
  <r>
    <x v="3"/>
    <x v="4"/>
    <x v="12"/>
    <x v="0"/>
    <n v="28.155923693413978"/>
  </r>
  <r>
    <x v="3"/>
    <x v="5"/>
    <x v="13"/>
    <x v="0"/>
    <n v="27.371361529296411"/>
  </r>
  <r>
    <x v="3"/>
    <x v="5"/>
    <x v="14"/>
    <x v="0"/>
    <n v="27.90086662304137"/>
  </r>
  <r>
    <x v="3"/>
    <x v="6"/>
    <x v="15"/>
    <x v="0"/>
    <n v="26.695209124677159"/>
  </r>
  <r>
    <x v="3"/>
    <x v="6"/>
    <x v="16"/>
    <x v="0"/>
    <n v="28.228064620393909"/>
  </r>
  <r>
    <x v="3"/>
    <x v="6"/>
    <x v="17"/>
    <x v="0"/>
    <n v="28.061915898873028"/>
  </r>
  <r>
    <x v="3"/>
    <x v="6"/>
    <x v="18"/>
    <x v="0"/>
    <n v="27.339261274967559"/>
  </r>
  <r>
    <x v="3"/>
    <x v="7"/>
    <x v="19"/>
    <x v="0"/>
    <n v="27.444517951868558"/>
  </r>
  <r>
    <x v="3"/>
    <x v="7"/>
    <x v="20"/>
    <x v="0"/>
    <n v="26.97005907450853"/>
  </r>
  <r>
    <x v="3"/>
    <x v="7"/>
    <x v="21"/>
    <x v="0"/>
    <n v="28.383108468955381"/>
  </r>
  <r>
    <x v="3"/>
    <x v="8"/>
    <x v="22"/>
    <x v="0"/>
    <n v="31.476543520119289"/>
  </r>
  <r>
    <x v="3"/>
    <x v="8"/>
    <x v="23"/>
    <x v="0"/>
    <n v="14.446366782006921"/>
  </r>
  <r>
    <x v="3"/>
    <x v="8"/>
    <x v="24"/>
    <x v="0"/>
    <n v="33.104631217838772"/>
  </r>
  <r>
    <x v="3"/>
    <x v="8"/>
    <x v="25"/>
    <x v="0"/>
    <n v="44.836937760045323"/>
  </r>
  <r>
    <x v="3"/>
    <x v="8"/>
    <x v="26"/>
    <x v="0"/>
    <n v="28.792231783750751"/>
  </r>
  <r>
    <x v="3"/>
    <x v="8"/>
    <x v="27"/>
    <x v="0"/>
    <n v="16.922350410369209"/>
  </r>
  <r>
    <x v="3"/>
    <x v="8"/>
    <x v="28"/>
    <x v="0"/>
    <n v="27.712746027192299"/>
  </r>
  <r>
    <x v="3"/>
    <x v="8"/>
    <x v="29"/>
    <x v="0"/>
    <n v="23.962743437764608"/>
  </r>
  <r>
    <x v="3"/>
    <x v="8"/>
    <x v="30"/>
    <x v="0"/>
    <n v="28.321519642867852"/>
  </r>
  <r>
    <x v="3"/>
    <x v="8"/>
    <x v="31"/>
    <x v="0"/>
    <n v="28.410593663148461"/>
  </r>
  <r>
    <x v="3"/>
    <x v="8"/>
    <x v="32"/>
    <x v="0"/>
    <n v="24.442538593481991"/>
  </r>
  <r>
    <x v="3"/>
    <x v="8"/>
    <x v="33"/>
    <x v="0"/>
    <n v="23.190125213052369"/>
  </r>
  <r>
    <x v="3"/>
    <x v="8"/>
    <x v="34"/>
    <x v="0"/>
    <n v="32.391826908856373"/>
  </r>
  <r>
    <x v="3"/>
    <x v="8"/>
    <x v="35"/>
    <x v="0"/>
    <n v="25.865051903114189"/>
  </r>
  <r>
    <x v="3"/>
    <x v="8"/>
    <x v="36"/>
    <x v="0"/>
    <n v="54.696499778466993"/>
  </r>
  <r>
    <x v="3"/>
    <x v="8"/>
    <x v="37"/>
    <x v="0"/>
    <n v="26.57187364466391"/>
  </r>
  <r>
    <x v="3"/>
    <x v="8"/>
    <x v="38"/>
    <x v="0"/>
    <n v="20.759717314487631"/>
  </r>
  <r>
    <x v="3"/>
    <x v="8"/>
    <x v="39"/>
    <x v="0"/>
    <n v="10.742757992131571"/>
  </r>
  <r>
    <x v="3"/>
    <x v="0"/>
    <x v="0"/>
    <x v="1"/>
    <n v="50.313056106908348"/>
  </r>
  <r>
    <x v="3"/>
    <x v="1"/>
    <x v="1"/>
    <x v="1"/>
    <n v="48.450417187004177"/>
  </r>
  <r>
    <x v="3"/>
    <x v="1"/>
    <x v="2"/>
    <x v="1"/>
    <n v="50.217264931327037"/>
  </r>
  <r>
    <x v="3"/>
    <x v="1"/>
    <x v="3"/>
    <x v="1"/>
    <n v="52.035291994445537"/>
  </r>
  <r>
    <x v="3"/>
    <x v="1"/>
    <x v="4"/>
    <x v="1"/>
    <n v="53.147433644089404"/>
  </r>
  <r>
    <x v="3"/>
    <x v="2"/>
    <x v="5"/>
    <x v="1"/>
    <n v="51.71822870476683"/>
  </r>
  <r>
    <x v="3"/>
    <x v="2"/>
    <x v="6"/>
    <x v="1"/>
    <n v="49.388370568344783"/>
  </r>
  <r>
    <x v="3"/>
    <x v="2"/>
    <x v="7"/>
    <x v="1"/>
    <n v="50.391451142649743"/>
  </r>
  <r>
    <x v="3"/>
    <x v="2"/>
    <x v="8"/>
    <x v="1"/>
    <n v="50.782641610840507"/>
  </r>
  <r>
    <x v="3"/>
    <x v="3"/>
    <x v="9"/>
    <x v="1"/>
    <n v="50.633770744998444"/>
  </r>
  <r>
    <x v="3"/>
    <x v="3"/>
    <x v="10"/>
    <x v="1"/>
    <n v="49.987730910778382"/>
  </r>
  <r>
    <x v="3"/>
    <x v="4"/>
    <x v="11"/>
    <x v="1"/>
    <n v="50.923006174565813"/>
  </r>
  <r>
    <x v="3"/>
    <x v="4"/>
    <x v="12"/>
    <x v="1"/>
    <n v="49.97212894015847"/>
  </r>
  <r>
    <x v="3"/>
    <x v="5"/>
    <x v="13"/>
    <x v="1"/>
    <n v="50.657755014928703"/>
  </r>
  <r>
    <x v="3"/>
    <x v="5"/>
    <x v="14"/>
    <x v="1"/>
    <n v="50.182649573283634"/>
  </r>
  <r>
    <x v="3"/>
    <x v="6"/>
    <x v="15"/>
    <x v="1"/>
    <n v="50.891594680842204"/>
  </r>
  <r>
    <x v="3"/>
    <x v="6"/>
    <x v="16"/>
    <x v="1"/>
    <n v="50.06247632591392"/>
  </r>
  <r>
    <x v="3"/>
    <x v="6"/>
    <x v="17"/>
    <x v="1"/>
    <n v="48.816933468841569"/>
  </r>
  <r>
    <x v="3"/>
    <x v="6"/>
    <x v="18"/>
    <x v="1"/>
    <n v="54.868244222906867"/>
  </r>
  <r>
    <x v="3"/>
    <x v="7"/>
    <x v="19"/>
    <x v="1"/>
    <n v="48.877285246845823"/>
  </r>
  <r>
    <x v="3"/>
    <x v="7"/>
    <x v="20"/>
    <x v="1"/>
    <n v="49.627379801142958"/>
  </r>
  <r>
    <x v="3"/>
    <x v="7"/>
    <x v="21"/>
    <x v="1"/>
    <n v="51.754542465480391"/>
  </r>
  <r>
    <x v="3"/>
    <x v="8"/>
    <x v="22"/>
    <x v="1"/>
    <n v="58.186275437231707"/>
  </r>
  <r>
    <x v="3"/>
    <x v="8"/>
    <x v="23"/>
    <x v="1"/>
    <n v="54.152249134948093"/>
  </r>
  <r>
    <x v="3"/>
    <x v="8"/>
    <x v="24"/>
    <x v="1"/>
    <n v="53.173241852487138"/>
  </r>
  <r>
    <x v="3"/>
    <x v="8"/>
    <x v="25"/>
    <x v="1"/>
    <n v="45.393373175806552"/>
  </r>
  <r>
    <x v="3"/>
    <x v="8"/>
    <x v="26"/>
    <x v="1"/>
    <n v="52.586258669014981"/>
  </r>
  <r>
    <x v="3"/>
    <x v="8"/>
    <x v="27"/>
    <x v="1"/>
    <n v="53.505351118442213"/>
  </r>
  <r>
    <x v="3"/>
    <x v="8"/>
    <x v="28"/>
    <x v="1"/>
    <n v="46.617032826978132"/>
  </r>
  <r>
    <x v="3"/>
    <x v="8"/>
    <x v="29"/>
    <x v="1"/>
    <n v="53.429297205757827"/>
  </r>
  <r>
    <x v="3"/>
    <x v="8"/>
    <x v="30"/>
    <x v="1"/>
    <n v="47.240492268915823"/>
  </r>
  <r>
    <x v="3"/>
    <x v="8"/>
    <x v="31"/>
    <x v="1"/>
    <n v="50.442065070170251"/>
  </r>
  <r>
    <x v="3"/>
    <x v="8"/>
    <x v="32"/>
    <x v="1"/>
    <n v="50.514579759862777"/>
  </r>
  <r>
    <x v="3"/>
    <x v="8"/>
    <x v="33"/>
    <x v="1"/>
    <n v="46.386929138987739"/>
  </r>
  <r>
    <x v="3"/>
    <x v="8"/>
    <x v="34"/>
    <x v="1"/>
    <n v="49.321428838555981"/>
  </r>
  <r>
    <x v="3"/>
    <x v="8"/>
    <x v="35"/>
    <x v="1"/>
    <n v="65.397923875432525"/>
  </r>
  <r>
    <x v="3"/>
    <x v="8"/>
    <x v="36"/>
    <x v="1"/>
    <n v="39.078422684980062"/>
  </r>
  <r>
    <x v="3"/>
    <x v="8"/>
    <x v="37"/>
    <x v="1"/>
    <n v="46.386566229342698"/>
  </r>
  <r>
    <x v="3"/>
    <x v="8"/>
    <x v="38"/>
    <x v="1"/>
    <n v="58.745583038869263"/>
  </r>
  <r>
    <x v="3"/>
    <x v="8"/>
    <x v="39"/>
    <x v="1"/>
    <n v="32.354129855202132"/>
  </r>
  <r>
    <x v="3"/>
    <x v="0"/>
    <x v="0"/>
    <x v="2"/>
    <n v="17.775446213782612"/>
  </r>
  <r>
    <x v="3"/>
    <x v="1"/>
    <x v="1"/>
    <x v="2"/>
    <n v="18.584268062841851"/>
  </r>
  <r>
    <x v="3"/>
    <x v="1"/>
    <x v="2"/>
    <x v="2"/>
    <n v="18.39851991193353"/>
  </r>
  <r>
    <x v="3"/>
    <x v="1"/>
    <x v="3"/>
    <x v="2"/>
    <n v="16.349273784360172"/>
  </r>
  <r>
    <x v="3"/>
    <x v="1"/>
    <x v="4"/>
    <x v="2"/>
    <n v="15.25149915657877"/>
  </r>
  <r>
    <x v="3"/>
    <x v="2"/>
    <x v="5"/>
    <x v="2"/>
    <n v="20.04536108421992"/>
  </r>
  <r>
    <x v="3"/>
    <x v="2"/>
    <x v="6"/>
    <x v="2"/>
    <n v="17.59937710752552"/>
  </r>
  <r>
    <x v="3"/>
    <x v="2"/>
    <x v="7"/>
    <x v="2"/>
    <n v="16.72170484925973"/>
  </r>
  <r>
    <x v="3"/>
    <x v="2"/>
    <x v="8"/>
    <x v="2"/>
    <n v="17.01562768479171"/>
  </r>
  <r>
    <x v="3"/>
    <x v="3"/>
    <x v="9"/>
    <x v="2"/>
    <n v="17.609238219169612"/>
  </r>
  <r>
    <x v="3"/>
    <x v="3"/>
    <x v="10"/>
    <x v="2"/>
    <n v="17.944043596078131"/>
  </r>
  <r>
    <x v="3"/>
    <x v="4"/>
    <x v="11"/>
    <x v="2"/>
    <n v="17.469247957686079"/>
  </r>
  <r>
    <x v="3"/>
    <x v="4"/>
    <x v="12"/>
    <x v="2"/>
    <n v="18.015766164738562"/>
  </r>
  <r>
    <x v="3"/>
    <x v="5"/>
    <x v="13"/>
    <x v="2"/>
    <n v="17.47688858770243"/>
  </r>
  <r>
    <x v="3"/>
    <x v="5"/>
    <x v="14"/>
    <x v="2"/>
    <n v="17.856183302758961"/>
  </r>
  <r>
    <x v="3"/>
    <x v="6"/>
    <x v="15"/>
    <x v="2"/>
    <n v="18.378161511946779"/>
  </r>
  <r>
    <x v="3"/>
    <x v="6"/>
    <x v="16"/>
    <x v="2"/>
    <n v="17.267240555194562"/>
  </r>
  <r>
    <x v="3"/>
    <x v="6"/>
    <x v="17"/>
    <x v="2"/>
    <n v="18.599858745347799"/>
  </r>
  <r>
    <x v="3"/>
    <x v="6"/>
    <x v="18"/>
    <x v="2"/>
    <n v="13.97357621812373"/>
  </r>
  <r>
    <x v="3"/>
    <x v="7"/>
    <x v="19"/>
    <x v="2"/>
    <n v="19.77115640002955"/>
  </r>
  <r>
    <x v="3"/>
    <x v="7"/>
    <x v="20"/>
    <x v="2"/>
    <n v="18.31199936986512"/>
  </r>
  <r>
    <x v="3"/>
    <x v="7"/>
    <x v="21"/>
    <x v="2"/>
    <n v="16.08556703395816"/>
  </r>
  <r>
    <x v="3"/>
    <x v="8"/>
    <x v="22"/>
    <x v="2"/>
    <n v="9.1341168484877713"/>
  </r>
  <r>
    <x v="3"/>
    <x v="8"/>
    <x v="23"/>
    <x v="2"/>
    <n v="28.287197231833911"/>
  </r>
  <r>
    <x v="3"/>
    <x v="8"/>
    <x v="24"/>
    <x v="2"/>
    <n v="10.806174957118349"/>
  </r>
  <r>
    <x v="3"/>
    <x v="8"/>
    <x v="25"/>
    <x v="2"/>
    <n v="8.3791157899883277"/>
  </r>
  <r>
    <x v="3"/>
    <x v="8"/>
    <x v="26"/>
    <x v="2"/>
    <n v="16.704449425367311"/>
  </r>
  <r>
    <x v="3"/>
    <x v="8"/>
    <x v="27"/>
    <x v="2"/>
    <n v="26.243099438332148"/>
  </r>
  <r>
    <x v="3"/>
    <x v="8"/>
    <x v="28"/>
    <x v="2"/>
    <n v="20.288159045097149"/>
  </r>
  <r>
    <x v="3"/>
    <x v="8"/>
    <x v="29"/>
    <x v="2"/>
    <n v="20.745131244707871"/>
  </r>
  <r>
    <x v="3"/>
    <x v="8"/>
    <x v="30"/>
    <x v="2"/>
    <n v="16.112587734319639"/>
  </r>
  <r>
    <x v="3"/>
    <x v="8"/>
    <x v="31"/>
    <x v="2"/>
    <n v="17.468364711256541"/>
  </r>
  <r>
    <x v="3"/>
    <x v="8"/>
    <x v="32"/>
    <x v="2"/>
    <n v="20.154373927958829"/>
  </r>
  <r>
    <x v="3"/>
    <x v="8"/>
    <x v="33"/>
    <x v="2"/>
    <n v="24.63714535382929"/>
  </r>
  <r>
    <x v="3"/>
    <x v="8"/>
    <x v="34"/>
    <x v="2"/>
    <n v="11.647138325177499"/>
  </r>
  <r>
    <x v="3"/>
    <x v="8"/>
    <x v="35"/>
    <x v="2"/>
    <n v="8.0449826989619382"/>
  </r>
  <r>
    <x v="3"/>
    <x v="8"/>
    <x v="36"/>
    <x v="2"/>
    <n v="5.516171909614533"/>
  </r>
  <r>
    <x v="3"/>
    <x v="8"/>
    <x v="37"/>
    <x v="2"/>
    <n v="20.592894178289029"/>
  </r>
  <r>
    <x v="3"/>
    <x v="8"/>
    <x v="38"/>
    <x v="2"/>
    <n v="19.346289752650179"/>
  </r>
  <r>
    <x v="3"/>
    <x v="8"/>
    <x v="39"/>
    <x v="2"/>
    <n v="38.350282186486183"/>
  </r>
  <r>
    <x v="3"/>
    <x v="0"/>
    <x v="0"/>
    <x v="3"/>
    <n v="4.2245730246106854"/>
  </r>
  <r>
    <x v="3"/>
    <x v="1"/>
    <x v="1"/>
    <x v="3"/>
    <n v="5.1522447800143079"/>
  </r>
  <r>
    <x v="3"/>
    <x v="1"/>
    <x v="2"/>
    <x v="3"/>
    <n v="4.4234955843200341"/>
  </r>
  <r>
    <x v="3"/>
    <x v="1"/>
    <x v="3"/>
    <x v="3"/>
    <n v="2.963559813064041"/>
  </r>
  <r>
    <x v="3"/>
    <x v="1"/>
    <x v="4"/>
    <x v="3"/>
    <n v="2.9643880371977489"/>
  </r>
  <r>
    <x v="3"/>
    <x v="2"/>
    <x v="5"/>
    <x v="3"/>
    <n v="4.4405720931315127"/>
  </r>
  <r>
    <x v="3"/>
    <x v="2"/>
    <x v="6"/>
    <x v="3"/>
    <n v="4.3858398463616579"/>
  </r>
  <r>
    <x v="3"/>
    <x v="2"/>
    <x v="7"/>
    <x v="3"/>
    <n v="3.9301722450025278"/>
  </r>
  <r>
    <x v="3"/>
    <x v="2"/>
    <x v="8"/>
    <x v="3"/>
    <n v="4.0690451022038294"/>
  </r>
  <r>
    <x v="3"/>
    <x v="3"/>
    <x v="9"/>
    <x v="3"/>
    <n v="4.0243530572477964"/>
  </r>
  <r>
    <x v="3"/>
    <x v="3"/>
    <x v="10"/>
    <x v="3"/>
    <n v="4.4276713320012293"/>
  </r>
  <r>
    <x v="3"/>
    <x v="4"/>
    <x v="11"/>
    <x v="3"/>
    <n v="4.6860351203373813"/>
  </r>
  <r>
    <x v="3"/>
    <x v="4"/>
    <x v="12"/>
    <x v="3"/>
    <n v="3.8561812016890289"/>
  </r>
  <r>
    <x v="3"/>
    <x v="5"/>
    <x v="13"/>
    <x v="3"/>
    <n v="4.4939948680724564"/>
  </r>
  <r>
    <x v="3"/>
    <x v="5"/>
    <x v="14"/>
    <x v="3"/>
    <n v="4.06030050091604"/>
  </r>
  <r>
    <x v="3"/>
    <x v="6"/>
    <x v="15"/>
    <x v="3"/>
    <n v="4.0350346825338734"/>
  </r>
  <r>
    <x v="3"/>
    <x v="6"/>
    <x v="16"/>
    <x v="3"/>
    <n v="4.442218498497617"/>
  </r>
  <r>
    <x v="3"/>
    <x v="6"/>
    <x v="17"/>
    <x v="3"/>
    <n v="4.5212918869375978"/>
  </r>
  <r>
    <x v="3"/>
    <x v="6"/>
    <x v="18"/>
    <x v="3"/>
    <n v="3.8189182840018452"/>
  </r>
  <r>
    <x v="3"/>
    <x v="7"/>
    <x v="19"/>
    <x v="3"/>
    <n v="3.9070404012560611"/>
  </r>
  <r>
    <x v="3"/>
    <x v="7"/>
    <x v="20"/>
    <x v="3"/>
    <n v="5.0905617544833861"/>
  </r>
  <r>
    <x v="3"/>
    <x v="7"/>
    <x v="21"/>
    <x v="3"/>
    <n v="3.7767820316060701"/>
  </r>
  <r>
    <x v="3"/>
    <x v="8"/>
    <x v="22"/>
    <x v="3"/>
    <n v="1.2030641941612359"/>
  </r>
  <r>
    <x v="3"/>
    <x v="8"/>
    <x v="23"/>
    <x v="3"/>
    <n v="3.114186851211072"/>
  </r>
  <r>
    <x v="3"/>
    <x v="8"/>
    <x v="24"/>
    <x v="3"/>
    <n v="2.9159519725557459"/>
  </r>
  <r>
    <x v="3"/>
    <x v="8"/>
    <x v="25"/>
    <x v="3"/>
    <n v="1.3905732741598129"/>
  </r>
  <r>
    <x v="3"/>
    <x v="8"/>
    <x v="26"/>
    <x v="3"/>
    <n v="1.9170601218669361"/>
  </r>
  <r>
    <x v="3"/>
    <x v="8"/>
    <x v="27"/>
    <x v="3"/>
    <n v="3.3291990328564198"/>
  </r>
  <r>
    <x v="3"/>
    <x v="8"/>
    <x v="28"/>
    <x v="3"/>
    <n v="5.3820621007324201"/>
  </r>
  <r>
    <x v="3"/>
    <x v="8"/>
    <x v="29"/>
    <x v="3"/>
    <n v="1.862828111769687"/>
  </r>
  <r>
    <x v="3"/>
    <x v="8"/>
    <x v="30"/>
    <x v="3"/>
    <n v="8.325400353896697"/>
  </r>
  <r>
    <x v="3"/>
    <x v="8"/>
    <x v="31"/>
    <x v="3"/>
    <n v="3.6789765554247622"/>
  </r>
  <r>
    <x v="3"/>
    <x v="8"/>
    <x v="32"/>
    <x v="3"/>
    <n v="4.8885077186963981"/>
  </r>
  <r>
    <x v="3"/>
    <x v="8"/>
    <x v="33"/>
    <x v="3"/>
    <n v="5.7858002941306026"/>
  </r>
  <r>
    <x v="3"/>
    <x v="8"/>
    <x v="34"/>
    <x v="3"/>
    <n v="6.6396059274101482"/>
  </r>
  <r>
    <x v="3"/>
    <x v="8"/>
    <x v="35"/>
    <x v="3"/>
    <n v="0.69204152249134954"/>
  </r>
  <r>
    <x v="3"/>
    <x v="8"/>
    <x v="36"/>
    <x v="3"/>
    <n v="0.70890562693841386"/>
  </r>
  <r>
    <x v="3"/>
    <x v="8"/>
    <x v="37"/>
    <x v="3"/>
    <n v="6.448665947704364"/>
  </r>
  <r>
    <x v="3"/>
    <x v="8"/>
    <x v="38"/>
    <x v="3"/>
    <n v="1.148409893992933"/>
  </r>
  <r>
    <x v="3"/>
    <x v="8"/>
    <x v="39"/>
    <x v="3"/>
    <n v="18.552829966180159"/>
  </r>
  <r>
    <x v="4"/>
    <x v="0"/>
    <x v="0"/>
    <x v="0"/>
    <n v="24.52594367386229"/>
  </r>
  <r>
    <x v="4"/>
    <x v="1"/>
    <x v="1"/>
    <x v="0"/>
    <n v="25.073559554773929"/>
  </r>
  <r>
    <x v="4"/>
    <x v="1"/>
    <x v="2"/>
    <x v="0"/>
    <n v="24.321455085582489"/>
  </r>
  <r>
    <x v="4"/>
    <x v="1"/>
    <x v="3"/>
    <x v="0"/>
    <n v="23.209347639963038"/>
  </r>
  <r>
    <x v="4"/>
    <x v="1"/>
    <x v="4"/>
    <x v="0"/>
    <n v="26.991612344687841"/>
  </r>
  <r>
    <x v="4"/>
    <x v="2"/>
    <x v="5"/>
    <x v="0"/>
    <n v="21.978388012816598"/>
  </r>
  <r>
    <x v="4"/>
    <x v="2"/>
    <x v="6"/>
    <x v="0"/>
    <n v="24.901425938699369"/>
  </r>
  <r>
    <x v="4"/>
    <x v="2"/>
    <x v="7"/>
    <x v="0"/>
    <n v="25.381871733233151"/>
  </r>
  <r>
    <x v="4"/>
    <x v="2"/>
    <x v="8"/>
    <x v="0"/>
    <n v="25.525049840357859"/>
  </r>
  <r>
    <x v="4"/>
    <x v="3"/>
    <x v="9"/>
    <x v="0"/>
    <n v="24.566329649774669"/>
  </r>
  <r>
    <x v="4"/>
    <x v="3"/>
    <x v="10"/>
    <x v="0"/>
    <n v="24.483931121113368"/>
  </r>
  <r>
    <x v="4"/>
    <x v="4"/>
    <x v="11"/>
    <x v="0"/>
    <n v="23.77593311792846"/>
  </r>
  <r>
    <x v="4"/>
    <x v="4"/>
    <x v="12"/>
    <x v="0"/>
    <n v="25.099564445548921"/>
  </r>
  <r>
    <x v="4"/>
    <x v="5"/>
    <x v="13"/>
    <x v="0"/>
    <n v="24.813906576773039"/>
  </r>
  <r>
    <x v="4"/>
    <x v="5"/>
    <x v="14"/>
    <x v="0"/>
    <n v="24.452242282587481"/>
  </r>
  <r>
    <x v="4"/>
    <x v="6"/>
    <x v="15"/>
    <x v="0"/>
    <n v="24.695944910214269"/>
  </r>
  <r>
    <x v="4"/>
    <x v="6"/>
    <x v="16"/>
    <x v="0"/>
    <n v="23.84825333715386"/>
  </r>
  <r>
    <x v="4"/>
    <x v="6"/>
    <x v="17"/>
    <x v="0"/>
    <n v="24.921689754676031"/>
  </r>
  <r>
    <x v="4"/>
    <x v="6"/>
    <x v="18"/>
    <x v="0"/>
    <n v="25.330368530558388"/>
  </r>
  <r>
    <x v="4"/>
    <x v="7"/>
    <x v="19"/>
    <x v="0"/>
    <n v="23.383187557426439"/>
  </r>
  <r>
    <x v="4"/>
    <x v="7"/>
    <x v="20"/>
    <x v="0"/>
    <n v="24.615110334609231"/>
  </r>
  <r>
    <x v="4"/>
    <x v="7"/>
    <x v="21"/>
    <x v="0"/>
    <n v="24.976084143854159"/>
  </r>
  <r>
    <x v="4"/>
    <x v="8"/>
    <x v="22"/>
    <x v="0"/>
    <n v="44.270186776704669"/>
  </r>
  <r>
    <x v="4"/>
    <x v="8"/>
    <x v="23"/>
    <x v="0"/>
    <n v="14.81481481481481"/>
  </r>
  <r>
    <x v="4"/>
    <x v="8"/>
    <x v="24"/>
    <x v="0"/>
    <n v="24.97868712702472"/>
  </r>
  <r>
    <x v="4"/>
    <x v="8"/>
    <x v="25"/>
    <x v="0"/>
    <n v="27.68609785537631"/>
  </r>
  <r>
    <x v="4"/>
    <x v="8"/>
    <x v="26"/>
    <x v="0"/>
    <n v="27.576450972044839"/>
  </r>
  <r>
    <x v="4"/>
    <x v="8"/>
    <x v="27"/>
    <x v="0"/>
    <n v="17.23044397463002"/>
  </r>
  <r>
    <x v="4"/>
    <x v="8"/>
    <x v="28"/>
    <x v="0"/>
    <n v="22.72379012155886"/>
  </r>
  <r>
    <x v="4"/>
    <x v="8"/>
    <x v="29"/>
    <x v="0"/>
    <n v="18.460192475940509"/>
  </r>
  <r>
    <x v="4"/>
    <x v="8"/>
    <x v="30"/>
    <x v="0"/>
    <n v="27.67926188768331"/>
  </r>
  <r>
    <x v="4"/>
    <x v="8"/>
    <x v="31"/>
    <x v="0"/>
    <n v="29.239230772154251"/>
  </r>
  <r>
    <x v="4"/>
    <x v="8"/>
    <x v="32"/>
    <x v="0"/>
    <n v="32.130584192439862"/>
  </r>
  <r>
    <x v="4"/>
    <x v="8"/>
    <x v="33"/>
    <x v="0"/>
    <n v="25.75282572215005"/>
  </r>
  <r>
    <x v="4"/>
    <x v="8"/>
    <x v="34"/>
    <x v="0"/>
    <n v="18.124341412012651"/>
  </r>
  <r>
    <x v="4"/>
    <x v="8"/>
    <x v="35"/>
    <x v="0"/>
    <n v="21.32743362831858"/>
  </r>
  <r>
    <x v="4"/>
    <x v="8"/>
    <x v="36"/>
    <x v="0"/>
    <n v="30.227518959913329"/>
  </r>
  <r>
    <x v="4"/>
    <x v="8"/>
    <x v="37"/>
    <x v="0"/>
    <n v="25.865209753906441"/>
  </r>
  <r>
    <x v="4"/>
    <x v="8"/>
    <x v="38"/>
    <x v="0"/>
    <n v="9.5067264573991039"/>
  </r>
  <r>
    <x v="4"/>
    <x v="8"/>
    <x v="39"/>
    <x v="0"/>
    <n v="22.067686316567869"/>
  </r>
  <r>
    <x v="4"/>
    <x v="0"/>
    <x v="0"/>
    <x v="1"/>
    <n v="53.515881939191701"/>
  </r>
  <r>
    <x v="4"/>
    <x v="1"/>
    <x v="1"/>
    <x v="1"/>
    <n v="51.700451928874081"/>
  </r>
  <r>
    <x v="4"/>
    <x v="1"/>
    <x v="2"/>
    <x v="1"/>
    <n v="53.729915950293687"/>
  </r>
  <r>
    <x v="4"/>
    <x v="1"/>
    <x v="3"/>
    <x v="1"/>
    <n v="54.901621400602643"/>
  </r>
  <r>
    <x v="4"/>
    <x v="1"/>
    <x v="4"/>
    <x v="1"/>
    <n v="55.554742244001837"/>
  </r>
  <r>
    <x v="4"/>
    <x v="2"/>
    <x v="5"/>
    <x v="1"/>
    <n v="53.638646839470482"/>
  </r>
  <r>
    <x v="4"/>
    <x v="2"/>
    <x v="6"/>
    <x v="1"/>
    <n v="53.296545769007317"/>
  </r>
  <r>
    <x v="4"/>
    <x v="2"/>
    <x v="7"/>
    <x v="1"/>
    <n v="53.731784603330468"/>
  </r>
  <r>
    <x v="4"/>
    <x v="2"/>
    <x v="8"/>
    <x v="1"/>
    <n v="53.403161246313132"/>
  </r>
  <r>
    <x v="4"/>
    <x v="3"/>
    <x v="9"/>
    <x v="1"/>
    <n v="54.261716079583103"/>
  </r>
  <r>
    <x v="4"/>
    <x v="3"/>
    <x v="10"/>
    <x v="1"/>
    <n v="52.740008744171732"/>
  </r>
  <r>
    <x v="4"/>
    <x v="4"/>
    <x v="11"/>
    <x v="1"/>
    <n v="53.283004670963052"/>
  </r>
  <r>
    <x v="4"/>
    <x v="4"/>
    <x v="12"/>
    <x v="1"/>
    <n v="53.699504934344198"/>
  </r>
  <r>
    <x v="4"/>
    <x v="5"/>
    <x v="13"/>
    <x v="1"/>
    <n v="53.316837276765142"/>
  </r>
  <r>
    <x v="4"/>
    <x v="5"/>
    <x v="14"/>
    <x v="1"/>
    <n v="53.593988362111389"/>
  </r>
  <r>
    <x v="4"/>
    <x v="6"/>
    <x v="15"/>
    <x v="1"/>
    <n v="53.248541207231128"/>
  </r>
  <r>
    <x v="4"/>
    <x v="6"/>
    <x v="16"/>
    <x v="1"/>
    <n v="53.5942681292467"/>
  </r>
  <r>
    <x v="4"/>
    <x v="6"/>
    <x v="17"/>
    <x v="1"/>
    <n v="53.005703520089561"/>
  </r>
  <r>
    <x v="4"/>
    <x v="6"/>
    <x v="18"/>
    <x v="1"/>
    <n v="54.002621793242753"/>
  </r>
  <r>
    <x v="4"/>
    <x v="7"/>
    <x v="19"/>
    <x v="1"/>
    <n v="54.055652587593507"/>
  </r>
  <r>
    <x v="4"/>
    <x v="7"/>
    <x v="20"/>
    <x v="1"/>
    <n v="52.414511166516633"/>
  </r>
  <r>
    <x v="4"/>
    <x v="7"/>
    <x v="21"/>
    <x v="1"/>
    <n v="53.948799211498802"/>
  </r>
  <r>
    <x v="4"/>
    <x v="8"/>
    <x v="22"/>
    <x v="1"/>
    <n v="51.276045092449849"/>
  </r>
  <r>
    <x v="4"/>
    <x v="8"/>
    <x v="23"/>
    <x v="1"/>
    <n v="48.853615520282183"/>
  </r>
  <r>
    <x v="4"/>
    <x v="8"/>
    <x v="24"/>
    <x v="1"/>
    <n v="58.397271952259167"/>
  </r>
  <r>
    <x v="4"/>
    <x v="8"/>
    <x v="25"/>
    <x v="1"/>
    <n v="57.388825851331852"/>
  </r>
  <r>
    <x v="4"/>
    <x v="8"/>
    <x v="26"/>
    <x v="1"/>
    <n v="53.262026394210302"/>
  </r>
  <r>
    <x v="4"/>
    <x v="8"/>
    <x v="27"/>
    <x v="1"/>
    <n v="52.325581395348841"/>
  </r>
  <r>
    <x v="4"/>
    <x v="8"/>
    <x v="28"/>
    <x v="1"/>
    <n v="48.830338485941851"/>
  </r>
  <r>
    <x v="4"/>
    <x v="8"/>
    <x v="29"/>
    <x v="1"/>
    <n v="52.580927384076993"/>
  </r>
  <r>
    <x v="4"/>
    <x v="8"/>
    <x v="30"/>
    <x v="1"/>
    <n v="57.538012360000288"/>
  </r>
  <r>
    <x v="4"/>
    <x v="8"/>
    <x v="31"/>
    <x v="1"/>
    <n v="50.151586410439521"/>
  </r>
  <r>
    <x v="4"/>
    <x v="8"/>
    <x v="32"/>
    <x v="1"/>
    <n v="52.233676975945023"/>
  </r>
  <r>
    <x v="4"/>
    <x v="8"/>
    <x v="33"/>
    <x v="1"/>
    <n v="54.959077646349208"/>
  </r>
  <r>
    <x v="4"/>
    <x v="8"/>
    <x v="34"/>
    <x v="1"/>
    <n v="54.899894625922023"/>
  </r>
  <r>
    <x v="4"/>
    <x v="8"/>
    <x v="35"/>
    <x v="1"/>
    <n v="67.522123893805315"/>
  </r>
  <r>
    <x v="4"/>
    <x v="8"/>
    <x v="36"/>
    <x v="1"/>
    <n v="52.416034669555799"/>
  </r>
  <r>
    <x v="4"/>
    <x v="8"/>
    <x v="37"/>
    <x v="1"/>
    <n v="48.043369337551823"/>
  </r>
  <r>
    <x v="4"/>
    <x v="8"/>
    <x v="38"/>
    <x v="1"/>
    <n v="56.681614349775792"/>
  </r>
  <r>
    <x v="4"/>
    <x v="8"/>
    <x v="39"/>
    <x v="1"/>
    <n v="44.297832306411451"/>
  </r>
  <r>
    <x v="4"/>
    <x v="0"/>
    <x v="0"/>
    <x v="2"/>
    <n v="19.426942207076578"/>
  </r>
  <r>
    <x v="4"/>
    <x v="1"/>
    <x v="1"/>
    <x v="2"/>
    <n v="20.237245639260429"/>
  </r>
  <r>
    <x v="4"/>
    <x v="1"/>
    <x v="2"/>
    <x v="2"/>
    <n v="19.528188573316271"/>
  </r>
  <r>
    <x v="4"/>
    <x v="1"/>
    <x v="3"/>
    <x v="2"/>
    <n v="19.777192032718919"/>
  </r>
  <r>
    <x v="4"/>
    <x v="1"/>
    <x v="4"/>
    <x v="2"/>
    <n v="14.940175524889611"/>
  </r>
  <r>
    <x v="4"/>
    <x v="2"/>
    <x v="5"/>
    <x v="2"/>
    <n v="21.721824659541031"/>
  </r>
  <r>
    <x v="4"/>
    <x v="2"/>
    <x v="6"/>
    <x v="2"/>
    <n v="19.31478232677145"/>
  </r>
  <r>
    <x v="4"/>
    <x v="2"/>
    <x v="7"/>
    <x v="2"/>
    <n v="18.278543990009592"/>
  </r>
  <r>
    <x v="4"/>
    <x v="2"/>
    <x v="8"/>
    <x v="2"/>
    <n v="18.90924551700931"/>
  </r>
  <r>
    <x v="4"/>
    <x v="3"/>
    <x v="9"/>
    <x v="2"/>
    <n v="18.725563629987121"/>
  </r>
  <r>
    <x v="4"/>
    <x v="3"/>
    <x v="10"/>
    <x v="2"/>
    <n v="20.156569356136011"/>
  </r>
  <r>
    <x v="4"/>
    <x v="4"/>
    <x v="11"/>
    <x v="2"/>
    <n v="20.169317335290081"/>
  </r>
  <r>
    <x v="4"/>
    <x v="4"/>
    <x v="12"/>
    <x v="2"/>
    <n v="18.846046515500351"/>
  </r>
  <r>
    <x v="4"/>
    <x v="5"/>
    <x v="13"/>
    <x v="2"/>
    <n v="19.238352202382831"/>
  </r>
  <r>
    <x v="4"/>
    <x v="5"/>
    <x v="14"/>
    <x v="2"/>
    <n v="19.483049526810291"/>
  </r>
  <r>
    <x v="4"/>
    <x v="6"/>
    <x v="15"/>
    <x v="2"/>
    <n v="19.994717690633021"/>
  </r>
  <r>
    <x v="4"/>
    <x v="6"/>
    <x v="16"/>
    <x v="2"/>
    <n v="19.945401687374389"/>
  </r>
  <r>
    <x v="4"/>
    <x v="6"/>
    <x v="17"/>
    <x v="2"/>
    <n v="19.427029223993319"/>
  </r>
  <r>
    <x v="4"/>
    <x v="6"/>
    <x v="18"/>
    <x v="2"/>
    <n v="17.391594221882301"/>
  </r>
  <r>
    <x v="4"/>
    <x v="7"/>
    <x v="19"/>
    <x v="2"/>
    <n v="20.384933765678809"/>
  </r>
  <r>
    <x v="4"/>
    <x v="7"/>
    <x v="20"/>
    <x v="2"/>
    <n v="19.813466058630389"/>
  </r>
  <r>
    <x v="4"/>
    <x v="7"/>
    <x v="21"/>
    <x v="2"/>
    <n v="18.76846954900239"/>
  </r>
  <r>
    <x v="4"/>
    <x v="8"/>
    <x v="22"/>
    <x v="2"/>
    <n v="4.0825586810429808"/>
  </r>
  <r>
    <x v="4"/>
    <x v="8"/>
    <x v="23"/>
    <x v="2"/>
    <n v="33.950617283950621"/>
  </r>
  <r>
    <x v="4"/>
    <x v="8"/>
    <x v="24"/>
    <x v="2"/>
    <n v="15.34526854219949"/>
  </r>
  <r>
    <x v="4"/>
    <x v="8"/>
    <x v="25"/>
    <x v="2"/>
    <n v="13.02721583277164"/>
  </r>
  <r>
    <x v="4"/>
    <x v="8"/>
    <x v="26"/>
    <x v="2"/>
    <n v="16.747374769405418"/>
  </r>
  <r>
    <x v="4"/>
    <x v="8"/>
    <x v="27"/>
    <x v="2"/>
    <n v="25.898520084566599"/>
  </r>
  <r>
    <x v="4"/>
    <x v="8"/>
    <x v="28"/>
    <x v="2"/>
    <n v="22.886934739607391"/>
  </r>
  <r>
    <x v="4"/>
    <x v="8"/>
    <x v="29"/>
    <x v="2"/>
    <n v="26.42169728783902"/>
  </r>
  <r>
    <x v="4"/>
    <x v="8"/>
    <x v="30"/>
    <x v="2"/>
    <n v="12.87469635635656"/>
  </r>
  <r>
    <x v="4"/>
    <x v="8"/>
    <x v="31"/>
    <x v="2"/>
    <n v="16.96281558840116"/>
  </r>
  <r>
    <x v="4"/>
    <x v="8"/>
    <x v="32"/>
    <x v="2"/>
    <n v="13.4020618556701"/>
  </r>
  <r>
    <x v="4"/>
    <x v="8"/>
    <x v="33"/>
    <x v="2"/>
    <n v="16.544610823706751"/>
  </r>
  <r>
    <x v="4"/>
    <x v="8"/>
    <x v="34"/>
    <x v="2"/>
    <n v="22.866174920969438"/>
  </r>
  <r>
    <x v="4"/>
    <x v="8"/>
    <x v="35"/>
    <x v="2"/>
    <n v="10.61946902654867"/>
  </r>
  <r>
    <x v="4"/>
    <x v="8"/>
    <x v="36"/>
    <x v="2"/>
    <n v="15.29794149512459"/>
  </r>
  <r>
    <x v="4"/>
    <x v="8"/>
    <x v="37"/>
    <x v="2"/>
    <n v="22.533108713109939"/>
  </r>
  <r>
    <x v="4"/>
    <x v="8"/>
    <x v="38"/>
    <x v="2"/>
    <n v="32.197309417040358"/>
  </r>
  <r>
    <x v="4"/>
    <x v="8"/>
    <x v="39"/>
    <x v="2"/>
    <n v="29.966974817931671"/>
  </r>
  <r>
    <x v="4"/>
    <x v="0"/>
    <x v="0"/>
    <x v="3"/>
    <n v="2.5312321798694208"/>
  </r>
  <r>
    <x v="4"/>
    <x v="1"/>
    <x v="1"/>
    <x v="3"/>
    <n v="2.9887428770915552"/>
  </r>
  <r>
    <x v="4"/>
    <x v="1"/>
    <x v="2"/>
    <x v="3"/>
    <n v="2.4204403908075438"/>
  </r>
  <r>
    <x v="4"/>
    <x v="1"/>
    <x v="3"/>
    <x v="3"/>
    <n v="2.1118389267154032"/>
  </r>
  <r>
    <x v="4"/>
    <x v="1"/>
    <x v="4"/>
    <x v="3"/>
    <n v="2.5134698864206722"/>
  </r>
  <r>
    <x v="4"/>
    <x v="2"/>
    <x v="5"/>
    <x v="3"/>
    <n v="2.6611404881718981"/>
  </r>
  <r>
    <x v="4"/>
    <x v="2"/>
    <x v="6"/>
    <x v="3"/>
    <n v="2.4872459655218568"/>
  </r>
  <r>
    <x v="4"/>
    <x v="2"/>
    <x v="7"/>
    <x v="3"/>
    <n v="2.607799673426793"/>
  </r>
  <r>
    <x v="4"/>
    <x v="2"/>
    <x v="8"/>
    <x v="3"/>
    <n v="2.1625433963197001"/>
  </r>
  <r>
    <x v="4"/>
    <x v="3"/>
    <x v="9"/>
    <x v="3"/>
    <n v="2.446390640655105"/>
  </r>
  <r>
    <x v="4"/>
    <x v="3"/>
    <x v="10"/>
    <x v="3"/>
    <n v="2.6194907785788861"/>
  </r>
  <r>
    <x v="4"/>
    <x v="4"/>
    <x v="11"/>
    <x v="3"/>
    <n v="2.7717448758184049"/>
  </r>
  <r>
    <x v="4"/>
    <x v="4"/>
    <x v="12"/>
    <x v="3"/>
    <n v="2.3548841046065361"/>
  </r>
  <r>
    <x v="4"/>
    <x v="5"/>
    <x v="13"/>
    <x v="3"/>
    <n v="2.6309039440790052"/>
  </r>
  <r>
    <x v="4"/>
    <x v="5"/>
    <x v="14"/>
    <x v="3"/>
    <n v="2.470719828490815"/>
  </r>
  <r>
    <x v="4"/>
    <x v="6"/>
    <x v="15"/>
    <x v="3"/>
    <n v="2.0607961919215909"/>
  </r>
  <r>
    <x v="4"/>
    <x v="6"/>
    <x v="16"/>
    <x v="3"/>
    <n v="2.612076846225047"/>
  </r>
  <r>
    <x v="4"/>
    <x v="6"/>
    <x v="17"/>
    <x v="3"/>
    <n v="2.645577501241084"/>
  </r>
  <r>
    <x v="4"/>
    <x v="6"/>
    <x v="18"/>
    <x v="3"/>
    <n v="3.2754154543165792"/>
  </r>
  <r>
    <x v="4"/>
    <x v="7"/>
    <x v="19"/>
    <x v="3"/>
    <n v="2.1762260893012519"/>
  </r>
  <r>
    <x v="4"/>
    <x v="7"/>
    <x v="20"/>
    <x v="3"/>
    <n v="3.1569124402437598"/>
  </r>
  <r>
    <x v="4"/>
    <x v="7"/>
    <x v="21"/>
    <x v="3"/>
    <n v="2.3066470956446659"/>
  </r>
  <r>
    <x v="4"/>
    <x v="8"/>
    <x v="22"/>
    <x v="3"/>
    <n v="0.37120944980249448"/>
  </r>
  <r>
    <x v="4"/>
    <x v="8"/>
    <x v="23"/>
    <x v="3"/>
    <n v="2.3809523809523809"/>
  </r>
  <r>
    <x v="4"/>
    <x v="8"/>
    <x v="24"/>
    <x v="3"/>
    <n v="1.2787723785166241"/>
  </r>
  <r>
    <x v="4"/>
    <x v="8"/>
    <x v="25"/>
    <x v="3"/>
    <n v="1.8978604605201641"/>
  </r>
  <r>
    <x v="4"/>
    <x v="8"/>
    <x v="26"/>
    <x v="3"/>
    <n v="2.414147864339435"/>
  </r>
  <r>
    <x v="4"/>
    <x v="8"/>
    <x v="27"/>
    <x v="3"/>
    <n v="4.5454545454545459"/>
  </r>
  <r>
    <x v="4"/>
    <x v="8"/>
    <x v="28"/>
    <x v="3"/>
    <n v="5.5589366528918926"/>
  </r>
  <r>
    <x v="4"/>
    <x v="8"/>
    <x v="29"/>
    <x v="3"/>
    <n v="2.537182852143482"/>
  </r>
  <r>
    <x v="4"/>
    <x v="8"/>
    <x v="30"/>
    <x v="3"/>
    <n v="1.9080293959598511"/>
  </r>
  <r>
    <x v="4"/>
    <x v="8"/>
    <x v="31"/>
    <x v="3"/>
    <n v="3.646367229005063"/>
  </r>
  <r>
    <x v="4"/>
    <x v="8"/>
    <x v="32"/>
    <x v="3"/>
    <n v="2.2336769759450168"/>
  </r>
  <r>
    <x v="4"/>
    <x v="8"/>
    <x v="33"/>
    <x v="3"/>
    <n v="2.7434858077939799"/>
  </r>
  <r>
    <x v="4"/>
    <x v="8"/>
    <x v="34"/>
    <x v="3"/>
    <n v="4.10958904109589"/>
  </r>
  <r>
    <x v="4"/>
    <x v="8"/>
    <x v="35"/>
    <x v="3"/>
    <n v="0.53097345132743357"/>
  </r>
  <r>
    <x v="4"/>
    <x v="8"/>
    <x v="36"/>
    <x v="3"/>
    <n v="2.058504875406284"/>
  </r>
  <r>
    <x v="4"/>
    <x v="8"/>
    <x v="37"/>
    <x v="3"/>
    <n v="3.5583121954318071"/>
  </r>
  <r>
    <x v="4"/>
    <x v="8"/>
    <x v="38"/>
    <x v="3"/>
    <n v="1.6143497757847529"/>
  </r>
  <r>
    <x v="4"/>
    <x v="8"/>
    <x v="39"/>
    <x v="3"/>
    <n v="3.6675065590890119"/>
  </r>
  <r>
    <x v="5"/>
    <x v="0"/>
    <x v="0"/>
    <x v="0"/>
    <n v="24.85241345664171"/>
  </r>
  <r>
    <x v="5"/>
    <x v="1"/>
    <x v="1"/>
    <x v="0"/>
    <n v="26.531250155198379"/>
  </r>
  <r>
    <x v="5"/>
    <x v="1"/>
    <x v="2"/>
    <x v="0"/>
    <n v="24.332842817809428"/>
  </r>
  <r>
    <x v="5"/>
    <x v="1"/>
    <x v="3"/>
    <x v="0"/>
    <n v="23.684068198602709"/>
  </r>
  <r>
    <x v="5"/>
    <x v="1"/>
    <x v="4"/>
    <x v="0"/>
    <n v="25.326064997148968"/>
  </r>
  <r>
    <x v="5"/>
    <x v="2"/>
    <x v="5"/>
    <x v="0"/>
    <n v="22.252627797240908"/>
  </r>
  <r>
    <x v="5"/>
    <x v="2"/>
    <x v="6"/>
    <x v="0"/>
    <n v="25.363804759729501"/>
  </r>
  <r>
    <x v="5"/>
    <x v="2"/>
    <x v="7"/>
    <x v="0"/>
    <n v="25.033086147962109"/>
  </r>
  <r>
    <x v="5"/>
    <x v="2"/>
    <x v="8"/>
    <x v="0"/>
    <n v="27.858585099207229"/>
  </r>
  <r>
    <x v="5"/>
    <x v="3"/>
    <x v="9"/>
    <x v="0"/>
    <n v="25.0946021111133"/>
  </r>
  <r>
    <x v="5"/>
    <x v="3"/>
    <x v="10"/>
    <x v="0"/>
    <n v="24.601589474899551"/>
  </r>
  <r>
    <x v="5"/>
    <x v="4"/>
    <x v="11"/>
    <x v="0"/>
    <n v="24.78548573814053"/>
  </r>
  <r>
    <x v="5"/>
    <x v="4"/>
    <x v="12"/>
    <x v="0"/>
    <n v="24.91438543195903"/>
  </r>
  <r>
    <x v="5"/>
    <x v="5"/>
    <x v="13"/>
    <x v="0"/>
    <n v="24.25337403647249"/>
  </r>
  <r>
    <x v="5"/>
    <x v="5"/>
    <x v="14"/>
    <x v="0"/>
    <n v="25.100148235867771"/>
  </r>
  <r>
    <x v="5"/>
    <x v="6"/>
    <x v="15"/>
    <x v="0"/>
    <n v="21.598675802240749"/>
  </r>
  <r>
    <x v="5"/>
    <x v="6"/>
    <x v="16"/>
    <x v="0"/>
    <n v="24.606068510025509"/>
  </r>
  <r>
    <x v="5"/>
    <x v="6"/>
    <x v="17"/>
    <x v="0"/>
    <n v="24.63291031479174"/>
  </r>
  <r>
    <x v="5"/>
    <x v="6"/>
    <x v="18"/>
    <x v="0"/>
    <n v="30.548157190703829"/>
  </r>
  <r>
    <x v="5"/>
    <x v="7"/>
    <x v="19"/>
    <x v="0"/>
    <n v="24.77545716663608"/>
  </r>
  <r>
    <x v="5"/>
    <x v="7"/>
    <x v="20"/>
    <x v="0"/>
    <n v="24.624029292700431"/>
  </r>
  <r>
    <x v="5"/>
    <x v="7"/>
    <x v="21"/>
    <x v="0"/>
    <n v="25.012870507388818"/>
  </r>
  <r>
    <x v="5"/>
    <x v="8"/>
    <x v="22"/>
    <x v="0"/>
    <n v="33.976940608615223"/>
  </r>
  <r>
    <x v="5"/>
    <x v="8"/>
    <x v="23"/>
    <x v="0"/>
    <n v="16.530426884650321"/>
  </r>
  <r>
    <x v="5"/>
    <x v="8"/>
    <x v="24"/>
    <x v="0"/>
    <n v="16.69565217391305"/>
  </r>
  <r>
    <x v="5"/>
    <x v="8"/>
    <x v="25"/>
    <x v="0"/>
    <n v="37.268841294368968"/>
  </r>
  <r>
    <x v="5"/>
    <x v="8"/>
    <x v="26"/>
    <x v="0"/>
    <n v="32.236656525372112"/>
  </r>
  <r>
    <x v="5"/>
    <x v="8"/>
    <x v="27"/>
    <x v="0"/>
    <n v="19.87577639751553"/>
  </r>
  <r>
    <x v="5"/>
    <x v="8"/>
    <x v="28"/>
    <x v="0"/>
    <n v="42.317839809829508"/>
  </r>
  <r>
    <x v="5"/>
    <x v="8"/>
    <x v="29"/>
    <x v="0"/>
    <n v="17.36474694589878"/>
  </r>
  <r>
    <x v="5"/>
    <x v="8"/>
    <x v="30"/>
    <x v="0"/>
    <n v="25.427826791126751"/>
  </r>
  <r>
    <x v="5"/>
    <x v="8"/>
    <x v="31"/>
    <x v="0"/>
    <n v="35.518394620796187"/>
  </r>
  <r>
    <x v="5"/>
    <x v="8"/>
    <x v="32"/>
    <x v="0"/>
    <n v="30.70398642917727"/>
  </r>
  <r>
    <x v="5"/>
    <x v="8"/>
    <x v="33"/>
    <x v="0"/>
    <n v="14.46337033267158"/>
  </r>
  <r>
    <x v="5"/>
    <x v="8"/>
    <x v="34"/>
    <x v="0"/>
    <n v="18.31425598335068"/>
  </r>
  <r>
    <x v="5"/>
    <x v="8"/>
    <x v="35"/>
    <x v="0"/>
    <n v="19.982158786797498"/>
  </r>
  <r>
    <x v="5"/>
    <x v="8"/>
    <x v="36"/>
    <x v="0"/>
    <n v="31.291172595520418"/>
  </r>
  <r>
    <x v="5"/>
    <x v="8"/>
    <x v="37"/>
    <x v="0"/>
    <n v="20.487968759996619"/>
  </r>
  <r>
    <x v="5"/>
    <x v="8"/>
    <x v="38"/>
    <x v="0"/>
    <n v="13.297872340425529"/>
  </r>
  <r>
    <x v="5"/>
    <x v="8"/>
    <x v="39"/>
    <x v="0"/>
    <n v="19.144452568310388"/>
  </r>
  <r>
    <x v="5"/>
    <x v="0"/>
    <x v="0"/>
    <x v="1"/>
    <n v="53.183017722195423"/>
  </r>
  <r>
    <x v="5"/>
    <x v="1"/>
    <x v="1"/>
    <x v="1"/>
    <n v="52.812085058092812"/>
  </r>
  <r>
    <x v="5"/>
    <x v="1"/>
    <x v="2"/>
    <x v="1"/>
    <n v="52.849861378297227"/>
  </r>
  <r>
    <x v="5"/>
    <x v="1"/>
    <x v="3"/>
    <x v="1"/>
    <n v="53.494747488397543"/>
  </r>
  <r>
    <x v="5"/>
    <x v="1"/>
    <x v="4"/>
    <x v="1"/>
    <n v="54.793020077173381"/>
  </r>
  <r>
    <x v="5"/>
    <x v="2"/>
    <x v="5"/>
    <x v="1"/>
    <n v="52.892575145040631"/>
  </r>
  <r>
    <x v="5"/>
    <x v="2"/>
    <x v="6"/>
    <x v="1"/>
    <n v="53.599481050659612"/>
  </r>
  <r>
    <x v="5"/>
    <x v="2"/>
    <x v="7"/>
    <x v="1"/>
    <n v="53.435095153014288"/>
  </r>
  <r>
    <x v="5"/>
    <x v="2"/>
    <x v="8"/>
    <x v="1"/>
    <n v="51.17288355562011"/>
  </r>
  <r>
    <x v="5"/>
    <x v="3"/>
    <x v="9"/>
    <x v="1"/>
    <n v="53.960365449791027"/>
  </r>
  <r>
    <x v="5"/>
    <x v="3"/>
    <x v="10"/>
    <x v="1"/>
    <n v="52.377953369948372"/>
  </r>
  <r>
    <x v="5"/>
    <x v="4"/>
    <x v="11"/>
    <x v="1"/>
    <n v="52.356929691354402"/>
  </r>
  <r>
    <x v="5"/>
    <x v="4"/>
    <x v="12"/>
    <x v="1"/>
    <n v="53.844948156677432"/>
  </r>
  <r>
    <x v="5"/>
    <x v="5"/>
    <x v="13"/>
    <x v="1"/>
    <n v="54.141471937091389"/>
  </r>
  <r>
    <x v="5"/>
    <x v="5"/>
    <x v="14"/>
    <x v="1"/>
    <n v="52.906733761785382"/>
  </r>
  <r>
    <x v="5"/>
    <x v="6"/>
    <x v="15"/>
    <x v="1"/>
    <n v="58.27542741114231"/>
  </r>
  <r>
    <x v="5"/>
    <x v="6"/>
    <x v="16"/>
    <x v="1"/>
    <n v="53.386530162365162"/>
  </r>
  <r>
    <x v="5"/>
    <x v="6"/>
    <x v="17"/>
    <x v="1"/>
    <n v="53.038138459773663"/>
  </r>
  <r>
    <x v="5"/>
    <x v="6"/>
    <x v="18"/>
    <x v="1"/>
    <n v="50.167012467563943"/>
  </r>
  <r>
    <x v="5"/>
    <x v="7"/>
    <x v="19"/>
    <x v="1"/>
    <n v="54.14041431702249"/>
  </r>
  <r>
    <x v="5"/>
    <x v="7"/>
    <x v="20"/>
    <x v="1"/>
    <n v="53.138592450623449"/>
  </r>
  <r>
    <x v="5"/>
    <x v="7"/>
    <x v="21"/>
    <x v="1"/>
    <n v="52.847965697479317"/>
  </r>
  <r>
    <x v="5"/>
    <x v="8"/>
    <x v="22"/>
    <x v="1"/>
    <n v="53.624754653735351"/>
  </r>
  <r>
    <x v="5"/>
    <x v="8"/>
    <x v="23"/>
    <x v="1"/>
    <n v="55.585831062670302"/>
  </r>
  <r>
    <x v="5"/>
    <x v="8"/>
    <x v="24"/>
    <x v="1"/>
    <n v="61.217391304347821"/>
  </r>
  <r>
    <x v="5"/>
    <x v="8"/>
    <x v="25"/>
    <x v="1"/>
    <n v="50.629901275239163"/>
  </r>
  <r>
    <x v="5"/>
    <x v="8"/>
    <x v="26"/>
    <x v="1"/>
    <n v="52.542385700723123"/>
  </r>
  <r>
    <x v="5"/>
    <x v="8"/>
    <x v="27"/>
    <x v="1"/>
    <n v="53.209109730848859"/>
  </r>
  <r>
    <x v="5"/>
    <x v="8"/>
    <x v="28"/>
    <x v="1"/>
    <n v="45.375292091811552"/>
  </r>
  <r>
    <x v="5"/>
    <x v="8"/>
    <x v="29"/>
    <x v="1"/>
    <n v="48.167539267015712"/>
  </r>
  <r>
    <x v="5"/>
    <x v="8"/>
    <x v="30"/>
    <x v="1"/>
    <n v="57.35183071685929"/>
  </r>
  <r>
    <x v="5"/>
    <x v="8"/>
    <x v="31"/>
    <x v="1"/>
    <n v="43.303957271852198"/>
  </r>
  <r>
    <x v="5"/>
    <x v="8"/>
    <x v="32"/>
    <x v="1"/>
    <n v="53.859202714164553"/>
  </r>
  <r>
    <x v="5"/>
    <x v="8"/>
    <x v="33"/>
    <x v="1"/>
    <n v="59.333123652612187"/>
  </r>
  <r>
    <x v="5"/>
    <x v="8"/>
    <x v="34"/>
    <x v="1"/>
    <n v="48.387096774193552"/>
  </r>
  <r>
    <x v="5"/>
    <x v="8"/>
    <x v="35"/>
    <x v="1"/>
    <n v="65.566458519179307"/>
  </r>
  <r>
    <x v="5"/>
    <x v="8"/>
    <x v="36"/>
    <x v="1"/>
    <n v="48.397013614404919"/>
  </r>
  <r>
    <x v="5"/>
    <x v="8"/>
    <x v="37"/>
    <x v="1"/>
    <n v="61.55650060717258"/>
  </r>
  <r>
    <x v="5"/>
    <x v="8"/>
    <x v="38"/>
    <x v="1"/>
    <n v="59.48581560283688"/>
  </r>
  <r>
    <x v="5"/>
    <x v="8"/>
    <x v="39"/>
    <x v="1"/>
    <n v="40.582857761211578"/>
  </r>
  <r>
    <x v="5"/>
    <x v="0"/>
    <x v="0"/>
    <x v="2"/>
    <n v="19.414724472112582"/>
  </r>
  <r>
    <x v="5"/>
    <x v="1"/>
    <x v="1"/>
    <x v="2"/>
    <n v="18.37867123631159"/>
  </r>
  <r>
    <x v="5"/>
    <x v="1"/>
    <x v="2"/>
    <x v="2"/>
    <n v="20.067821619863668"/>
  </r>
  <r>
    <x v="5"/>
    <x v="1"/>
    <x v="3"/>
    <x v="2"/>
    <n v="20.174919354071431"/>
  </r>
  <r>
    <x v="5"/>
    <x v="1"/>
    <x v="4"/>
    <x v="2"/>
    <n v="17.696558544413609"/>
  </r>
  <r>
    <x v="5"/>
    <x v="2"/>
    <x v="5"/>
    <x v="2"/>
    <n v="21.71848448057461"/>
  </r>
  <r>
    <x v="5"/>
    <x v="2"/>
    <x v="6"/>
    <x v="2"/>
    <n v="18.625127075416671"/>
  </r>
  <r>
    <x v="5"/>
    <x v="2"/>
    <x v="7"/>
    <x v="2"/>
    <n v="19.163264785612949"/>
  </r>
  <r>
    <x v="5"/>
    <x v="2"/>
    <x v="8"/>
    <x v="2"/>
    <n v="18.498862013696201"/>
  </r>
  <r>
    <x v="5"/>
    <x v="3"/>
    <x v="9"/>
    <x v="2"/>
    <n v="18.45447058799817"/>
  </r>
  <r>
    <x v="5"/>
    <x v="3"/>
    <x v="10"/>
    <x v="2"/>
    <n v="20.409216568459751"/>
  </r>
  <r>
    <x v="5"/>
    <x v="4"/>
    <x v="11"/>
    <x v="2"/>
    <n v="19.919524318088872"/>
  </r>
  <r>
    <x v="5"/>
    <x v="4"/>
    <x v="12"/>
    <x v="2"/>
    <n v="18.986530685148409"/>
  </r>
  <r>
    <x v="5"/>
    <x v="5"/>
    <x v="13"/>
    <x v="2"/>
    <n v="19.17967775590731"/>
  </r>
  <r>
    <x v="5"/>
    <x v="5"/>
    <x v="14"/>
    <x v="2"/>
    <n v="19.454650544717559"/>
  </r>
  <r>
    <x v="5"/>
    <x v="6"/>
    <x v="15"/>
    <x v="2"/>
    <n v="18.210867126834192"/>
  </r>
  <r>
    <x v="5"/>
    <x v="6"/>
    <x v="16"/>
    <x v="2"/>
    <n v="19.731425123921088"/>
  </r>
  <r>
    <x v="5"/>
    <x v="6"/>
    <x v="17"/>
    <x v="2"/>
    <n v="19.235689158468681"/>
  </r>
  <r>
    <x v="5"/>
    <x v="6"/>
    <x v="18"/>
    <x v="2"/>
    <n v="16.202671665240629"/>
  </r>
  <r>
    <x v="5"/>
    <x v="7"/>
    <x v="19"/>
    <x v="2"/>
    <n v="19.018215663301689"/>
  </r>
  <r>
    <x v="5"/>
    <x v="7"/>
    <x v="20"/>
    <x v="2"/>
    <n v="20.204468155270838"/>
  </r>
  <r>
    <x v="5"/>
    <x v="7"/>
    <x v="21"/>
    <x v="2"/>
    <n v="19.109461508652618"/>
  </r>
  <r>
    <x v="5"/>
    <x v="8"/>
    <x v="22"/>
    <x v="2"/>
    <n v="11.78289448552616"/>
  </r>
  <r>
    <x v="5"/>
    <x v="8"/>
    <x v="23"/>
    <x v="2"/>
    <n v="26.06721162579473"/>
  </r>
  <r>
    <x v="5"/>
    <x v="8"/>
    <x v="24"/>
    <x v="2"/>
    <n v="20.34782608695652"/>
  </r>
  <r>
    <x v="5"/>
    <x v="8"/>
    <x v="25"/>
    <x v="2"/>
    <n v="11.72761993591145"/>
  </r>
  <r>
    <x v="5"/>
    <x v="8"/>
    <x v="26"/>
    <x v="2"/>
    <n v="13.00222656966457"/>
  </r>
  <r>
    <x v="5"/>
    <x v="8"/>
    <x v="27"/>
    <x v="2"/>
    <n v="24.32712215320911"/>
  </r>
  <r>
    <x v="5"/>
    <x v="8"/>
    <x v="28"/>
    <x v="2"/>
    <n v="9.1638196786740505"/>
  </r>
  <r>
    <x v="5"/>
    <x v="8"/>
    <x v="29"/>
    <x v="2"/>
    <n v="32.984293193717278"/>
  </r>
  <r>
    <x v="5"/>
    <x v="8"/>
    <x v="30"/>
    <x v="2"/>
    <n v="14.99031063485266"/>
  </r>
  <r>
    <x v="5"/>
    <x v="8"/>
    <x v="31"/>
    <x v="2"/>
    <n v="18.239686378049289"/>
  </r>
  <r>
    <x v="5"/>
    <x v="8"/>
    <x v="32"/>
    <x v="2"/>
    <n v="13.99491094147583"/>
  </r>
  <r>
    <x v="5"/>
    <x v="8"/>
    <x v="33"/>
    <x v="2"/>
    <n v="21.450291136751051"/>
  </r>
  <r>
    <x v="5"/>
    <x v="8"/>
    <x v="34"/>
    <x v="2"/>
    <n v="26.534859521331949"/>
  </r>
  <r>
    <x v="5"/>
    <x v="8"/>
    <x v="35"/>
    <x v="2"/>
    <n v="13.559322033898299"/>
  </r>
  <r>
    <x v="5"/>
    <x v="8"/>
    <x v="36"/>
    <x v="2"/>
    <n v="15.98594642072903"/>
  </r>
  <r>
    <x v="5"/>
    <x v="8"/>
    <x v="37"/>
    <x v="2"/>
    <n v="16.302246762462499"/>
  </r>
  <r>
    <x v="5"/>
    <x v="8"/>
    <x v="38"/>
    <x v="2"/>
    <n v="25.797872340425531"/>
  </r>
  <r>
    <x v="5"/>
    <x v="8"/>
    <x v="39"/>
    <x v="2"/>
    <n v="33.496748613889139"/>
  </r>
  <r>
    <x v="5"/>
    <x v="0"/>
    <x v="0"/>
    <x v="3"/>
    <n v="2.549844349050296"/>
  </r>
  <r>
    <x v="5"/>
    <x v="1"/>
    <x v="1"/>
    <x v="3"/>
    <n v="2.2779935503972282"/>
  </r>
  <r>
    <x v="5"/>
    <x v="1"/>
    <x v="2"/>
    <x v="3"/>
    <n v="2.7494741840296788"/>
  </r>
  <r>
    <x v="5"/>
    <x v="1"/>
    <x v="3"/>
    <x v="3"/>
    <n v="2.646264958928326"/>
  </r>
  <r>
    <x v="5"/>
    <x v="1"/>
    <x v="4"/>
    <x v="3"/>
    <n v="2.1843563812640281"/>
  </r>
  <r>
    <x v="5"/>
    <x v="2"/>
    <x v="5"/>
    <x v="3"/>
    <n v="3.1363125771438511"/>
  </r>
  <r>
    <x v="5"/>
    <x v="2"/>
    <x v="6"/>
    <x v="3"/>
    <n v="2.4115871141942198"/>
  </r>
  <r>
    <x v="5"/>
    <x v="2"/>
    <x v="7"/>
    <x v="3"/>
    <n v="2.3685539134106448"/>
  </r>
  <r>
    <x v="5"/>
    <x v="2"/>
    <x v="8"/>
    <x v="3"/>
    <n v="2.469669331476434"/>
  </r>
  <r>
    <x v="5"/>
    <x v="3"/>
    <x v="9"/>
    <x v="3"/>
    <n v="2.490561851097485"/>
  </r>
  <r>
    <x v="5"/>
    <x v="3"/>
    <x v="10"/>
    <x v="3"/>
    <n v="2.611240586692344"/>
  </r>
  <r>
    <x v="5"/>
    <x v="4"/>
    <x v="11"/>
    <x v="3"/>
    <n v="2.9380602524161921"/>
  </r>
  <r>
    <x v="5"/>
    <x v="4"/>
    <x v="12"/>
    <x v="3"/>
    <n v="2.2541357262151469"/>
  </r>
  <r>
    <x v="5"/>
    <x v="5"/>
    <x v="13"/>
    <x v="3"/>
    <n v="2.4254762705288009"/>
  </r>
  <r>
    <x v="5"/>
    <x v="5"/>
    <x v="14"/>
    <x v="3"/>
    <n v="2.5384674576293249"/>
  </r>
  <r>
    <x v="5"/>
    <x v="6"/>
    <x v="15"/>
    <x v="3"/>
    <n v="1.915029659782729"/>
  </r>
  <r>
    <x v="5"/>
    <x v="6"/>
    <x v="16"/>
    <x v="3"/>
    <n v="2.2759762036882418"/>
  </r>
  <r>
    <x v="5"/>
    <x v="6"/>
    <x v="17"/>
    <x v="3"/>
    <n v="3.093262066965921"/>
  </r>
  <r>
    <x v="5"/>
    <x v="6"/>
    <x v="18"/>
    <x v="3"/>
    <n v="3.0821586764915989"/>
  </r>
  <r>
    <x v="5"/>
    <x v="7"/>
    <x v="19"/>
    <x v="3"/>
    <n v="2.065912853039737"/>
  </r>
  <r>
    <x v="5"/>
    <x v="7"/>
    <x v="20"/>
    <x v="3"/>
    <n v="2.0329101014052902"/>
  </r>
  <r>
    <x v="5"/>
    <x v="7"/>
    <x v="21"/>
    <x v="3"/>
    <n v="3.0297022864792482"/>
  </r>
  <r>
    <x v="5"/>
    <x v="8"/>
    <x v="22"/>
    <x v="3"/>
    <n v="0.6154102521232655"/>
  </r>
  <r>
    <x v="5"/>
    <x v="8"/>
    <x v="23"/>
    <x v="3"/>
    <n v="1.8165304268846509"/>
  </r>
  <r>
    <x v="5"/>
    <x v="8"/>
    <x v="24"/>
    <x v="3"/>
    <n v="1.7391304347826091"/>
  </r>
  <r>
    <x v="5"/>
    <x v="8"/>
    <x v="25"/>
    <x v="3"/>
    <n v="0.37363749448039141"/>
  </r>
  <r>
    <x v="5"/>
    <x v="8"/>
    <x v="26"/>
    <x v="3"/>
    <n v="2.218731204240195"/>
  </r>
  <r>
    <x v="5"/>
    <x v="8"/>
    <x v="27"/>
    <x v="3"/>
    <n v="2.5879917184265011"/>
  </r>
  <r>
    <x v="5"/>
    <x v="8"/>
    <x v="28"/>
    <x v="3"/>
    <n v="3.1430484196848858"/>
  </r>
  <r>
    <x v="5"/>
    <x v="8"/>
    <x v="29"/>
    <x v="3"/>
    <n v="1.483420593368237"/>
  </r>
  <r>
    <x v="5"/>
    <x v="8"/>
    <x v="30"/>
    <x v="3"/>
    <n v="2.2300318571613049"/>
  </r>
  <r>
    <x v="5"/>
    <x v="8"/>
    <x v="31"/>
    <x v="3"/>
    <n v="2.9379617293023328"/>
  </r>
  <r>
    <x v="5"/>
    <x v="8"/>
    <x v="32"/>
    <x v="3"/>
    <n v="1.4418999151823579"/>
  </r>
  <r>
    <x v="5"/>
    <x v="8"/>
    <x v="33"/>
    <x v="3"/>
    <n v="4.7532148779651857"/>
  </r>
  <r>
    <x v="5"/>
    <x v="8"/>
    <x v="34"/>
    <x v="3"/>
    <n v="6.7637877211238289"/>
  </r>
  <r>
    <x v="5"/>
    <x v="8"/>
    <x v="35"/>
    <x v="3"/>
    <n v="0.89206066012488849"/>
  </r>
  <r>
    <x v="5"/>
    <x v="8"/>
    <x v="36"/>
    <x v="3"/>
    <n v="4.3258673693456302"/>
  </r>
  <r>
    <x v="5"/>
    <x v="8"/>
    <x v="37"/>
    <x v="3"/>
    <n v="1.6532838703682999"/>
  </r>
  <r>
    <x v="5"/>
    <x v="8"/>
    <x v="38"/>
    <x v="3"/>
    <n v="1.418439716312057"/>
  </r>
  <r>
    <x v="5"/>
    <x v="8"/>
    <x v="39"/>
    <x v="3"/>
    <n v="6.775941056588854"/>
  </r>
  <r>
    <x v="6"/>
    <x v="0"/>
    <x v="0"/>
    <x v="0"/>
    <n v="24.481275901804601"/>
  </r>
  <r>
    <x v="6"/>
    <x v="1"/>
    <x v="1"/>
    <x v="0"/>
    <n v="27.333572495502249"/>
  </r>
  <r>
    <x v="6"/>
    <x v="1"/>
    <x v="2"/>
    <x v="0"/>
    <n v="23.383069685711209"/>
  </r>
  <r>
    <x v="6"/>
    <x v="1"/>
    <x v="3"/>
    <x v="0"/>
    <n v="23.62501953500264"/>
  </r>
  <r>
    <x v="6"/>
    <x v="1"/>
    <x v="4"/>
    <x v="0"/>
    <n v="24.1645155629469"/>
  </r>
  <r>
    <x v="6"/>
    <x v="2"/>
    <x v="5"/>
    <x v="0"/>
    <n v="20.89215973222014"/>
  </r>
  <r>
    <x v="6"/>
    <x v="2"/>
    <x v="6"/>
    <x v="0"/>
    <n v="25.111577345284338"/>
  </r>
  <r>
    <x v="6"/>
    <x v="2"/>
    <x v="7"/>
    <x v="0"/>
    <n v="25.996643116253939"/>
  </r>
  <r>
    <x v="6"/>
    <x v="2"/>
    <x v="8"/>
    <x v="0"/>
    <n v="24.451459012843198"/>
  </r>
  <r>
    <x v="6"/>
    <x v="3"/>
    <x v="9"/>
    <x v="0"/>
    <n v="24.647879207700019"/>
  </r>
  <r>
    <x v="6"/>
    <x v="3"/>
    <x v="10"/>
    <x v="0"/>
    <n v="24.306199735488569"/>
  </r>
  <r>
    <x v="6"/>
    <x v="4"/>
    <x v="11"/>
    <x v="0"/>
    <n v="24.717079919236902"/>
  </r>
  <r>
    <x v="6"/>
    <x v="4"/>
    <x v="12"/>
    <x v="0"/>
    <n v="24.23550977916042"/>
  </r>
  <r>
    <x v="6"/>
    <x v="5"/>
    <x v="13"/>
    <x v="0"/>
    <n v="26.504004907078428"/>
  </r>
  <r>
    <x v="6"/>
    <x v="5"/>
    <x v="14"/>
    <x v="0"/>
    <n v="23.531982216614939"/>
  </r>
  <r>
    <x v="6"/>
    <x v="6"/>
    <x v="15"/>
    <x v="0"/>
    <n v="21.846656181237041"/>
  </r>
  <r>
    <x v="6"/>
    <x v="6"/>
    <x v="16"/>
    <x v="0"/>
    <n v="24.605909895796628"/>
  </r>
  <r>
    <x v="6"/>
    <x v="6"/>
    <x v="17"/>
    <x v="0"/>
    <n v="25.02304582773392"/>
  </r>
  <r>
    <x v="6"/>
    <x v="6"/>
    <x v="18"/>
    <x v="0"/>
    <n v="28.635022029966731"/>
  </r>
  <r>
    <x v="6"/>
    <x v="7"/>
    <x v="19"/>
    <x v="0"/>
    <n v="25.771499037049569"/>
  </r>
  <r>
    <x v="6"/>
    <x v="7"/>
    <x v="20"/>
    <x v="0"/>
    <n v="22.01560665925102"/>
  </r>
  <r>
    <x v="6"/>
    <x v="7"/>
    <x v="21"/>
    <x v="0"/>
    <n v="25.42352683250158"/>
  </r>
  <r>
    <x v="6"/>
    <x v="8"/>
    <x v="22"/>
    <x v="0"/>
    <n v="22.010116740355141"/>
  </r>
  <r>
    <x v="6"/>
    <x v="8"/>
    <x v="23"/>
    <x v="0"/>
    <n v="12.588652482269501"/>
  </r>
  <r>
    <x v="6"/>
    <x v="8"/>
    <x v="24"/>
    <x v="0"/>
    <n v="26.689189189189189"/>
  </r>
  <r>
    <x v="6"/>
    <x v="8"/>
    <x v="25"/>
    <x v="0"/>
    <n v="48.996806342548659"/>
  </r>
  <r>
    <x v="6"/>
    <x v="8"/>
    <x v="26"/>
    <x v="0"/>
    <n v="29.131803399128341"/>
  </r>
  <r>
    <x v="6"/>
    <x v="8"/>
    <x v="27"/>
    <x v="0"/>
    <n v="24.46043165467626"/>
  </r>
  <r>
    <x v="6"/>
    <x v="8"/>
    <x v="28"/>
    <x v="0"/>
    <n v="54.015685951709571"/>
  </r>
  <r>
    <x v="6"/>
    <x v="8"/>
    <x v="29"/>
    <x v="0"/>
    <n v="10.90909090909091"/>
  </r>
  <r>
    <x v="6"/>
    <x v="8"/>
    <x v="30"/>
    <x v="0"/>
    <n v="25.001072201606309"/>
  </r>
  <r>
    <x v="6"/>
    <x v="8"/>
    <x v="31"/>
    <x v="0"/>
    <n v="36.415187324130791"/>
  </r>
  <r>
    <x v="6"/>
    <x v="8"/>
    <x v="32"/>
    <x v="0"/>
    <n v="23.34763948497854"/>
  </r>
  <r>
    <x v="6"/>
    <x v="8"/>
    <x v="33"/>
    <x v="0"/>
    <n v="10.663821788144819"/>
  </r>
  <r>
    <x v="6"/>
    <x v="8"/>
    <x v="34"/>
    <x v="0"/>
    <n v="15.625"/>
  </r>
  <r>
    <x v="6"/>
    <x v="8"/>
    <x v="35"/>
    <x v="0"/>
    <n v="23.478260869565219"/>
  </r>
  <r>
    <x v="6"/>
    <x v="8"/>
    <x v="36"/>
    <x v="0"/>
    <n v="21.598084040931859"/>
  </r>
  <r>
    <x v="6"/>
    <x v="8"/>
    <x v="37"/>
    <x v="0"/>
    <n v="27.171467509176939"/>
  </r>
  <r>
    <x v="6"/>
    <x v="8"/>
    <x v="38"/>
    <x v="0"/>
    <n v="11.150758251561109"/>
  </r>
  <r>
    <x v="6"/>
    <x v="8"/>
    <x v="39"/>
    <x v="0"/>
    <n v="17.203435276269211"/>
  </r>
  <r>
    <x v="6"/>
    <x v="0"/>
    <x v="0"/>
    <x v="1"/>
    <n v="55.080239633943251"/>
  </r>
  <r>
    <x v="6"/>
    <x v="1"/>
    <x v="1"/>
    <x v="1"/>
    <n v="54.745256829717754"/>
  </r>
  <r>
    <x v="6"/>
    <x v="1"/>
    <x v="2"/>
    <x v="1"/>
    <n v="54.440141694466327"/>
  </r>
  <r>
    <x v="6"/>
    <x v="1"/>
    <x v="3"/>
    <x v="1"/>
    <n v="54.849407814083783"/>
  </r>
  <r>
    <x v="6"/>
    <x v="1"/>
    <x v="4"/>
    <x v="1"/>
    <n v="59.065140416249328"/>
  </r>
  <r>
    <x v="6"/>
    <x v="2"/>
    <x v="5"/>
    <x v="1"/>
    <n v="55.277810000920347"/>
  </r>
  <r>
    <x v="6"/>
    <x v="2"/>
    <x v="6"/>
    <x v="1"/>
    <n v="54.994352685423429"/>
  </r>
  <r>
    <x v="6"/>
    <x v="2"/>
    <x v="7"/>
    <x v="1"/>
    <n v="55.040124490796757"/>
  </r>
  <r>
    <x v="6"/>
    <x v="2"/>
    <x v="8"/>
    <x v="1"/>
    <n v="55.137407189387552"/>
  </r>
  <r>
    <x v="6"/>
    <x v="3"/>
    <x v="9"/>
    <x v="1"/>
    <n v="56.119703420966893"/>
  </r>
  <r>
    <x v="6"/>
    <x v="3"/>
    <x v="10"/>
    <x v="1"/>
    <n v="53.987912360613613"/>
  </r>
  <r>
    <x v="6"/>
    <x v="4"/>
    <x v="11"/>
    <x v="1"/>
    <n v="53.825914137865759"/>
  </r>
  <r>
    <x v="6"/>
    <x v="4"/>
    <x v="12"/>
    <x v="1"/>
    <n v="56.089223600448577"/>
  </r>
  <r>
    <x v="6"/>
    <x v="5"/>
    <x v="13"/>
    <x v="1"/>
    <n v="53.941601375365003"/>
  </r>
  <r>
    <x v="6"/>
    <x v="5"/>
    <x v="14"/>
    <x v="1"/>
    <n v="55.637312929986692"/>
  </r>
  <r>
    <x v="6"/>
    <x v="6"/>
    <x v="15"/>
    <x v="1"/>
    <n v="56.42118142870023"/>
  </r>
  <r>
    <x v="6"/>
    <x v="6"/>
    <x v="16"/>
    <x v="1"/>
    <n v="54.385014377841877"/>
  </r>
  <r>
    <x v="6"/>
    <x v="6"/>
    <x v="17"/>
    <x v="1"/>
    <n v="53.703355805108188"/>
  </r>
  <r>
    <x v="6"/>
    <x v="6"/>
    <x v="18"/>
    <x v="1"/>
    <n v="53.970846829262911"/>
  </r>
  <r>
    <x v="6"/>
    <x v="7"/>
    <x v="19"/>
    <x v="1"/>
    <n v="53.391521727707307"/>
  </r>
  <r>
    <x v="6"/>
    <x v="7"/>
    <x v="20"/>
    <x v="1"/>
    <n v="57.215653871363948"/>
  </r>
  <r>
    <x v="6"/>
    <x v="7"/>
    <x v="21"/>
    <x v="1"/>
    <n v="54.507403403925117"/>
  </r>
  <r>
    <x v="6"/>
    <x v="8"/>
    <x v="22"/>
    <x v="1"/>
    <n v="61.65198812626668"/>
  </r>
  <r>
    <x v="6"/>
    <x v="8"/>
    <x v="23"/>
    <x v="1"/>
    <n v="65.51418439716312"/>
  </r>
  <r>
    <x v="6"/>
    <x v="8"/>
    <x v="24"/>
    <x v="1"/>
    <n v="58.445945945945937"/>
  </r>
  <r>
    <x v="6"/>
    <x v="8"/>
    <x v="25"/>
    <x v="1"/>
    <n v="45.089295650124789"/>
  </r>
  <r>
    <x v="6"/>
    <x v="8"/>
    <x v="26"/>
    <x v="1"/>
    <n v="58.690183748665248"/>
  </r>
  <r>
    <x v="6"/>
    <x v="8"/>
    <x v="27"/>
    <x v="1"/>
    <n v="50.976361767728683"/>
  </r>
  <r>
    <x v="6"/>
    <x v="8"/>
    <x v="28"/>
    <x v="1"/>
    <n v="38.402613940268772"/>
  </r>
  <r>
    <x v="6"/>
    <x v="8"/>
    <x v="29"/>
    <x v="1"/>
    <n v="44.675324675324667"/>
  </r>
  <r>
    <x v="6"/>
    <x v="8"/>
    <x v="30"/>
    <x v="1"/>
    <n v="58.176398549215733"/>
  </r>
  <r>
    <x v="6"/>
    <x v="8"/>
    <x v="31"/>
    <x v="1"/>
    <n v="51.226774112703858"/>
  </r>
  <r>
    <x v="6"/>
    <x v="8"/>
    <x v="32"/>
    <x v="1"/>
    <n v="61.373390557939913"/>
  </r>
  <r>
    <x v="6"/>
    <x v="8"/>
    <x v="33"/>
    <x v="1"/>
    <n v="62.039304593112263"/>
  </r>
  <r>
    <x v="6"/>
    <x v="8"/>
    <x v="34"/>
    <x v="1"/>
    <n v="50.520833333333343"/>
  </r>
  <r>
    <x v="6"/>
    <x v="8"/>
    <x v="35"/>
    <x v="1"/>
    <n v="62.347826086956523"/>
  </r>
  <r>
    <x v="6"/>
    <x v="8"/>
    <x v="36"/>
    <x v="1"/>
    <n v="55.649902024820392"/>
  </r>
  <r>
    <x v="6"/>
    <x v="8"/>
    <x v="37"/>
    <x v="1"/>
    <n v="54.414959753236523"/>
  </r>
  <r>
    <x v="6"/>
    <x v="8"/>
    <x v="38"/>
    <x v="1"/>
    <n v="60.392506690454951"/>
  </r>
  <r>
    <x v="6"/>
    <x v="8"/>
    <x v="39"/>
    <x v="1"/>
    <n v="50.146958928015707"/>
  </r>
  <r>
    <x v="6"/>
    <x v="0"/>
    <x v="0"/>
    <x v="2"/>
    <n v="18.15936313116255"/>
  </r>
  <r>
    <x v="6"/>
    <x v="1"/>
    <x v="1"/>
    <x v="2"/>
    <n v="15.55514717497036"/>
  </r>
  <r>
    <x v="6"/>
    <x v="1"/>
    <x v="2"/>
    <x v="2"/>
    <n v="19.780433650330739"/>
  </r>
  <r>
    <x v="6"/>
    <x v="1"/>
    <x v="3"/>
    <x v="2"/>
    <n v="19.653561714558911"/>
  </r>
  <r>
    <x v="6"/>
    <x v="1"/>
    <x v="4"/>
    <x v="2"/>
    <n v="14.35178891501938"/>
  </r>
  <r>
    <x v="6"/>
    <x v="2"/>
    <x v="5"/>
    <x v="2"/>
    <n v="21.355511677240571"/>
  </r>
  <r>
    <x v="6"/>
    <x v="2"/>
    <x v="6"/>
    <x v="2"/>
    <n v="17.766968208575751"/>
  </r>
  <r>
    <x v="6"/>
    <x v="2"/>
    <x v="7"/>
    <x v="2"/>
    <n v="16.45452310748556"/>
  </r>
  <r>
    <x v="6"/>
    <x v="2"/>
    <x v="8"/>
    <x v="2"/>
    <n v="18.751474652793409"/>
  </r>
  <r>
    <x v="6"/>
    <x v="3"/>
    <x v="9"/>
    <x v="2"/>
    <n v="17.084039093849309"/>
  </r>
  <r>
    <x v="6"/>
    <x v="3"/>
    <x v="10"/>
    <x v="2"/>
    <n v="19.289374381470299"/>
  </r>
  <r>
    <x v="6"/>
    <x v="4"/>
    <x v="11"/>
    <x v="2"/>
    <n v="19.046497161849921"/>
  </r>
  <r>
    <x v="6"/>
    <x v="4"/>
    <x v="12"/>
    <x v="2"/>
    <n v="17.479397936208631"/>
  </r>
  <r>
    <x v="6"/>
    <x v="5"/>
    <x v="13"/>
    <x v="2"/>
    <n v="17.202033425745029"/>
  </r>
  <r>
    <x v="6"/>
    <x v="5"/>
    <x v="14"/>
    <x v="2"/>
    <n v="18.592794015570799"/>
  </r>
  <r>
    <x v="6"/>
    <x v="6"/>
    <x v="15"/>
    <x v="2"/>
    <n v="19.48276465217479"/>
  </r>
  <r>
    <x v="6"/>
    <x v="6"/>
    <x v="16"/>
    <x v="2"/>
    <n v="18.75923638350617"/>
  </r>
  <r>
    <x v="6"/>
    <x v="6"/>
    <x v="17"/>
    <x v="2"/>
    <n v="18.53852535563469"/>
  </r>
  <r>
    <x v="6"/>
    <x v="6"/>
    <x v="18"/>
    <x v="2"/>
    <n v="15.09430624824417"/>
  </r>
  <r>
    <x v="6"/>
    <x v="7"/>
    <x v="19"/>
    <x v="2"/>
    <n v="18.514967349530991"/>
  </r>
  <r>
    <x v="6"/>
    <x v="7"/>
    <x v="20"/>
    <x v="2"/>
    <n v="18.67078710050577"/>
  </r>
  <r>
    <x v="6"/>
    <x v="7"/>
    <x v="21"/>
    <x v="2"/>
    <n v="17.698616492430229"/>
  </r>
  <r>
    <x v="6"/>
    <x v="8"/>
    <x v="22"/>
    <x v="2"/>
    <n v="15.851943580927269"/>
  </r>
  <r>
    <x v="6"/>
    <x v="8"/>
    <x v="23"/>
    <x v="2"/>
    <n v="20.656028368794331"/>
  </r>
  <r>
    <x v="6"/>
    <x v="8"/>
    <x v="24"/>
    <x v="2"/>
    <n v="14.10472972972973"/>
  </r>
  <r>
    <x v="6"/>
    <x v="8"/>
    <x v="25"/>
    <x v="2"/>
    <n v="5.3194548438443112"/>
  </r>
  <r>
    <x v="6"/>
    <x v="8"/>
    <x v="26"/>
    <x v="2"/>
    <n v="9.9695757240167762"/>
  </r>
  <r>
    <x v="6"/>
    <x v="8"/>
    <x v="27"/>
    <x v="2"/>
    <n v="22.096608427543678"/>
  </r>
  <r>
    <x v="6"/>
    <x v="8"/>
    <x v="28"/>
    <x v="2"/>
    <n v="5.2663775486440993"/>
  </r>
  <r>
    <x v="6"/>
    <x v="8"/>
    <x v="29"/>
    <x v="2"/>
    <n v="40.865800865800857"/>
  </r>
  <r>
    <x v="6"/>
    <x v="8"/>
    <x v="30"/>
    <x v="2"/>
    <n v="14.98015997941642"/>
  </r>
  <r>
    <x v="6"/>
    <x v="8"/>
    <x v="31"/>
    <x v="2"/>
    <n v="8.971274482722583"/>
  </r>
  <r>
    <x v="6"/>
    <x v="8"/>
    <x v="32"/>
    <x v="2"/>
    <n v="13.39055793991416"/>
  </r>
  <r>
    <x v="6"/>
    <x v="8"/>
    <x v="33"/>
    <x v="2"/>
    <n v="23.048920926286229"/>
  </r>
  <r>
    <x v="6"/>
    <x v="8"/>
    <x v="34"/>
    <x v="2"/>
    <n v="27.1875"/>
  </r>
  <r>
    <x v="6"/>
    <x v="8"/>
    <x v="35"/>
    <x v="2"/>
    <n v="13.04347826086957"/>
  </r>
  <r>
    <x v="6"/>
    <x v="8"/>
    <x v="36"/>
    <x v="2"/>
    <n v="20.748965817548449"/>
  </r>
  <r>
    <x v="6"/>
    <x v="8"/>
    <x v="37"/>
    <x v="2"/>
    <n v="15.183306420945261"/>
  </r>
  <r>
    <x v="6"/>
    <x v="8"/>
    <x v="38"/>
    <x v="2"/>
    <n v="27.564674397859061"/>
  </r>
  <r>
    <x v="6"/>
    <x v="8"/>
    <x v="39"/>
    <x v="2"/>
    <n v="28.883142268545939"/>
  </r>
  <r>
    <x v="6"/>
    <x v="0"/>
    <x v="0"/>
    <x v="3"/>
    <n v="2.2791213330895839"/>
  </r>
  <r>
    <x v="6"/>
    <x v="1"/>
    <x v="1"/>
    <x v="3"/>
    <n v="2.3660234998096579"/>
  </r>
  <r>
    <x v="6"/>
    <x v="1"/>
    <x v="2"/>
    <x v="3"/>
    <n v="2.3963549694917341"/>
  </r>
  <r>
    <x v="6"/>
    <x v="1"/>
    <x v="3"/>
    <x v="3"/>
    <n v="1.872010936354648"/>
  </r>
  <r>
    <x v="6"/>
    <x v="1"/>
    <x v="4"/>
    <x v="3"/>
    <n v="2.4185551057844039"/>
  </r>
  <r>
    <x v="6"/>
    <x v="2"/>
    <x v="5"/>
    <x v="3"/>
    <n v="2.474518589618937"/>
  </r>
  <r>
    <x v="6"/>
    <x v="2"/>
    <x v="6"/>
    <x v="3"/>
    <n v="2.1271017607164779"/>
  </r>
  <r>
    <x v="6"/>
    <x v="2"/>
    <x v="7"/>
    <x v="3"/>
    <n v="2.5087092854637478"/>
  </r>
  <r>
    <x v="6"/>
    <x v="2"/>
    <x v="8"/>
    <x v="3"/>
    <n v="1.659659144975866"/>
  </r>
  <r>
    <x v="6"/>
    <x v="3"/>
    <x v="9"/>
    <x v="3"/>
    <n v="2.1483782774837881"/>
  </r>
  <r>
    <x v="6"/>
    <x v="3"/>
    <x v="10"/>
    <x v="3"/>
    <n v="2.4165135224275089"/>
  </r>
  <r>
    <x v="6"/>
    <x v="4"/>
    <x v="11"/>
    <x v="3"/>
    <n v="2.4105087810474282"/>
  </r>
  <r>
    <x v="6"/>
    <x v="4"/>
    <x v="12"/>
    <x v="3"/>
    <n v="2.19586868418236"/>
  </r>
  <r>
    <x v="6"/>
    <x v="5"/>
    <x v="13"/>
    <x v="3"/>
    <n v="2.3523602918115358"/>
  </r>
  <r>
    <x v="6"/>
    <x v="5"/>
    <x v="14"/>
    <x v="3"/>
    <n v="2.2379108378275272"/>
  </r>
  <r>
    <x v="6"/>
    <x v="6"/>
    <x v="15"/>
    <x v="3"/>
    <n v="2.2493977378879411"/>
  </r>
  <r>
    <x v="6"/>
    <x v="6"/>
    <x v="16"/>
    <x v="3"/>
    <n v="2.2498393428553078"/>
  </r>
  <r>
    <x v="6"/>
    <x v="6"/>
    <x v="17"/>
    <x v="3"/>
    <n v="2.7350730115231889"/>
  </r>
  <r>
    <x v="6"/>
    <x v="6"/>
    <x v="18"/>
    <x v="3"/>
    <n v="2.2998248925261731"/>
  </r>
  <r>
    <x v="6"/>
    <x v="7"/>
    <x v="19"/>
    <x v="3"/>
    <n v="2.3220118857121328"/>
  </r>
  <r>
    <x v="6"/>
    <x v="7"/>
    <x v="20"/>
    <x v="3"/>
    <n v="2.0979523688792621"/>
  </r>
  <r>
    <x v="6"/>
    <x v="7"/>
    <x v="21"/>
    <x v="3"/>
    <n v="2.370453271143087"/>
  </r>
  <r>
    <x v="6"/>
    <x v="8"/>
    <x v="22"/>
    <x v="3"/>
    <n v="0.48595155245092542"/>
  </r>
  <r>
    <x v="6"/>
    <x v="8"/>
    <x v="23"/>
    <x v="3"/>
    <n v="1.24113475177305"/>
  </r>
  <r>
    <x v="6"/>
    <x v="8"/>
    <x v="24"/>
    <x v="3"/>
    <n v="0.7601351351351352"/>
  </r>
  <r>
    <x v="6"/>
    <x v="8"/>
    <x v="25"/>
    <x v="3"/>
    <n v="0.5944431634822529"/>
  </r>
  <r>
    <x v="6"/>
    <x v="8"/>
    <x v="26"/>
    <x v="3"/>
    <n v="2.2084371281896269"/>
  </r>
  <r>
    <x v="6"/>
    <x v="8"/>
    <x v="27"/>
    <x v="3"/>
    <n v="2.4665981500513872"/>
  </r>
  <r>
    <x v="6"/>
    <x v="8"/>
    <x v="28"/>
    <x v="3"/>
    <n v="2.3153225593775582"/>
  </r>
  <r>
    <x v="6"/>
    <x v="8"/>
    <x v="29"/>
    <x v="3"/>
    <n v="3.5497835497835499"/>
  </r>
  <r>
    <x v="6"/>
    <x v="8"/>
    <x v="30"/>
    <x v="3"/>
    <n v="1.8423692697615439"/>
  </r>
  <r>
    <x v="6"/>
    <x v="8"/>
    <x v="31"/>
    <x v="3"/>
    <n v="3.3867640804427608"/>
  </r>
  <r>
    <x v="6"/>
    <x v="8"/>
    <x v="32"/>
    <x v="3"/>
    <n v="1.8884120171673819"/>
  </r>
  <r>
    <x v="6"/>
    <x v="8"/>
    <x v="33"/>
    <x v="3"/>
    <n v="4.2479526924566819"/>
  </r>
  <r>
    <x v="6"/>
    <x v="8"/>
    <x v="34"/>
    <x v="3"/>
    <n v="6.666666666666667"/>
  </r>
  <r>
    <x v="6"/>
    <x v="8"/>
    <x v="35"/>
    <x v="3"/>
    <n v="1.130434782608696"/>
  </r>
  <r>
    <x v="6"/>
    <x v="8"/>
    <x v="36"/>
    <x v="3"/>
    <n v="2.003048116699325"/>
  </r>
  <r>
    <x v="6"/>
    <x v="8"/>
    <x v="37"/>
    <x v="3"/>
    <n v="3.2302663166412779"/>
  </r>
  <r>
    <x v="6"/>
    <x v="8"/>
    <x v="38"/>
    <x v="3"/>
    <n v="0.89206066012488849"/>
  </r>
  <r>
    <x v="6"/>
    <x v="8"/>
    <x v="39"/>
    <x v="3"/>
    <n v="3.7664635271691091"/>
  </r>
  <r>
    <x v="7"/>
    <x v="0"/>
    <x v="0"/>
    <x v="0"/>
    <n v="25.94435917130988"/>
  </r>
  <r>
    <x v="7"/>
    <x v="1"/>
    <x v="1"/>
    <x v="0"/>
    <n v="25.952903188170019"/>
  </r>
  <r>
    <x v="7"/>
    <x v="1"/>
    <x v="2"/>
    <x v="0"/>
    <n v="26.747999136248751"/>
  </r>
  <r>
    <x v="7"/>
    <x v="1"/>
    <x v="3"/>
    <x v="0"/>
    <n v="24.71093808531894"/>
  </r>
  <r>
    <x v="7"/>
    <x v="1"/>
    <x v="4"/>
    <x v="0"/>
    <n v="25.453031465254661"/>
  </r>
  <r>
    <x v="7"/>
    <x v="2"/>
    <x v="5"/>
    <x v="0"/>
    <n v="22.92059095285175"/>
  </r>
  <r>
    <x v="7"/>
    <x v="2"/>
    <x v="6"/>
    <x v="0"/>
    <n v="26.933027199166801"/>
  </r>
  <r>
    <x v="7"/>
    <x v="2"/>
    <x v="7"/>
    <x v="0"/>
    <n v="26.99923623433914"/>
  </r>
  <r>
    <x v="7"/>
    <x v="2"/>
    <x v="8"/>
    <x v="0"/>
    <n v="24.939414717606841"/>
  </r>
  <r>
    <x v="7"/>
    <x v="3"/>
    <x v="9"/>
    <x v="0"/>
    <n v="25.733776778618061"/>
  </r>
  <r>
    <x v="7"/>
    <x v="3"/>
    <x v="10"/>
    <x v="0"/>
    <n v="26.162979132392831"/>
  </r>
  <r>
    <x v="7"/>
    <x v="4"/>
    <x v="11"/>
    <x v="0"/>
    <n v="24.927470854822769"/>
  </r>
  <r>
    <x v="7"/>
    <x v="4"/>
    <x v="12"/>
    <x v="0"/>
    <n v="26.71587789627468"/>
  </r>
  <r>
    <x v="7"/>
    <x v="5"/>
    <x v="13"/>
    <x v="0"/>
    <n v="26.210394987433361"/>
  </r>
  <r>
    <x v="7"/>
    <x v="5"/>
    <x v="14"/>
    <x v="0"/>
    <n v="25.883241018265139"/>
  </r>
  <r>
    <x v="7"/>
    <x v="6"/>
    <x v="15"/>
    <x v="0"/>
    <n v="25.852896621962969"/>
  </r>
  <r>
    <x v="7"/>
    <x v="6"/>
    <x v="16"/>
    <x v="0"/>
    <n v="26.63297255266265"/>
  </r>
  <r>
    <x v="7"/>
    <x v="6"/>
    <x v="17"/>
    <x v="0"/>
    <n v="25.78833222259847"/>
  </r>
  <r>
    <x v="7"/>
    <x v="6"/>
    <x v="18"/>
    <x v="0"/>
    <n v="28.077974345862479"/>
  </r>
  <r>
    <x v="7"/>
    <x v="7"/>
    <x v="19"/>
    <x v="0"/>
    <n v="26.38788402032856"/>
  </r>
  <r>
    <x v="7"/>
    <x v="7"/>
    <x v="20"/>
    <x v="0"/>
    <n v="26.293370037775851"/>
  </r>
  <r>
    <x v="7"/>
    <x v="7"/>
    <x v="21"/>
    <x v="0"/>
    <n v="25.571591781339571"/>
  </r>
  <r>
    <x v="7"/>
    <x v="8"/>
    <x v="22"/>
    <x v="0"/>
    <n v="19.249293746831562"/>
  </r>
  <r>
    <x v="7"/>
    <x v="8"/>
    <x v="23"/>
    <x v="0"/>
    <n v="11.753731343283579"/>
  </r>
  <r>
    <x v="7"/>
    <x v="8"/>
    <x v="24"/>
    <x v="0"/>
    <n v="33.073593073593067"/>
  </r>
  <r>
    <x v="7"/>
    <x v="8"/>
    <x v="25"/>
    <x v="0"/>
    <n v="53.471696914150478"/>
  </r>
  <r>
    <x v="7"/>
    <x v="8"/>
    <x v="26"/>
    <x v="0"/>
    <n v="36.083833759630508"/>
  </r>
  <r>
    <x v="7"/>
    <x v="8"/>
    <x v="27"/>
    <x v="0"/>
    <n v="36.441586280814583"/>
  </r>
  <r>
    <x v="7"/>
    <x v="8"/>
    <x v="28"/>
    <x v="0"/>
    <n v="24.704918855894679"/>
  </r>
  <r>
    <x v="7"/>
    <x v="8"/>
    <x v="29"/>
    <x v="0"/>
    <n v="8.2819383259911898"/>
  </r>
  <r>
    <x v="7"/>
    <x v="8"/>
    <x v="30"/>
    <x v="0"/>
    <n v="28.861827056305408"/>
  </r>
  <r>
    <x v="7"/>
    <x v="8"/>
    <x v="31"/>
    <x v="0"/>
    <n v="36.787528779608699"/>
  </r>
  <r>
    <x v="7"/>
    <x v="8"/>
    <x v="32"/>
    <x v="0"/>
    <n v="34.446397188049211"/>
  </r>
  <r>
    <x v="7"/>
    <x v="8"/>
    <x v="33"/>
    <x v="0"/>
    <n v="9.4173277429325228"/>
  </r>
  <r>
    <x v="7"/>
    <x v="8"/>
    <x v="34"/>
    <x v="0"/>
    <n v="21.670190274841438"/>
  </r>
  <r>
    <x v="7"/>
    <x v="8"/>
    <x v="35"/>
    <x v="0"/>
    <n v="18.710832587287381"/>
  </r>
  <r>
    <x v="7"/>
    <x v="8"/>
    <x v="36"/>
    <x v="0"/>
    <n v="43.138514236780132"/>
  </r>
  <r>
    <x v="7"/>
    <x v="8"/>
    <x v="37"/>
    <x v="0"/>
    <n v="11.03574342059124"/>
  </r>
  <r>
    <x v="7"/>
    <x v="8"/>
    <x v="38"/>
    <x v="0"/>
    <n v="11.511423550087869"/>
  </r>
  <r>
    <x v="7"/>
    <x v="8"/>
    <x v="39"/>
    <x v="0"/>
    <n v="22.832618025751071"/>
  </r>
  <r>
    <x v="7"/>
    <x v="0"/>
    <x v="0"/>
    <x v="1"/>
    <n v="47.09317075754246"/>
  </r>
  <r>
    <x v="7"/>
    <x v="1"/>
    <x v="1"/>
    <x v="1"/>
    <n v="47.57156568807995"/>
  </r>
  <r>
    <x v="7"/>
    <x v="1"/>
    <x v="2"/>
    <x v="1"/>
    <n v="46.050545771135383"/>
  </r>
  <r>
    <x v="7"/>
    <x v="1"/>
    <x v="3"/>
    <x v="1"/>
    <n v="47.390527775740502"/>
  </r>
  <r>
    <x v="7"/>
    <x v="1"/>
    <x v="4"/>
    <x v="1"/>
    <n v="49.37038144986716"/>
  </r>
  <r>
    <x v="7"/>
    <x v="2"/>
    <x v="5"/>
    <x v="1"/>
    <n v="46.818070615609422"/>
  </r>
  <r>
    <x v="7"/>
    <x v="2"/>
    <x v="6"/>
    <x v="1"/>
    <n v="46.715191410224627"/>
  </r>
  <r>
    <x v="7"/>
    <x v="2"/>
    <x v="7"/>
    <x v="1"/>
    <n v="47.360471935599612"/>
  </r>
  <r>
    <x v="7"/>
    <x v="2"/>
    <x v="8"/>
    <x v="1"/>
    <n v="48.231000020525187"/>
  </r>
  <r>
    <x v="7"/>
    <x v="3"/>
    <x v="9"/>
    <x v="1"/>
    <n v="48.298416144148263"/>
  </r>
  <r>
    <x v="7"/>
    <x v="3"/>
    <x v="10"/>
    <x v="1"/>
    <n v="45.841923223752822"/>
  </r>
  <r>
    <x v="7"/>
    <x v="4"/>
    <x v="11"/>
    <x v="1"/>
    <n v="47.744048007077609"/>
  </r>
  <r>
    <x v="7"/>
    <x v="4"/>
    <x v="12"/>
    <x v="1"/>
    <n v="46.554323856485787"/>
  </r>
  <r>
    <x v="7"/>
    <x v="5"/>
    <x v="13"/>
    <x v="1"/>
    <n v="47.441602579937793"/>
  </r>
  <r>
    <x v="7"/>
    <x v="5"/>
    <x v="14"/>
    <x v="1"/>
    <n v="46.853106742425943"/>
  </r>
  <r>
    <x v="7"/>
    <x v="6"/>
    <x v="15"/>
    <x v="1"/>
    <n v="47.421404030044783"/>
  </r>
  <r>
    <x v="7"/>
    <x v="6"/>
    <x v="16"/>
    <x v="1"/>
    <n v="46.08525894772005"/>
  </r>
  <r>
    <x v="7"/>
    <x v="6"/>
    <x v="17"/>
    <x v="1"/>
    <n v="47.005044126938131"/>
  </r>
  <r>
    <x v="7"/>
    <x v="6"/>
    <x v="18"/>
    <x v="1"/>
    <n v="47.006877206776963"/>
  </r>
  <r>
    <x v="7"/>
    <x v="7"/>
    <x v="19"/>
    <x v="1"/>
    <n v="50.222431734622617"/>
  </r>
  <r>
    <x v="7"/>
    <x v="7"/>
    <x v="20"/>
    <x v="1"/>
    <n v="46.645853928826227"/>
  </r>
  <r>
    <x v="7"/>
    <x v="7"/>
    <x v="21"/>
    <x v="1"/>
    <n v="46.215413380405899"/>
  </r>
  <r>
    <x v="7"/>
    <x v="8"/>
    <x v="22"/>
    <x v="1"/>
    <n v="55.790150160367411"/>
  </r>
  <r>
    <x v="7"/>
    <x v="8"/>
    <x v="23"/>
    <x v="1"/>
    <n v="51.679104477611943"/>
  </r>
  <r>
    <x v="7"/>
    <x v="8"/>
    <x v="24"/>
    <x v="1"/>
    <n v="47.878787878787882"/>
  </r>
  <r>
    <x v="7"/>
    <x v="8"/>
    <x v="25"/>
    <x v="1"/>
    <n v="36.036512952372362"/>
  </r>
  <r>
    <x v="7"/>
    <x v="8"/>
    <x v="26"/>
    <x v="1"/>
    <n v="49.300062486614081"/>
  </r>
  <r>
    <x v="7"/>
    <x v="8"/>
    <x v="27"/>
    <x v="1"/>
    <n v="47.69560557341908"/>
  </r>
  <r>
    <x v="7"/>
    <x v="8"/>
    <x v="28"/>
    <x v="1"/>
    <n v="47.90654209895137"/>
  </r>
  <r>
    <x v="7"/>
    <x v="8"/>
    <x v="29"/>
    <x v="1"/>
    <n v="30.396475770925111"/>
  </r>
  <r>
    <x v="7"/>
    <x v="8"/>
    <x v="30"/>
    <x v="1"/>
    <n v="47.39205973892534"/>
  </r>
  <r>
    <x v="7"/>
    <x v="8"/>
    <x v="31"/>
    <x v="1"/>
    <n v="50.264284781823761"/>
  </r>
  <r>
    <x v="7"/>
    <x v="8"/>
    <x v="32"/>
    <x v="1"/>
    <n v="45.518453427065033"/>
  </r>
  <r>
    <x v="7"/>
    <x v="8"/>
    <x v="33"/>
    <x v="1"/>
    <n v="45.532375815321693"/>
  </r>
  <r>
    <x v="7"/>
    <x v="8"/>
    <x v="34"/>
    <x v="1"/>
    <n v="41.543340380549679"/>
  </r>
  <r>
    <x v="7"/>
    <x v="8"/>
    <x v="35"/>
    <x v="1"/>
    <n v="63.294538943598923"/>
  </r>
  <r>
    <x v="7"/>
    <x v="8"/>
    <x v="36"/>
    <x v="1"/>
    <n v="47.07771355170199"/>
  </r>
  <r>
    <x v="7"/>
    <x v="8"/>
    <x v="37"/>
    <x v="1"/>
    <n v="58.877137890108322"/>
  </r>
  <r>
    <x v="7"/>
    <x v="8"/>
    <x v="38"/>
    <x v="1"/>
    <n v="51.933216168717053"/>
  </r>
  <r>
    <x v="7"/>
    <x v="8"/>
    <x v="39"/>
    <x v="1"/>
    <n v="32.789699570815451"/>
  </r>
  <r>
    <x v="7"/>
    <x v="0"/>
    <x v="0"/>
    <x v="2"/>
    <n v="23.61248939653284"/>
  </r>
  <r>
    <x v="7"/>
    <x v="1"/>
    <x v="1"/>
    <x v="2"/>
    <n v="23.262875160180851"/>
  </r>
  <r>
    <x v="7"/>
    <x v="1"/>
    <x v="2"/>
    <x v="2"/>
    <n v="23.75924715339168"/>
  </r>
  <r>
    <x v="7"/>
    <x v="1"/>
    <x v="3"/>
    <x v="2"/>
    <n v="24.610567912233339"/>
  </r>
  <r>
    <x v="7"/>
    <x v="1"/>
    <x v="4"/>
    <x v="2"/>
    <n v="21.770272304663891"/>
  </r>
  <r>
    <x v="7"/>
    <x v="2"/>
    <x v="5"/>
    <x v="2"/>
    <n v="27.052202506450641"/>
  </r>
  <r>
    <x v="7"/>
    <x v="2"/>
    <x v="6"/>
    <x v="2"/>
    <n v="22.827107068108941"/>
  </r>
  <r>
    <x v="7"/>
    <x v="2"/>
    <x v="7"/>
    <x v="2"/>
    <n v="22.417003687310739"/>
  </r>
  <r>
    <x v="7"/>
    <x v="2"/>
    <x v="8"/>
    <x v="2"/>
    <n v="23.42042548000865"/>
  </r>
  <r>
    <x v="7"/>
    <x v="3"/>
    <x v="9"/>
    <x v="2"/>
    <n v="22.801179358173169"/>
  </r>
  <r>
    <x v="7"/>
    <x v="3"/>
    <x v="10"/>
    <x v="2"/>
    <n v="24.45476574616081"/>
  </r>
  <r>
    <x v="7"/>
    <x v="4"/>
    <x v="11"/>
    <x v="2"/>
    <n v="23.866973179916929"/>
  </r>
  <r>
    <x v="7"/>
    <x v="4"/>
    <x v="12"/>
    <x v="2"/>
    <n v="23.45446993752876"/>
  </r>
  <r>
    <x v="7"/>
    <x v="5"/>
    <x v="13"/>
    <x v="2"/>
    <n v="23.316004880737939"/>
  </r>
  <r>
    <x v="7"/>
    <x v="5"/>
    <x v="14"/>
    <x v="2"/>
    <n v="23.763822779372589"/>
  </r>
  <r>
    <x v="7"/>
    <x v="6"/>
    <x v="15"/>
    <x v="2"/>
    <n v="23.893192854019969"/>
  </r>
  <r>
    <x v="7"/>
    <x v="6"/>
    <x v="16"/>
    <x v="2"/>
    <n v="23.6814791319586"/>
  </r>
  <r>
    <x v="7"/>
    <x v="6"/>
    <x v="17"/>
    <x v="2"/>
    <n v="23.739538450143382"/>
  </r>
  <r>
    <x v="7"/>
    <x v="6"/>
    <x v="18"/>
    <x v="2"/>
    <n v="21.584899885971861"/>
  </r>
  <r>
    <x v="7"/>
    <x v="7"/>
    <x v="19"/>
    <x v="2"/>
    <n v="20.905700182739452"/>
  </r>
  <r>
    <x v="7"/>
    <x v="7"/>
    <x v="20"/>
    <x v="2"/>
    <n v="23.52273369676643"/>
  </r>
  <r>
    <x v="7"/>
    <x v="7"/>
    <x v="21"/>
    <x v="2"/>
    <n v="24.65880663132128"/>
  </r>
  <r>
    <x v="7"/>
    <x v="8"/>
    <x v="22"/>
    <x v="2"/>
    <n v="23.468386353712969"/>
  </r>
  <r>
    <x v="7"/>
    <x v="8"/>
    <x v="23"/>
    <x v="2"/>
    <n v="33.768656716417908"/>
  </r>
  <r>
    <x v="7"/>
    <x v="8"/>
    <x v="24"/>
    <x v="2"/>
    <n v="16.88311688311688"/>
  </r>
  <r>
    <x v="7"/>
    <x v="8"/>
    <x v="25"/>
    <x v="2"/>
    <n v="8.8218985970990786"/>
  </r>
  <r>
    <x v="7"/>
    <x v="8"/>
    <x v="26"/>
    <x v="2"/>
    <n v="13.740815779257989"/>
  </r>
  <r>
    <x v="7"/>
    <x v="8"/>
    <x v="27"/>
    <x v="2"/>
    <n v="13.5048231511254"/>
  </r>
  <r>
    <x v="7"/>
    <x v="8"/>
    <x v="28"/>
    <x v="2"/>
    <n v="24.421941525037852"/>
  </r>
  <r>
    <x v="7"/>
    <x v="8"/>
    <x v="29"/>
    <x v="2"/>
    <n v="53.480176211453752"/>
  </r>
  <r>
    <x v="7"/>
    <x v="8"/>
    <x v="30"/>
    <x v="2"/>
    <n v="20.530226135244011"/>
  </r>
  <r>
    <x v="7"/>
    <x v="8"/>
    <x v="31"/>
    <x v="2"/>
    <n v="10.611508152048209"/>
  </r>
  <r>
    <x v="7"/>
    <x v="8"/>
    <x v="32"/>
    <x v="2"/>
    <n v="17.135325131810198"/>
  </r>
  <r>
    <x v="7"/>
    <x v="8"/>
    <x v="33"/>
    <x v="2"/>
    <n v="39.511922646686529"/>
  </r>
  <r>
    <x v="7"/>
    <x v="8"/>
    <x v="34"/>
    <x v="2"/>
    <n v="29.70401691331924"/>
  </r>
  <r>
    <x v="7"/>
    <x v="8"/>
    <x v="35"/>
    <x v="2"/>
    <n v="16.830796777081471"/>
  </r>
  <r>
    <x v="7"/>
    <x v="8"/>
    <x v="36"/>
    <x v="2"/>
    <n v="8.8417897666452578"/>
  </r>
  <r>
    <x v="7"/>
    <x v="8"/>
    <x v="37"/>
    <x v="2"/>
    <n v="26.95663272799456"/>
  </r>
  <r>
    <x v="7"/>
    <x v="8"/>
    <x v="38"/>
    <x v="2"/>
    <n v="33.743409490333917"/>
  </r>
  <r>
    <x v="7"/>
    <x v="8"/>
    <x v="39"/>
    <x v="2"/>
    <n v="34.849785407725321"/>
  </r>
  <r>
    <x v="7"/>
    <x v="0"/>
    <x v="0"/>
    <x v="3"/>
    <n v="3.3499806746148351"/>
  </r>
  <r>
    <x v="7"/>
    <x v="1"/>
    <x v="1"/>
    <x v="3"/>
    <n v="3.2126559635691931"/>
  </r>
  <r>
    <x v="7"/>
    <x v="1"/>
    <x v="2"/>
    <x v="3"/>
    <n v="3.4422079392242009"/>
  </r>
  <r>
    <x v="7"/>
    <x v="1"/>
    <x v="3"/>
    <x v="3"/>
    <n v="3.2879662267072169"/>
  </r>
  <r>
    <x v="7"/>
    <x v="1"/>
    <x v="4"/>
    <x v="3"/>
    <n v="3.4063147802143039"/>
  </r>
  <r>
    <x v="7"/>
    <x v="2"/>
    <x v="5"/>
    <x v="3"/>
    <n v="3.209135925088185"/>
  </r>
  <r>
    <x v="7"/>
    <x v="2"/>
    <x v="6"/>
    <x v="3"/>
    <n v="3.5246743224996151"/>
  </r>
  <r>
    <x v="7"/>
    <x v="2"/>
    <x v="7"/>
    <x v="3"/>
    <n v="3.223288142750516"/>
  </r>
  <r>
    <x v="7"/>
    <x v="2"/>
    <x v="8"/>
    <x v="3"/>
    <n v="3.4091597818593291"/>
  </r>
  <r>
    <x v="7"/>
    <x v="3"/>
    <x v="9"/>
    <x v="3"/>
    <n v="3.166627719060505"/>
  </r>
  <r>
    <x v="7"/>
    <x v="3"/>
    <x v="10"/>
    <x v="3"/>
    <n v="3.5403318976935498"/>
  </r>
  <r>
    <x v="7"/>
    <x v="4"/>
    <x v="11"/>
    <x v="3"/>
    <n v="3.4615079581826871"/>
  </r>
  <r>
    <x v="7"/>
    <x v="4"/>
    <x v="12"/>
    <x v="3"/>
    <n v="3.2753283097108041"/>
  </r>
  <r>
    <x v="7"/>
    <x v="5"/>
    <x v="13"/>
    <x v="3"/>
    <n v="3.0319975518909148"/>
  </r>
  <r>
    <x v="7"/>
    <x v="5"/>
    <x v="14"/>
    <x v="3"/>
    <n v="3.499829459936338"/>
  </r>
  <r>
    <x v="7"/>
    <x v="6"/>
    <x v="15"/>
    <x v="3"/>
    <n v="2.83250649397226"/>
  </r>
  <r>
    <x v="7"/>
    <x v="6"/>
    <x v="16"/>
    <x v="3"/>
    <n v="3.6002893676587"/>
  </r>
  <r>
    <x v="7"/>
    <x v="6"/>
    <x v="17"/>
    <x v="3"/>
    <n v="3.4670852003200041"/>
  </r>
  <r>
    <x v="7"/>
    <x v="6"/>
    <x v="18"/>
    <x v="3"/>
    <n v="3.3302485613887178"/>
  </r>
  <r>
    <x v="7"/>
    <x v="7"/>
    <x v="19"/>
    <x v="3"/>
    <n v="2.4839840623093852"/>
  </r>
  <r>
    <x v="7"/>
    <x v="7"/>
    <x v="20"/>
    <x v="3"/>
    <n v="3.5380423366314928"/>
  </r>
  <r>
    <x v="7"/>
    <x v="7"/>
    <x v="21"/>
    <x v="3"/>
    <n v="3.5541882069332482"/>
  </r>
  <r>
    <x v="7"/>
    <x v="8"/>
    <x v="22"/>
    <x v="3"/>
    <n v="1.492169739088028"/>
  </r>
  <r>
    <x v="7"/>
    <x v="8"/>
    <x v="23"/>
    <x v="3"/>
    <n v="2.7985074626865671"/>
  </r>
  <r>
    <x v="7"/>
    <x v="8"/>
    <x v="24"/>
    <x v="3"/>
    <n v="2.1645021645021649"/>
  </r>
  <r>
    <x v="7"/>
    <x v="8"/>
    <x v="25"/>
    <x v="3"/>
    <n v="1.669891536378094"/>
  </r>
  <r>
    <x v="7"/>
    <x v="8"/>
    <x v="26"/>
    <x v="3"/>
    <n v="0.87528797449737961"/>
  </r>
  <r>
    <x v="7"/>
    <x v="8"/>
    <x v="27"/>
    <x v="3"/>
    <n v="2.3579849946409439"/>
  </r>
  <r>
    <x v="7"/>
    <x v="8"/>
    <x v="28"/>
    <x v="3"/>
    <n v="2.9665975201160948"/>
  </r>
  <r>
    <x v="7"/>
    <x v="8"/>
    <x v="29"/>
    <x v="3"/>
    <n v="7.8414096916299556"/>
  </r>
  <r>
    <x v="7"/>
    <x v="8"/>
    <x v="30"/>
    <x v="3"/>
    <n v="3.2158870695252411"/>
  </r>
  <r>
    <x v="7"/>
    <x v="8"/>
    <x v="31"/>
    <x v="3"/>
    <n v="2.3366782865193341"/>
  </r>
  <r>
    <x v="7"/>
    <x v="8"/>
    <x v="32"/>
    <x v="3"/>
    <n v="2.8998242530755709"/>
  </r>
  <r>
    <x v="7"/>
    <x v="8"/>
    <x v="33"/>
    <x v="3"/>
    <n v="5.5383737950592504"/>
  </r>
  <r>
    <x v="7"/>
    <x v="8"/>
    <x v="34"/>
    <x v="3"/>
    <n v="7.0824524312896404"/>
  </r>
  <r>
    <x v="7"/>
    <x v="8"/>
    <x v="35"/>
    <x v="3"/>
    <n v="1.1638316920322289"/>
  </r>
  <r>
    <x v="7"/>
    <x v="8"/>
    <x v="36"/>
    <x v="3"/>
    <n v="0.94198244487261829"/>
  </r>
  <r>
    <x v="7"/>
    <x v="8"/>
    <x v="37"/>
    <x v="3"/>
    <n v="3.1304859613058889"/>
  </r>
  <r>
    <x v="7"/>
    <x v="8"/>
    <x v="38"/>
    <x v="3"/>
    <n v="2.8119507908611601"/>
  </r>
  <r>
    <x v="7"/>
    <x v="8"/>
    <x v="39"/>
    <x v="3"/>
    <n v="9.5278969957081543"/>
  </r>
  <r>
    <x v="8"/>
    <x v="0"/>
    <x v="0"/>
    <x v="0"/>
    <n v="26.252865003911321"/>
  </r>
  <r>
    <x v="8"/>
    <x v="1"/>
    <x v="1"/>
    <x v="0"/>
    <n v="27.210549255459728"/>
  </r>
  <r>
    <x v="8"/>
    <x v="1"/>
    <x v="2"/>
    <x v="0"/>
    <n v="25.205729872360131"/>
  </r>
  <r>
    <x v="8"/>
    <x v="1"/>
    <x v="3"/>
    <x v="0"/>
    <n v="24.757245307138952"/>
  </r>
  <r>
    <x v="8"/>
    <x v="1"/>
    <x v="4"/>
    <x v="0"/>
    <n v="30.89063403342232"/>
  </r>
  <r>
    <x v="8"/>
    <x v="2"/>
    <x v="5"/>
    <x v="0"/>
    <n v="23.888878047254831"/>
  </r>
  <r>
    <x v="8"/>
    <x v="2"/>
    <x v="6"/>
    <x v="0"/>
    <n v="26.881083993597588"/>
  </r>
  <r>
    <x v="8"/>
    <x v="2"/>
    <x v="7"/>
    <x v="0"/>
    <n v="27.055838280344901"/>
  </r>
  <r>
    <x v="8"/>
    <x v="2"/>
    <x v="8"/>
    <x v="0"/>
    <n v="25.85240860390395"/>
  </r>
  <r>
    <x v="8"/>
    <x v="3"/>
    <x v="9"/>
    <x v="0"/>
    <n v="26.071373238644071"/>
  </r>
  <r>
    <x v="8"/>
    <x v="3"/>
    <x v="10"/>
    <x v="0"/>
    <n v="26.44266929378594"/>
  </r>
  <r>
    <x v="8"/>
    <x v="4"/>
    <x v="11"/>
    <x v="0"/>
    <n v="26.796137908025351"/>
  </r>
  <r>
    <x v="8"/>
    <x v="4"/>
    <x v="12"/>
    <x v="0"/>
    <n v="25.882147289677039"/>
  </r>
  <r>
    <x v="8"/>
    <x v="5"/>
    <x v="13"/>
    <x v="0"/>
    <n v="25.97167206450759"/>
  </r>
  <r>
    <x v="8"/>
    <x v="5"/>
    <x v="14"/>
    <x v="0"/>
    <n v="26.43011151193469"/>
  </r>
  <r>
    <x v="8"/>
    <x v="6"/>
    <x v="15"/>
    <x v="0"/>
    <n v="25.682135454978621"/>
  </r>
  <r>
    <x v="8"/>
    <x v="6"/>
    <x v="16"/>
    <x v="0"/>
    <n v="27.149611203648622"/>
  </r>
  <r>
    <x v="8"/>
    <x v="6"/>
    <x v="17"/>
    <x v="0"/>
    <n v="25.988176027094521"/>
  </r>
  <r>
    <x v="8"/>
    <x v="6"/>
    <x v="18"/>
    <x v="0"/>
    <n v="27.577277377313099"/>
  </r>
  <r>
    <x v="8"/>
    <x v="7"/>
    <x v="19"/>
    <x v="0"/>
    <n v="24.315267312144179"/>
  </r>
  <r>
    <x v="8"/>
    <x v="7"/>
    <x v="20"/>
    <x v="0"/>
    <n v="26.104850160781179"/>
  </r>
  <r>
    <x v="8"/>
    <x v="7"/>
    <x v="21"/>
    <x v="0"/>
    <n v="27.095661868214879"/>
  </r>
  <r>
    <x v="8"/>
    <x v="8"/>
    <x v="22"/>
    <x v="0"/>
    <n v="19.246361262038771"/>
  </r>
  <r>
    <x v="8"/>
    <x v="8"/>
    <x v="23"/>
    <x v="0"/>
    <n v="10.18691588785047"/>
  </r>
  <r>
    <x v="8"/>
    <x v="8"/>
    <x v="24"/>
    <x v="0"/>
    <n v="45.877551020408163"/>
  </r>
  <r>
    <x v="8"/>
    <x v="8"/>
    <x v="25"/>
    <x v="0"/>
    <n v="46.469114781692618"/>
  </r>
  <r>
    <x v="8"/>
    <x v="8"/>
    <x v="26"/>
    <x v="0"/>
    <n v="35.171315651034043"/>
  </r>
  <r>
    <x v="8"/>
    <x v="8"/>
    <x v="27"/>
    <x v="0"/>
    <n v="29.804727646454261"/>
  </r>
  <r>
    <x v="8"/>
    <x v="8"/>
    <x v="28"/>
    <x v="0"/>
    <n v="22.398562291416599"/>
  </r>
  <r>
    <x v="8"/>
    <x v="8"/>
    <x v="29"/>
    <x v="0"/>
    <n v="12.69406392694064"/>
  </r>
  <r>
    <x v="8"/>
    <x v="8"/>
    <x v="30"/>
    <x v="0"/>
    <n v="30.019269995630371"/>
  </r>
  <r>
    <x v="8"/>
    <x v="8"/>
    <x v="31"/>
    <x v="0"/>
    <n v="30.363511291947979"/>
  </r>
  <r>
    <x v="8"/>
    <x v="8"/>
    <x v="32"/>
    <x v="0"/>
    <n v="34.641638225255967"/>
  </r>
  <r>
    <x v="8"/>
    <x v="8"/>
    <x v="33"/>
    <x v="0"/>
    <n v="11.47955457544656"/>
  </r>
  <r>
    <x v="8"/>
    <x v="8"/>
    <x v="34"/>
    <x v="0"/>
    <n v="18.997912317327771"/>
  </r>
  <r>
    <x v="8"/>
    <x v="8"/>
    <x v="35"/>
    <x v="0"/>
    <n v="21.038495971351839"/>
  </r>
  <r>
    <x v="8"/>
    <x v="8"/>
    <x v="36"/>
    <x v="0"/>
    <n v="33.464216522653579"/>
  </r>
  <r>
    <x v="8"/>
    <x v="8"/>
    <x v="37"/>
    <x v="0"/>
    <n v="20.097871516757412"/>
  </r>
  <r>
    <x v="8"/>
    <x v="8"/>
    <x v="38"/>
    <x v="0"/>
    <n v="9.5113438045375212"/>
  </r>
  <r>
    <x v="8"/>
    <x v="8"/>
    <x v="39"/>
    <x v="0"/>
    <n v="33.447979363714531"/>
  </r>
  <r>
    <x v="8"/>
    <x v="0"/>
    <x v="0"/>
    <x v="1"/>
    <n v="49.261629221520273"/>
  </r>
  <r>
    <x v="8"/>
    <x v="1"/>
    <x v="1"/>
    <x v="1"/>
    <n v="49.16807340402692"/>
  </r>
  <r>
    <x v="8"/>
    <x v="1"/>
    <x v="2"/>
    <x v="1"/>
    <n v="50.222036599138121"/>
  </r>
  <r>
    <x v="8"/>
    <x v="1"/>
    <x v="3"/>
    <x v="1"/>
    <n v="48.148069599776619"/>
  </r>
  <r>
    <x v="8"/>
    <x v="1"/>
    <x v="4"/>
    <x v="1"/>
    <n v="48.349567021266417"/>
  </r>
  <r>
    <x v="8"/>
    <x v="2"/>
    <x v="5"/>
    <x v="1"/>
    <n v="48.224406132023567"/>
  </r>
  <r>
    <x v="8"/>
    <x v="2"/>
    <x v="6"/>
    <x v="1"/>
    <n v="48.054544656775768"/>
  </r>
  <r>
    <x v="8"/>
    <x v="2"/>
    <x v="7"/>
    <x v="1"/>
    <n v="51.059575694807648"/>
  </r>
  <r>
    <x v="8"/>
    <x v="2"/>
    <x v="8"/>
    <x v="1"/>
    <n v="49.88673104668468"/>
  </r>
  <r>
    <x v="8"/>
    <x v="3"/>
    <x v="9"/>
    <x v="1"/>
    <n v="50.315152705891983"/>
  </r>
  <r>
    <x v="8"/>
    <x v="3"/>
    <x v="10"/>
    <x v="1"/>
    <n v="48.159853190398707"/>
  </r>
  <r>
    <x v="8"/>
    <x v="4"/>
    <x v="11"/>
    <x v="1"/>
    <n v="48.435691676558363"/>
  </r>
  <r>
    <x v="8"/>
    <x v="4"/>
    <x v="12"/>
    <x v="1"/>
    <n v="49.863740554318007"/>
  </r>
  <r>
    <x v="8"/>
    <x v="5"/>
    <x v="13"/>
    <x v="1"/>
    <n v="50.029861257267697"/>
  </r>
  <r>
    <x v="8"/>
    <x v="5"/>
    <x v="14"/>
    <x v="1"/>
    <n v="48.860450736699583"/>
  </r>
  <r>
    <x v="8"/>
    <x v="6"/>
    <x v="15"/>
    <x v="1"/>
    <n v="49.137810202238022"/>
  </r>
  <r>
    <x v="8"/>
    <x v="6"/>
    <x v="16"/>
    <x v="1"/>
    <n v="48.849217435197133"/>
  </r>
  <r>
    <x v="8"/>
    <x v="6"/>
    <x v="17"/>
    <x v="1"/>
    <n v="49.908211581552138"/>
  </r>
  <r>
    <x v="8"/>
    <x v="6"/>
    <x v="18"/>
    <x v="1"/>
    <n v="49.238255614599822"/>
  </r>
  <r>
    <x v="8"/>
    <x v="7"/>
    <x v="19"/>
    <x v="1"/>
    <n v="51.862411790383888"/>
  </r>
  <r>
    <x v="8"/>
    <x v="7"/>
    <x v="20"/>
    <x v="1"/>
    <n v="47.355461406642881"/>
  </r>
  <r>
    <x v="8"/>
    <x v="7"/>
    <x v="21"/>
    <x v="1"/>
    <n v="49.24715551041588"/>
  </r>
  <r>
    <x v="8"/>
    <x v="8"/>
    <x v="22"/>
    <x v="1"/>
    <n v="59.286804746971292"/>
  </r>
  <r>
    <x v="8"/>
    <x v="8"/>
    <x v="23"/>
    <x v="1"/>
    <n v="42.803738317757009"/>
  </r>
  <r>
    <x v="8"/>
    <x v="8"/>
    <x v="24"/>
    <x v="1"/>
    <n v="46.448979591836739"/>
  </r>
  <r>
    <x v="8"/>
    <x v="8"/>
    <x v="25"/>
    <x v="1"/>
    <n v="48.472453257004339"/>
  </r>
  <r>
    <x v="8"/>
    <x v="8"/>
    <x v="26"/>
    <x v="1"/>
    <n v="50.418058575273619"/>
  </r>
  <r>
    <x v="8"/>
    <x v="8"/>
    <x v="27"/>
    <x v="1"/>
    <n v="51.49023638232272"/>
  </r>
  <r>
    <x v="8"/>
    <x v="8"/>
    <x v="28"/>
    <x v="1"/>
    <n v="52.008187489919237"/>
  </r>
  <r>
    <x v="8"/>
    <x v="8"/>
    <x v="29"/>
    <x v="1"/>
    <n v="33.515981735159819"/>
  </r>
  <r>
    <x v="8"/>
    <x v="8"/>
    <x v="30"/>
    <x v="1"/>
    <n v="48.586154974725652"/>
  </r>
  <r>
    <x v="8"/>
    <x v="8"/>
    <x v="31"/>
    <x v="1"/>
    <n v="49.472823772633021"/>
  </r>
  <r>
    <x v="8"/>
    <x v="8"/>
    <x v="32"/>
    <x v="1"/>
    <n v="47.781569965870297"/>
  </r>
  <r>
    <x v="8"/>
    <x v="8"/>
    <x v="33"/>
    <x v="1"/>
    <n v="46.344520908913019"/>
  </r>
  <r>
    <x v="8"/>
    <x v="8"/>
    <x v="34"/>
    <x v="1"/>
    <n v="43.110647181628387"/>
  </r>
  <r>
    <x v="8"/>
    <x v="8"/>
    <x v="35"/>
    <x v="1"/>
    <n v="61.235452103849603"/>
  </r>
  <r>
    <x v="8"/>
    <x v="8"/>
    <x v="36"/>
    <x v="1"/>
    <n v="52.214106657359629"/>
  </r>
  <r>
    <x v="8"/>
    <x v="8"/>
    <x v="37"/>
    <x v="1"/>
    <n v="56.643070096008643"/>
  </r>
  <r>
    <x v="8"/>
    <x v="8"/>
    <x v="38"/>
    <x v="1"/>
    <n v="56.195462478184993"/>
  </r>
  <r>
    <x v="8"/>
    <x v="8"/>
    <x v="39"/>
    <x v="1"/>
    <n v="40.58469475494411"/>
  </r>
  <r>
    <x v="8"/>
    <x v="0"/>
    <x v="0"/>
    <x v="2"/>
    <n v="22.29214369512685"/>
  </r>
  <r>
    <x v="8"/>
    <x v="1"/>
    <x v="1"/>
    <x v="2"/>
    <n v="21.09732378099979"/>
  </r>
  <r>
    <x v="8"/>
    <x v="1"/>
    <x v="2"/>
    <x v="2"/>
    <n v="22.22794591229037"/>
  </r>
  <r>
    <x v="8"/>
    <x v="1"/>
    <x v="3"/>
    <x v="2"/>
    <n v="25.148338861543799"/>
  </r>
  <r>
    <x v="8"/>
    <x v="1"/>
    <x v="4"/>
    <x v="2"/>
    <n v="19.157785148807669"/>
  </r>
  <r>
    <x v="8"/>
    <x v="2"/>
    <x v="5"/>
    <x v="2"/>
    <n v="25.688792237653988"/>
  </r>
  <r>
    <x v="8"/>
    <x v="2"/>
    <x v="6"/>
    <x v="2"/>
    <n v="22.944050789741571"/>
  </r>
  <r>
    <x v="8"/>
    <x v="2"/>
    <x v="7"/>
    <x v="2"/>
    <n v="19.604342326318381"/>
  </r>
  <r>
    <x v="8"/>
    <x v="2"/>
    <x v="8"/>
    <x v="2"/>
    <n v="22.091455736372829"/>
  </r>
  <r>
    <x v="8"/>
    <x v="3"/>
    <x v="9"/>
    <x v="2"/>
    <n v="21.547271183290299"/>
  </r>
  <r>
    <x v="8"/>
    <x v="3"/>
    <x v="10"/>
    <x v="2"/>
    <n v="23.071132196054538"/>
  </r>
  <r>
    <x v="8"/>
    <x v="4"/>
    <x v="11"/>
    <x v="2"/>
    <n v="22.66430290683769"/>
  </r>
  <r>
    <x v="8"/>
    <x v="4"/>
    <x v="12"/>
    <x v="2"/>
    <n v="22.00385390151737"/>
  </r>
  <r>
    <x v="8"/>
    <x v="5"/>
    <x v="13"/>
    <x v="2"/>
    <n v="21.638868458566201"/>
  </r>
  <r>
    <x v="8"/>
    <x v="5"/>
    <x v="14"/>
    <x v="2"/>
    <n v="22.62655223040996"/>
  </r>
  <r>
    <x v="8"/>
    <x v="6"/>
    <x v="15"/>
    <x v="2"/>
    <n v="22.73448457899282"/>
  </r>
  <r>
    <x v="8"/>
    <x v="6"/>
    <x v="16"/>
    <x v="2"/>
    <n v="22.02470806450717"/>
  </r>
  <r>
    <x v="8"/>
    <x v="6"/>
    <x v="17"/>
    <x v="2"/>
    <n v="21.754812541033321"/>
  </r>
  <r>
    <x v="8"/>
    <x v="6"/>
    <x v="18"/>
    <x v="2"/>
    <n v="20.676868269893269"/>
  </r>
  <r>
    <x v="8"/>
    <x v="7"/>
    <x v="19"/>
    <x v="2"/>
    <n v="21.74271302108594"/>
  </r>
  <r>
    <x v="8"/>
    <x v="7"/>
    <x v="20"/>
    <x v="2"/>
    <n v="23.997997539249329"/>
  </r>
  <r>
    <x v="8"/>
    <x v="7"/>
    <x v="21"/>
    <x v="2"/>
    <n v="21.603767902877909"/>
  </r>
  <r>
    <x v="8"/>
    <x v="8"/>
    <x v="22"/>
    <x v="2"/>
    <n v="20.28209417828052"/>
  </r>
  <r>
    <x v="8"/>
    <x v="8"/>
    <x v="23"/>
    <x v="2"/>
    <n v="43.271028037383182"/>
  </r>
  <r>
    <x v="8"/>
    <x v="8"/>
    <x v="24"/>
    <x v="2"/>
    <n v="6.7755102040816322"/>
  </r>
  <r>
    <x v="8"/>
    <x v="8"/>
    <x v="25"/>
    <x v="2"/>
    <n v="4.3216903648422216"/>
  </r>
  <r>
    <x v="8"/>
    <x v="8"/>
    <x v="26"/>
    <x v="2"/>
    <n v="13.404645446933889"/>
  </r>
  <r>
    <x v="8"/>
    <x v="8"/>
    <x v="27"/>
    <x v="2"/>
    <n v="16.855087358684479"/>
  </r>
  <r>
    <x v="8"/>
    <x v="8"/>
    <x v="28"/>
    <x v="2"/>
    <n v="23.605629384785239"/>
  </r>
  <r>
    <x v="8"/>
    <x v="8"/>
    <x v="29"/>
    <x v="2"/>
    <n v="49.315068493150683"/>
  </r>
  <r>
    <x v="8"/>
    <x v="8"/>
    <x v="30"/>
    <x v="2"/>
    <n v="18.52380179986433"/>
  </r>
  <r>
    <x v="8"/>
    <x v="8"/>
    <x v="31"/>
    <x v="2"/>
    <n v="17.914599914181998"/>
  </r>
  <r>
    <x v="8"/>
    <x v="8"/>
    <x v="32"/>
    <x v="2"/>
    <n v="15.61433447098976"/>
  </r>
  <r>
    <x v="8"/>
    <x v="8"/>
    <x v="33"/>
    <x v="2"/>
    <n v="36.13004970440673"/>
  </r>
  <r>
    <x v="8"/>
    <x v="8"/>
    <x v="34"/>
    <x v="2"/>
    <n v="34.759916492693108"/>
  </r>
  <r>
    <x v="8"/>
    <x v="8"/>
    <x v="35"/>
    <x v="2"/>
    <n v="17.00984780662489"/>
  </r>
  <r>
    <x v="8"/>
    <x v="8"/>
    <x v="36"/>
    <x v="2"/>
    <n v="13.73054977900969"/>
  </r>
  <r>
    <x v="8"/>
    <x v="8"/>
    <x v="37"/>
    <x v="2"/>
    <n v="21.84276670472412"/>
  </r>
  <r>
    <x v="8"/>
    <x v="8"/>
    <x v="38"/>
    <x v="2"/>
    <n v="32.809773123909252"/>
  </r>
  <r>
    <x v="8"/>
    <x v="8"/>
    <x v="39"/>
    <x v="2"/>
    <n v="21.668099742046429"/>
  </r>
  <r>
    <x v="8"/>
    <x v="0"/>
    <x v="0"/>
    <x v="3"/>
    <n v="2.1933620794415538"/>
  </r>
  <r>
    <x v="8"/>
    <x v="1"/>
    <x v="1"/>
    <x v="3"/>
    <n v="2.5240535595135629"/>
  </r>
  <r>
    <x v="8"/>
    <x v="1"/>
    <x v="2"/>
    <x v="3"/>
    <n v="2.344287616211385"/>
  </r>
  <r>
    <x v="8"/>
    <x v="1"/>
    <x v="3"/>
    <x v="3"/>
    <n v="1.9463462315406299"/>
  </r>
  <r>
    <x v="8"/>
    <x v="1"/>
    <x v="4"/>
    <x v="3"/>
    <n v="1.602013796503611"/>
  </r>
  <r>
    <x v="8"/>
    <x v="2"/>
    <x v="5"/>
    <x v="3"/>
    <n v="2.1979235830676069"/>
  </r>
  <r>
    <x v="8"/>
    <x v="2"/>
    <x v="6"/>
    <x v="3"/>
    <n v="2.1203205598850889"/>
  </r>
  <r>
    <x v="8"/>
    <x v="2"/>
    <x v="7"/>
    <x v="3"/>
    <n v="2.2802436985290679"/>
  </r>
  <r>
    <x v="8"/>
    <x v="2"/>
    <x v="8"/>
    <x v="3"/>
    <n v="2.1694046130385298"/>
  </r>
  <r>
    <x v="8"/>
    <x v="3"/>
    <x v="9"/>
    <x v="3"/>
    <n v="2.0662028721736529"/>
  </r>
  <r>
    <x v="8"/>
    <x v="3"/>
    <x v="10"/>
    <x v="3"/>
    <n v="2.326345319760823"/>
  </r>
  <r>
    <x v="8"/>
    <x v="4"/>
    <x v="11"/>
    <x v="3"/>
    <n v="2.1038675085785941"/>
  </r>
  <r>
    <x v="8"/>
    <x v="4"/>
    <x v="12"/>
    <x v="3"/>
    <n v="2.2502582544876089"/>
  </r>
  <r>
    <x v="8"/>
    <x v="5"/>
    <x v="13"/>
    <x v="3"/>
    <n v="2.359598219658519"/>
  </r>
  <r>
    <x v="8"/>
    <x v="5"/>
    <x v="14"/>
    <x v="3"/>
    <n v="2.082885520955791"/>
  </r>
  <r>
    <x v="8"/>
    <x v="6"/>
    <x v="15"/>
    <x v="3"/>
    <n v="2.4455697637905018"/>
  </r>
  <r>
    <x v="8"/>
    <x v="6"/>
    <x v="16"/>
    <x v="3"/>
    <n v="1.976463296647097"/>
  </r>
  <r>
    <x v="8"/>
    <x v="6"/>
    <x v="17"/>
    <x v="3"/>
    <n v="2.3487998503200278"/>
  </r>
  <r>
    <x v="8"/>
    <x v="6"/>
    <x v="18"/>
    <x v="3"/>
    <n v="2.5075987381938298"/>
  </r>
  <r>
    <x v="8"/>
    <x v="7"/>
    <x v="19"/>
    <x v="3"/>
    <n v="2.0796078763859782"/>
  </r>
  <r>
    <x v="8"/>
    <x v="7"/>
    <x v="20"/>
    <x v="3"/>
    <n v="2.54169089332661"/>
  </r>
  <r>
    <x v="8"/>
    <x v="7"/>
    <x v="21"/>
    <x v="3"/>
    <n v="2.0534147184913372"/>
  </r>
  <r>
    <x v="8"/>
    <x v="8"/>
    <x v="22"/>
    <x v="3"/>
    <n v="1.1847398127093911"/>
  </r>
  <r>
    <x v="8"/>
    <x v="8"/>
    <x v="23"/>
    <x v="3"/>
    <n v="3.7383177570093449"/>
  </r>
  <r>
    <x v="8"/>
    <x v="8"/>
    <x v="24"/>
    <x v="3"/>
    <n v="0.89795918367346939"/>
  </r>
  <r>
    <x v="8"/>
    <x v="8"/>
    <x v="25"/>
    <x v="3"/>
    <n v="0.73674159646080162"/>
  </r>
  <r>
    <x v="8"/>
    <x v="8"/>
    <x v="26"/>
    <x v="3"/>
    <n v="1.005980326758465"/>
  </r>
  <r>
    <x v="8"/>
    <x v="8"/>
    <x v="27"/>
    <x v="3"/>
    <n v="1.8499486125385409"/>
  </r>
  <r>
    <x v="8"/>
    <x v="8"/>
    <x v="28"/>
    <x v="3"/>
    <n v="1.9876208338789161"/>
  </r>
  <r>
    <x v="8"/>
    <x v="8"/>
    <x v="29"/>
    <x v="3"/>
    <n v="4.474885844748858"/>
  </r>
  <r>
    <x v="8"/>
    <x v="8"/>
    <x v="30"/>
    <x v="3"/>
    <n v="2.8707732297796378"/>
  </r>
  <r>
    <x v="8"/>
    <x v="8"/>
    <x v="31"/>
    <x v="3"/>
    <n v="2.2490650212369978"/>
  </r>
  <r>
    <x v="8"/>
    <x v="8"/>
    <x v="32"/>
    <x v="3"/>
    <n v="1.9624573378839589"/>
  </r>
  <r>
    <x v="8"/>
    <x v="8"/>
    <x v="33"/>
    <x v="3"/>
    <n v="6.0458748112336806"/>
  </r>
  <r>
    <x v="8"/>
    <x v="8"/>
    <x v="34"/>
    <x v="3"/>
    <n v="3.131524008350731"/>
  </r>
  <r>
    <x v="8"/>
    <x v="8"/>
    <x v="35"/>
    <x v="3"/>
    <n v="0.71620411817367946"/>
  </r>
  <r>
    <x v="8"/>
    <x v="8"/>
    <x v="36"/>
    <x v="3"/>
    <n v="0.59112704097714963"/>
  </r>
  <r>
    <x v="8"/>
    <x v="8"/>
    <x v="37"/>
    <x v="3"/>
    <n v="1.4162916825098191"/>
  </r>
  <r>
    <x v="8"/>
    <x v="8"/>
    <x v="38"/>
    <x v="3"/>
    <n v="1.483420593368237"/>
  </r>
  <r>
    <x v="8"/>
    <x v="8"/>
    <x v="39"/>
    <x v="3"/>
    <n v="4.2992261392949267"/>
  </r>
  <r>
    <x v="9"/>
    <x v="0"/>
    <x v="0"/>
    <x v="0"/>
    <n v="27.999670881521279"/>
  </r>
  <r>
    <x v="9"/>
    <x v="1"/>
    <x v="1"/>
    <x v="0"/>
    <n v="28.743027746074539"/>
  </r>
  <r>
    <x v="9"/>
    <x v="1"/>
    <x v="2"/>
    <x v="0"/>
    <n v="27.575163298603201"/>
  </r>
  <r>
    <x v="9"/>
    <x v="1"/>
    <x v="3"/>
    <x v="0"/>
    <n v="27.620496745017299"/>
  </r>
  <r>
    <x v="9"/>
    <x v="1"/>
    <x v="4"/>
    <x v="0"/>
    <n v="28.689698446242399"/>
  </r>
  <r>
    <x v="9"/>
    <x v="2"/>
    <x v="5"/>
    <x v="0"/>
    <n v="25.257490834594432"/>
  </r>
  <r>
    <x v="9"/>
    <x v="2"/>
    <x v="6"/>
    <x v="0"/>
    <n v="28.338380298570531"/>
  </r>
  <r>
    <x v="9"/>
    <x v="2"/>
    <x v="7"/>
    <x v="0"/>
    <n v="29.181637637208642"/>
  </r>
  <r>
    <x v="9"/>
    <x v="2"/>
    <x v="8"/>
    <x v="0"/>
    <n v="28.785713843093379"/>
  </r>
  <r>
    <x v="9"/>
    <x v="3"/>
    <x v="9"/>
    <x v="0"/>
    <n v="28.13899567275168"/>
  </r>
  <r>
    <x v="9"/>
    <x v="3"/>
    <x v="10"/>
    <x v="0"/>
    <n v="27.855127820140691"/>
  </r>
  <r>
    <x v="9"/>
    <x v="4"/>
    <x v="11"/>
    <x v="0"/>
    <n v="27.732327211686311"/>
  </r>
  <r>
    <x v="9"/>
    <x v="4"/>
    <x v="12"/>
    <x v="0"/>
    <n v="28.15339576270776"/>
  </r>
  <r>
    <x v="9"/>
    <x v="5"/>
    <x v="13"/>
    <x v="0"/>
    <n v="27.535339552495142"/>
  </r>
  <r>
    <x v="9"/>
    <x v="5"/>
    <x v="14"/>
    <x v="0"/>
    <n v="28.151102617895042"/>
  </r>
  <r>
    <x v="9"/>
    <x v="6"/>
    <x v="15"/>
    <x v="0"/>
    <n v="27.10554699515821"/>
  </r>
  <r>
    <x v="9"/>
    <x v="6"/>
    <x v="16"/>
    <x v="0"/>
    <n v="28.111581667486512"/>
  </r>
  <r>
    <x v="9"/>
    <x v="6"/>
    <x v="17"/>
    <x v="0"/>
    <n v="27.859621323570469"/>
  </r>
  <r>
    <x v="9"/>
    <x v="6"/>
    <x v="18"/>
    <x v="0"/>
    <n v="30.610004648361659"/>
  </r>
  <r>
    <x v="9"/>
    <x v="7"/>
    <x v="19"/>
    <x v="0"/>
    <n v="26.510548241122571"/>
  </r>
  <r>
    <x v="9"/>
    <x v="7"/>
    <x v="20"/>
    <x v="0"/>
    <n v="26.227542833307879"/>
  </r>
  <r>
    <x v="9"/>
    <x v="7"/>
    <x v="21"/>
    <x v="0"/>
    <n v="29.363797193140659"/>
  </r>
  <r>
    <x v="9"/>
    <x v="8"/>
    <x v="22"/>
    <x v="0"/>
    <n v="38.378034503095257"/>
  </r>
  <r>
    <x v="9"/>
    <x v="8"/>
    <x v="23"/>
    <x v="0"/>
    <n v="17.768688438251932"/>
  </r>
  <r>
    <x v="9"/>
    <x v="8"/>
    <x v="24"/>
    <x v="0"/>
    <n v="31.814982403217691"/>
  </r>
  <r>
    <x v="9"/>
    <x v="8"/>
    <x v="25"/>
    <x v="0"/>
    <n v="40.195057848826629"/>
  </r>
  <r>
    <x v="9"/>
    <x v="8"/>
    <x v="26"/>
    <x v="0"/>
    <n v="35.132966319951663"/>
  </r>
  <r>
    <x v="9"/>
    <x v="8"/>
    <x v="27"/>
    <x v="0"/>
    <n v="23.18424420676708"/>
  </r>
  <r>
    <x v="9"/>
    <x v="8"/>
    <x v="28"/>
    <x v="0"/>
    <n v="32.447075029406783"/>
  </r>
  <r>
    <x v="9"/>
    <x v="8"/>
    <x v="29"/>
    <x v="0"/>
    <n v="21.55052592110685"/>
  </r>
  <r>
    <x v="9"/>
    <x v="8"/>
    <x v="30"/>
    <x v="0"/>
    <n v="28.26113496543228"/>
  </r>
  <r>
    <x v="9"/>
    <x v="8"/>
    <x v="31"/>
    <x v="0"/>
    <n v="28.856115547254181"/>
  </r>
  <r>
    <x v="9"/>
    <x v="8"/>
    <x v="32"/>
    <x v="0"/>
    <n v="32.183474412266243"/>
  </r>
  <r>
    <x v="9"/>
    <x v="8"/>
    <x v="33"/>
    <x v="0"/>
    <n v="18.938521343247"/>
  </r>
  <r>
    <x v="9"/>
    <x v="8"/>
    <x v="34"/>
    <x v="0"/>
    <n v="27.230298120771138"/>
  </r>
  <r>
    <x v="9"/>
    <x v="8"/>
    <x v="35"/>
    <x v="0"/>
    <n v="24.831189542244609"/>
  </r>
  <r>
    <x v="9"/>
    <x v="8"/>
    <x v="36"/>
    <x v="0"/>
    <n v="37.316179998367147"/>
  </r>
  <r>
    <x v="9"/>
    <x v="8"/>
    <x v="37"/>
    <x v="0"/>
    <n v="22.670799035152911"/>
  </r>
  <r>
    <x v="9"/>
    <x v="8"/>
    <x v="38"/>
    <x v="0"/>
    <n v="18.257051469644608"/>
  </r>
  <r>
    <x v="9"/>
    <x v="8"/>
    <x v="39"/>
    <x v="0"/>
    <n v="23.529663559827419"/>
  </r>
  <r>
    <x v="9"/>
    <x v="0"/>
    <x v="0"/>
    <x v="1"/>
    <n v="51.634308050519557"/>
  </r>
  <r>
    <x v="9"/>
    <x v="1"/>
    <x v="1"/>
    <x v="1"/>
    <n v="50.915664799798812"/>
  </r>
  <r>
    <x v="9"/>
    <x v="1"/>
    <x v="2"/>
    <x v="1"/>
    <n v="51.584857415530507"/>
  </r>
  <r>
    <x v="9"/>
    <x v="1"/>
    <x v="3"/>
    <x v="1"/>
    <n v="52.050793424782313"/>
  </r>
  <r>
    <x v="9"/>
    <x v="1"/>
    <x v="4"/>
    <x v="1"/>
    <n v="52.899415183014511"/>
  </r>
  <r>
    <x v="9"/>
    <x v="2"/>
    <x v="5"/>
    <x v="1"/>
    <n v="52.015378694022537"/>
  </r>
  <r>
    <x v="9"/>
    <x v="2"/>
    <x v="6"/>
    <x v="1"/>
    <n v="51.349399011914556"/>
  </r>
  <r>
    <x v="9"/>
    <x v="2"/>
    <x v="7"/>
    <x v="1"/>
    <n v="51.733379644620427"/>
  </r>
  <r>
    <x v="9"/>
    <x v="2"/>
    <x v="8"/>
    <x v="1"/>
    <n v="51.600660601415967"/>
  </r>
  <r>
    <x v="9"/>
    <x v="3"/>
    <x v="9"/>
    <x v="1"/>
    <n v="52.213149094449321"/>
  </r>
  <r>
    <x v="9"/>
    <x v="3"/>
    <x v="10"/>
    <x v="1"/>
    <n v="51.033787096542383"/>
  </r>
  <r>
    <x v="9"/>
    <x v="4"/>
    <x v="11"/>
    <x v="1"/>
    <n v="51.334649132336409"/>
  </r>
  <r>
    <x v="9"/>
    <x v="4"/>
    <x v="12"/>
    <x v="1"/>
    <n v="51.931417130273793"/>
  </r>
  <r>
    <x v="9"/>
    <x v="5"/>
    <x v="13"/>
    <x v="1"/>
    <n v="51.468243981941839"/>
  </r>
  <r>
    <x v="9"/>
    <x v="5"/>
    <x v="14"/>
    <x v="1"/>
    <n v="51.743653119450613"/>
  </r>
  <r>
    <x v="9"/>
    <x v="6"/>
    <x v="15"/>
    <x v="1"/>
    <n v="52.523158424299737"/>
  </r>
  <r>
    <x v="9"/>
    <x v="6"/>
    <x v="16"/>
    <x v="1"/>
    <n v="51.475689969843963"/>
  </r>
  <r>
    <x v="9"/>
    <x v="6"/>
    <x v="17"/>
    <x v="1"/>
    <n v="51.068110586672191"/>
  </r>
  <r>
    <x v="9"/>
    <x v="6"/>
    <x v="18"/>
    <x v="1"/>
    <n v="51.525345513345933"/>
  </r>
  <r>
    <x v="9"/>
    <x v="7"/>
    <x v="19"/>
    <x v="1"/>
    <n v="52.653527433506461"/>
  </r>
  <r>
    <x v="9"/>
    <x v="7"/>
    <x v="20"/>
    <x v="1"/>
    <n v="51.748458611758473"/>
  </r>
  <r>
    <x v="9"/>
    <x v="7"/>
    <x v="21"/>
    <x v="1"/>
    <n v="51.212830367166063"/>
  </r>
  <r>
    <x v="9"/>
    <x v="8"/>
    <x v="22"/>
    <x v="1"/>
    <n v="50.660419387637631"/>
  </r>
  <r>
    <x v="9"/>
    <x v="8"/>
    <x v="23"/>
    <x v="1"/>
    <n v="55.871418976566062"/>
  </r>
  <r>
    <x v="9"/>
    <x v="8"/>
    <x v="24"/>
    <x v="1"/>
    <n v="53.745600804424342"/>
  </r>
  <r>
    <x v="9"/>
    <x v="8"/>
    <x v="25"/>
    <x v="1"/>
    <n v="49.935273260170113"/>
  </r>
  <r>
    <x v="9"/>
    <x v="8"/>
    <x v="26"/>
    <x v="1"/>
    <n v="51.206936426627337"/>
  </r>
  <r>
    <x v="9"/>
    <x v="8"/>
    <x v="27"/>
    <x v="1"/>
    <n v="53.55069448060695"/>
  </r>
  <r>
    <x v="9"/>
    <x v="8"/>
    <x v="28"/>
    <x v="1"/>
    <n v="46.488766393011034"/>
  </r>
  <r>
    <x v="9"/>
    <x v="8"/>
    <x v="29"/>
    <x v="1"/>
    <n v="47.580815245909967"/>
  </r>
  <r>
    <x v="9"/>
    <x v="8"/>
    <x v="30"/>
    <x v="1"/>
    <n v="51.37278538963043"/>
  </r>
  <r>
    <x v="9"/>
    <x v="8"/>
    <x v="31"/>
    <x v="1"/>
    <n v="53.464496859319269"/>
  </r>
  <r>
    <x v="9"/>
    <x v="8"/>
    <x v="32"/>
    <x v="1"/>
    <n v="49.857505642156703"/>
  </r>
  <r>
    <x v="9"/>
    <x v="8"/>
    <x v="33"/>
    <x v="1"/>
    <n v="51.671167856165233"/>
  </r>
  <r>
    <x v="9"/>
    <x v="8"/>
    <x v="34"/>
    <x v="1"/>
    <n v="48.114393234620643"/>
  </r>
  <r>
    <x v="9"/>
    <x v="8"/>
    <x v="35"/>
    <x v="1"/>
    <n v="62.010226133750933"/>
  </r>
  <r>
    <x v="9"/>
    <x v="8"/>
    <x v="36"/>
    <x v="1"/>
    <n v="48.917233059839347"/>
  </r>
  <r>
    <x v="9"/>
    <x v="8"/>
    <x v="37"/>
    <x v="1"/>
    <n v="53.037649334889352"/>
  </r>
  <r>
    <x v="9"/>
    <x v="8"/>
    <x v="38"/>
    <x v="1"/>
    <n v="57.497818457526087"/>
  </r>
  <r>
    <x v="9"/>
    <x v="8"/>
    <x v="39"/>
    <x v="1"/>
    <n v="42.888047992637922"/>
  </r>
  <r>
    <x v="9"/>
    <x v="0"/>
    <x v="0"/>
    <x v="2"/>
    <n v="17.455630771797729"/>
  </r>
  <r>
    <x v="9"/>
    <x v="1"/>
    <x v="1"/>
    <x v="2"/>
    <n v="17.338660621603651"/>
  </r>
  <r>
    <x v="9"/>
    <x v="1"/>
    <x v="2"/>
    <x v="2"/>
    <n v="17.86556473904443"/>
  </r>
  <r>
    <x v="9"/>
    <x v="1"/>
    <x v="3"/>
    <x v="2"/>
    <n v="17.714190316360561"/>
  </r>
  <r>
    <x v="9"/>
    <x v="1"/>
    <x v="4"/>
    <x v="2"/>
    <n v="15.645987143320641"/>
  </r>
  <r>
    <x v="9"/>
    <x v="2"/>
    <x v="5"/>
    <x v="2"/>
    <n v="19.64279585675607"/>
  </r>
  <r>
    <x v="9"/>
    <x v="2"/>
    <x v="6"/>
    <x v="2"/>
    <n v="17.287894921560721"/>
  </r>
  <r>
    <x v="9"/>
    <x v="2"/>
    <x v="7"/>
    <x v="2"/>
    <n v="16.307040754130199"/>
  </r>
  <r>
    <x v="9"/>
    <x v="2"/>
    <x v="8"/>
    <x v="2"/>
    <n v="17.133383300100888"/>
  </r>
  <r>
    <x v="9"/>
    <x v="3"/>
    <x v="9"/>
    <x v="2"/>
    <n v="16.84270801750986"/>
  </r>
  <r>
    <x v="9"/>
    <x v="3"/>
    <x v="10"/>
    <x v="2"/>
    <n v="18.091509932370819"/>
  </r>
  <r>
    <x v="9"/>
    <x v="4"/>
    <x v="11"/>
    <x v="2"/>
    <n v="17.871945042229559"/>
  </r>
  <r>
    <x v="9"/>
    <x v="4"/>
    <x v="12"/>
    <x v="2"/>
    <n v="17.140133391593661"/>
  </r>
  <r>
    <x v="9"/>
    <x v="5"/>
    <x v="13"/>
    <x v="2"/>
    <n v="18.079992206378009"/>
  </r>
  <r>
    <x v="9"/>
    <x v="5"/>
    <x v="14"/>
    <x v="2"/>
    <n v="17.21487846984579"/>
  </r>
  <r>
    <x v="9"/>
    <x v="6"/>
    <x v="15"/>
    <x v="2"/>
    <n v="17.545831352452801"/>
  </r>
  <r>
    <x v="9"/>
    <x v="6"/>
    <x v="16"/>
    <x v="2"/>
    <n v="17.464851984986861"/>
  </r>
  <r>
    <x v="9"/>
    <x v="6"/>
    <x v="17"/>
    <x v="2"/>
    <n v="17.89130556488643"/>
  </r>
  <r>
    <x v="9"/>
    <x v="6"/>
    <x v="18"/>
    <x v="2"/>
    <n v="14.94983304160659"/>
  </r>
  <r>
    <x v="9"/>
    <x v="7"/>
    <x v="19"/>
    <x v="2"/>
    <n v="18.46369126221121"/>
  </r>
  <r>
    <x v="9"/>
    <x v="7"/>
    <x v="20"/>
    <x v="2"/>
    <n v="19.143678415048459"/>
  </r>
  <r>
    <x v="9"/>
    <x v="7"/>
    <x v="21"/>
    <x v="2"/>
    <n v="16.79281596943817"/>
  </r>
  <r>
    <x v="9"/>
    <x v="8"/>
    <x v="22"/>
    <x v="2"/>
    <n v="10.13515129874593"/>
  </r>
  <r>
    <x v="9"/>
    <x v="8"/>
    <x v="23"/>
    <x v="2"/>
    <n v="23.881611165099219"/>
  </r>
  <r>
    <x v="9"/>
    <x v="8"/>
    <x v="24"/>
    <x v="2"/>
    <n v="12.941176470588241"/>
  </r>
  <r>
    <x v="9"/>
    <x v="8"/>
    <x v="25"/>
    <x v="2"/>
    <n v="8.4231969597153409"/>
  </r>
  <r>
    <x v="9"/>
    <x v="8"/>
    <x v="26"/>
    <x v="2"/>
    <n v="11.398650658681859"/>
  </r>
  <r>
    <x v="9"/>
    <x v="8"/>
    <x v="27"/>
    <x v="2"/>
    <n v="20.118586940939601"/>
  </r>
  <r>
    <x v="9"/>
    <x v="8"/>
    <x v="28"/>
    <x v="2"/>
    <n v="17.508155798429879"/>
  </r>
  <r>
    <x v="9"/>
    <x v="8"/>
    <x v="29"/>
    <x v="2"/>
    <n v="27.376605140128301"/>
  </r>
  <r>
    <x v="9"/>
    <x v="8"/>
    <x v="30"/>
    <x v="2"/>
    <n v="16.702111893179818"/>
  </r>
  <r>
    <x v="9"/>
    <x v="8"/>
    <x v="31"/>
    <x v="2"/>
    <n v="14.26690764851271"/>
  </r>
  <r>
    <x v="9"/>
    <x v="8"/>
    <x v="32"/>
    <x v="2"/>
    <n v="15.21764434542963"/>
  </r>
  <r>
    <x v="9"/>
    <x v="8"/>
    <x v="33"/>
    <x v="2"/>
    <n v="24.232022125381839"/>
  </r>
  <r>
    <x v="9"/>
    <x v="8"/>
    <x v="34"/>
    <x v="2"/>
    <n v="20.29490955964727"/>
  </r>
  <r>
    <x v="9"/>
    <x v="8"/>
    <x v="35"/>
    <x v="2"/>
    <n v="11.78530932709724"/>
  </r>
  <r>
    <x v="9"/>
    <x v="8"/>
    <x v="36"/>
    <x v="2"/>
    <n v="11.91075400471861"/>
  </r>
  <r>
    <x v="9"/>
    <x v="8"/>
    <x v="37"/>
    <x v="2"/>
    <n v="20.583574386718229"/>
  </r>
  <r>
    <x v="9"/>
    <x v="8"/>
    <x v="38"/>
    <x v="2"/>
    <n v="22.606482920428739"/>
  </r>
  <r>
    <x v="9"/>
    <x v="8"/>
    <x v="39"/>
    <x v="2"/>
    <n v="26.641920191264109"/>
  </r>
  <r>
    <x v="9"/>
    <x v="0"/>
    <x v="0"/>
    <x v="3"/>
    <n v="2.9103902961614039"/>
  </r>
  <r>
    <x v="9"/>
    <x v="1"/>
    <x v="1"/>
    <x v="3"/>
    <n v="3.0026468325229949"/>
  </r>
  <r>
    <x v="9"/>
    <x v="1"/>
    <x v="2"/>
    <x v="3"/>
    <n v="2.9744145468218681"/>
  </r>
  <r>
    <x v="9"/>
    <x v="1"/>
    <x v="3"/>
    <x v="3"/>
    <n v="2.614519513839805"/>
  </r>
  <r>
    <x v="9"/>
    <x v="1"/>
    <x v="4"/>
    <x v="3"/>
    <n v="2.764899227422426"/>
  </r>
  <r>
    <x v="9"/>
    <x v="2"/>
    <x v="5"/>
    <x v="3"/>
    <n v="3.0843346146269668"/>
  </r>
  <r>
    <x v="9"/>
    <x v="2"/>
    <x v="6"/>
    <x v="3"/>
    <n v="3.0243257679541888"/>
  </r>
  <r>
    <x v="9"/>
    <x v="2"/>
    <x v="7"/>
    <x v="3"/>
    <n v="2.7779419640407368"/>
  </r>
  <r>
    <x v="9"/>
    <x v="2"/>
    <x v="8"/>
    <x v="3"/>
    <n v="2.4802422553897712"/>
  </r>
  <r>
    <x v="9"/>
    <x v="3"/>
    <x v="9"/>
    <x v="3"/>
    <n v="2.8051472152891539"/>
  </r>
  <r>
    <x v="9"/>
    <x v="3"/>
    <x v="10"/>
    <x v="3"/>
    <n v="3.0195751509461228"/>
  </r>
  <r>
    <x v="9"/>
    <x v="4"/>
    <x v="11"/>
    <x v="3"/>
    <n v="3.0610786137477222"/>
  </r>
  <r>
    <x v="9"/>
    <x v="4"/>
    <x v="12"/>
    <x v="3"/>
    <n v="2.7750537154247898"/>
  </r>
  <r>
    <x v="9"/>
    <x v="5"/>
    <x v="13"/>
    <x v="3"/>
    <n v="2.9164242591850118"/>
  </r>
  <r>
    <x v="9"/>
    <x v="5"/>
    <x v="14"/>
    <x v="3"/>
    <n v="2.8903657928086002"/>
  </r>
  <r>
    <x v="9"/>
    <x v="6"/>
    <x v="15"/>
    <x v="3"/>
    <n v="2.8254632280892071"/>
  </r>
  <r>
    <x v="9"/>
    <x v="6"/>
    <x v="16"/>
    <x v="3"/>
    <n v="2.947876377682678"/>
  </r>
  <r>
    <x v="9"/>
    <x v="6"/>
    <x v="17"/>
    <x v="3"/>
    <n v="3.1809625248709108"/>
  </r>
  <r>
    <x v="9"/>
    <x v="6"/>
    <x v="18"/>
    <x v="3"/>
    <n v="2.914816796685765"/>
  </r>
  <r>
    <x v="9"/>
    <x v="7"/>
    <x v="19"/>
    <x v="3"/>
    <n v="2.3722330631597539"/>
  </r>
  <r>
    <x v="9"/>
    <x v="7"/>
    <x v="20"/>
    <x v="3"/>
    <n v="2.8803201398851939"/>
  </r>
  <r>
    <x v="9"/>
    <x v="7"/>
    <x v="21"/>
    <x v="3"/>
    <n v="2.630556470255113"/>
  </r>
  <r>
    <x v="9"/>
    <x v="8"/>
    <x v="22"/>
    <x v="3"/>
    <n v="0.82639481052118202"/>
  </r>
  <r>
    <x v="9"/>
    <x v="8"/>
    <x v="23"/>
    <x v="3"/>
    <n v="2.4782814200827961"/>
  </r>
  <r>
    <x v="9"/>
    <x v="8"/>
    <x v="24"/>
    <x v="3"/>
    <n v="1.498240321769734"/>
  </r>
  <r>
    <x v="9"/>
    <x v="8"/>
    <x v="25"/>
    <x v="3"/>
    <n v="1.4464719312879091"/>
  </r>
  <r>
    <x v="9"/>
    <x v="8"/>
    <x v="26"/>
    <x v="3"/>
    <n v="2.261446594739116"/>
  </r>
  <r>
    <x v="9"/>
    <x v="8"/>
    <x v="27"/>
    <x v="3"/>
    <n v="3.1464743716863661"/>
  </r>
  <r>
    <x v="9"/>
    <x v="8"/>
    <x v="28"/>
    <x v="3"/>
    <n v="3.5560027791523008"/>
  </r>
  <r>
    <x v="9"/>
    <x v="8"/>
    <x v="29"/>
    <x v="3"/>
    <n v="3.4920536928548418"/>
  </r>
  <r>
    <x v="9"/>
    <x v="8"/>
    <x v="30"/>
    <x v="3"/>
    <n v="3.6639677517574651"/>
  </r>
  <r>
    <x v="9"/>
    <x v="8"/>
    <x v="31"/>
    <x v="3"/>
    <n v="3.4124799449138341"/>
  </r>
  <r>
    <x v="9"/>
    <x v="8"/>
    <x v="32"/>
    <x v="3"/>
    <n v="2.7413756001474039"/>
  </r>
  <r>
    <x v="9"/>
    <x v="8"/>
    <x v="33"/>
    <x v="3"/>
    <n v="5.1582886752059194"/>
  </r>
  <r>
    <x v="9"/>
    <x v="8"/>
    <x v="34"/>
    <x v="3"/>
    <n v="4.3603990849609602"/>
  </r>
  <r>
    <x v="9"/>
    <x v="8"/>
    <x v="35"/>
    <x v="3"/>
    <n v="1.3732749969072231"/>
  </r>
  <r>
    <x v="9"/>
    <x v="8"/>
    <x v="36"/>
    <x v="3"/>
    <n v="1.8558329370748821"/>
  </r>
  <r>
    <x v="9"/>
    <x v="8"/>
    <x v="37"/>
    <x v="3"/>
    <n v="3.7079772432394931"/>
  </r>
  <r>
    <x v="9"/>
    <x v="8"/>
    <x v="38"/>
    <x v="3"/>
    <n v="1.6386471524005299"/>
  </r>
  <r>
    <x v="9"/>
    <x v="8"/>
    <x v="39"/>
    <x v="3"/>
    <n v="6.94036825627056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PivotTable2" cacheId="0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G2:J25" firstHeaderRow="0" firstDataRow="1" firstDataCol="1"/>
  <pivotFields count="5">
    <pivotField axis="axisRow" showAll="0" defaultSubtotal="0">
      <items count="4">
        <item x="3"/>
        <item x="2"/>
        <item x="0"/>
        <item x="1"/>
      </items>
    </pivotField>
    <pivotField axis="axisRow" showAll="0">
      <items count="23">
        <item x="0"/>
        <item x="1"/>
        <item x="14"/>
        <item x="2"/>
        <item x="17"/>
        <item x="15"/>
        <item x="18"/>
        <item x="16"/>
        <item x="3"/>
        <item x="4"/>
        <item x="5"/>
        <item m="1" x="20"/>
        <item x="10"/>
        <item x="7"/>
        <item x="11"/>
        <item m="1" x="21"/>
        <item m="1" x="19"/>
        <item x="8"/>
        <item x="12"/>
        <item x="9"/>
        <item x="6"/>
        <item x="13"/>
        <item t="default"/>
      </items>
    </pivotField>
    <pivotField dataField="1" showAll="0"/>
    <pivotField dataField="1" showAll="0"/>
    <pivotField dataField="1" showAll="0"/>
  </pivotFields>
  <rowFields count="2">
    <field x="0"/>
    <field x="1"/>
  </rowFields>
  <rowItems count="23">
    <i>
      <x/>
    </i>
    <i r="1">
      <x v="2"/>
    </i>
    <i r="1">
      <x v="4"/>
    </i>
    <i r="1">
      <x v="5"/>
    </i>
    <i r="1">
      <x v="6"/>
    </i>
    <i r="1">
      <x v="7"/>
    </i>
    <i>
      <x v="1"/>
    </i>
    <i r="1">
      <x v="12"/>
    </i>
    <i r="1">
      <x v="14"/>
    </i>
    <i r="1">
      <x v="18"/>
    </i>
    <i r="1">
      <x v="19"/>
    </i>
    <i r="1">
      <x v="21"/>
    </i>
    <i>
      <x v="2"/>
    </i>
    <i r="1">
      <x/>
    </i>
    <i r="1">
      <x v="1"/>
    </i>
    <i>
      <x v="3"/>
    </i>
    <i r="1">
      <x v="3"/>
    </i>
    <i r="1">
      <x v="8"/>
    </i>
    <i r="1">
      <x v="9"/>
    </i>
    <i r="1">
      <x v="10"/>
    </i>
    <i r="1">
      <x v="13"/>
    </i>
    <i r="1">
      <x v="17"/>
    </i>
    <i r="1"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Mean " fld="3" baseField="0" baseItem="0"/>
    <dataField name="Standard Deviation" fld="4" baseField="0" baseItem="0"/>
    <dataField name="Observations" fld="2" baseField="0" baseItem="0" numFmtId="166"/>
  </dataFields>
  <formats count="30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0" type="button" dataOnly="0" labelOnly="1" outline="0" axis="axisRow" fieldPosition="0"/>
    </format>
    <format dxfId="64">
      <pivotArea dataOnly="0" labelOnly="1" fieldPosition="0">
        <references count="1">
          <reference field="0" count="0"/>
        </references>
      </pivotArea>
    </format>
    <format dxfId="63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5">
      <pivotArea collapsedLevelsAreSubtotals="1" fieldPosition="0">
        <references count="2">
          <reference field="0" count="1" selected="0">
            <x v="0"/>
          </reference>
          <reference field="1" count="5">
            <x v="2"/>
            <x v="4"/>
            <x v="5"/>
            <x v="6"/>
            <x v="7"/>
          </reference>
        </references>
      </pivotArea>
    </format>
    <format dxfId="54">
      <pivotArea collapsedLevelsAreSubtotals="1" fieldPosition="0">
        <references count="1">
          <reference field="0" count="1">
            <x v="1"/>
          </reference>
        </references>
      </pivotArea>
    </format>
    <format dxfId="53">
      <pivotArea collapsedLevelsAreSubtotals="1" fieldPosition="0">
        <references count="2">
          <reference field="0" count="1" selected="0">
            <x v="1"/>
          </reference>
          <reference field="1" count="5">
            <x v="12"/>
            <x v="14"/>
            <x v="15"/>
            <x v="16"/>
            <x v="19"/>
          </reference>
        </references>
      </pivotArea>
    </format>
    <format dxfId="52">
      <pivotArea collapsedLevelsAreSubtotals="1" fieldPosition="0">
        <references count="1">
          <reference field="0" count="1">
            <x v="2"/>
          </reference>
        </references>
      </pivotArea>
    </format>
    <format dxfId="51">
      <pivotArea collapsedLevelsAreSubtotals="1" fieldPosition="0">
        <references count="2">
          <reference field="0" count="1" selected="0">
            <x v="2"/>
          </reference>
          <reference field="1" count="1">
            <x v="0"/>
          </reference>
        </references>
      </pivotArea>
    </format>
    <format dxfId="50">
      <pivotArea collapsedLevelsAreSubtotals="1" fieldPosition="0">
        <references count="1">
          <reference field="0" count="1">
            <x v="3"/>
          </reference>
        </references>
      </pivotArea>
    </format>
    <format dxfId="49">
      <pivotArea collapsedLevelsAreSubtotals="1" fieldPosition="0">
        <references count="2">
          <reference field="0" count="1" selected="0">
            <x v="3"/>
          </reference>
          <reference field="1" count="8">
            <x v="1"/>
            <x v="3"/>
            <x v="8"/>
            <x v="9"/>
            <x v="10"/>
            <x v="11"/>
            <x v="13"/>
            <x v="17"/>
          </reference>
        </references>
      </pivotArea>
    </format>
    <format dxfId="48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6">
      <pivotArea outline="0" collapsedLevelsAreSubtotals="1" fieldPosition="0"/>
    </format>
    <format dxfId="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">
      <pivotArea outline="0" collapsedLevelsAreSubtotals="1" fieldPosition="0"/>
    </format>
    <format dxfId="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">
      <pivotArea collapsedLevelsAreSubtotals="1" fieldPosition="0">
        <references count="3">
          <reference field="4294967294" count="2" selected="0">
            <x v="0"/>
            <x v="1"/>
          </reference>
          <reference field="0" count="1" selected="0">
            <x v="1"/>
          </reference>
          <reference field="1" count="1">
            <x v="21"/>
          </reference>
        </references>
      </pivotArea>
    </format>
    <format dxfId="41">
      <pivotArea collapsedLevelsAreSubtotals="1" fieldPosition="0">
        <references count="2">
          <reference field="4294967294" count="2" selected="0">
            <x v="0"/>
            <x v="1"/>
          </reference>
          <reference field="0" count="1">
            <x v="2"/>
          </reference>
        </references>
      </pivotArea>
    </format>
    <format dxfId="40">
      <pivotArea collapsedLevelsAreSubtotals="1" fieldPosition="0">
        <references count="3">
          <reference field="4294967294" count="2" selected="0">
            <x v="0"/>
            <x v="1"/>
          </reference>
          <reference field="0" count="1" selected="0">
            <x v="2"/>
          </reference>
          <reference field="1" count="1">
            <x v="0"/>
          </reference>
        </references>
      </pivotArea>
    </format>
    <format dxfId="39">
      <pivotArea collapsedLevelsAreSubtotals="1" fieldPosition="0">
        <references count="2">
          <reference field="4294967294" count="2" selected="0">
            <x v="0"/>
            <x v="1"/>
          </reference>
          <reference field="0" count="1">
            <x v="3"/>
          </reference>
        </references>
      </pivotArea>
    </format>
    <format dxfId="38">
      <pivotArea collapsedLevelsAreSubtotals="1" fieldPosition="0">
        <references count="3">
          <reference field="4294967294" count="2" selected="0">
            <x v="0"/>
            <x v="1"/>
          </reference>
          <reference field="0" count="1" selected="0">
            <x v="3"/>
          </reference>
          <reference field="1" count="8">
            <x v="1"/>
            <x v="3"/>
            <x v="8"/>
            <x v="9"/>
            <x v="10"/>
            <x v="13"/>
            <x v="17"/>
            <x v="20"/>
          </reference>
        </references>
      </pivotArea>
    </format>
  </formats>
  <pivotTableStyleInfo name="PivotStyleLigh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PivotTable1" cacheId="1" applyNumberFormats="0" applyBorderFormats="0" applyFontFormats="0" applyPatternFormats="0" applyAlignmentFormats="0" applyWidthHeightFormats="1" dataCaption="Values" grandTotalCaption="Total" updatedVersion="5" minRefreshableVersion="3" useAutoFormatting="1" rowGrandTotals="0" itemPrintTitles="1" createdVersion="5" indent="0" showHeaders="0" outline="1" outlineData="1" multipleFieldFilters="0">
  <location ref="H3:M53" firstHeaderRow="1" firstDataRow="2" firstDataCol="1" rowPageCount="1" colPageCount="1"/>
  <pivotFields count="5"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defaultSubtotal="0">
      <items count="9">
        <item x="0"/>
        <item x="3"/>
        <item x="2"/>
        <item x="4"/>
        <item x="5"/>
        <item x="1"/>
        <item x="6"/>
        <item x="7"/>
        <item x="8"/>
      </items>
    </pivotField>
    <pivotField axis="axisRow" showAll="0">
      <items count="41">
        <item x="20"/>
        <item x="5"/>
        <item x="6"/>
        <item x="7"/>
        <item x="8"/>
        <item x="0"/>
        <item x="22"/>
        <item x="23"/>
        <item x="24"/>
        <item x="14"/>
        <item x="25"/>
        <item x="26"/>
        <item x="2"/>
        <item x="3"/>
        <item x="4"/>
        <item x="27"/>
        <item x="28"/>
        <item x="29"/>
        <item x="37"/>
        <item x="16"/>
        <item x="15"/>
        <item x="9"/>
        <item x="30"/>
        <item x="31"/>
        <item x="1"/>
        <item x="10"/>
        <item x="12"/>
        <item x="32"/>
        <item x="21"/>
        <item x="33"/>
        <item x="13"/>
        <item x="11"/>
        <item x="34"/>
        <item x="36"/>
        <item x="35"/>
        <item x="17"/>
        <item x="19"/>
        <item x="18"/>
        <item x="38"/>
        <item x="39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1"/>
    <field x="2"/>
  </rowFields>
  <rowItems count="49">
    <i>
      <x/>
    </i>
    <i r="1">
      <x v="5"/>
    </i>
    <i>
      <x v="1"/>
    </i>
    <i r="1">
      <x v="21"/>
    </i>
    <i r="1">
      <x v="25"/>
    </i>
    <i>
      <x v="2"/>
    </i>
    <i r="1">
      <x v="1"/>
    </i>
    <i r="1">
      <x v="2"/>
    </i>
    <i r="1">
      <x v="3"/>
    </i>
    <i r="1">
      <x v="4"/>
    </i>
    <i>
      <x v="3"/>
    </i>
    <i r="1">
      <x v="26"/>
    </i>
    <i r="1">
      <x v="31"/>
    </i>
    <i>
      <x v="4"/>
    </i>
    <i r="1">
      <x v="9"/>
    </i>
    <i r="1">
      <x v="30"/>
    </i>
    <i>
      <x v="5"/>
    </i>
    <i r="1">
      <x v="12"/>
    </i>
    <i r="1">
      <x v="13"/>
    </i>
    <i r="1">
      <x v="14"/>
    </i>
    <i r="1">
      <x v="24"/>
    </i>
    <i>
      <x v="6"/>
    </i>
    <i r="1">
      <x v="19"/>
    </i>
    <i r="1">
      <x v="20"/>
    </i>
    <i r="1">
      <x v="35"/>
    </i>
    <i r="1">
      <x v="37"/>
    </i>
    <i>
      <x v="7"/>
    </i>
    <i r="1">
      <x/>
    </i>
    <i r="1">
      <x v="28"/>
    </i>
    <i r="1">
      <x v="36"/>
    </i>
    <i>
      <x v="8"/>
    </i>
    <i r="1">
      <x v="6"/>
    </i>
    <i r="1">
      <x v="7"/>
    </i>
    <i r="1">
      <x v="8"/>
    </i>
    <i r="1">
      <x v="10"/>
    </i>
    <i r="1">
      <x v="11"/>
    </i>
    <i r="1">
      <x v="15"/>
    </i>
    <i r="1">
      <x v="16"/>
    </i>
    <i r="1">
      <x v="17"/>
    </i>
    <i r="1">
      <x v="18"/>
    </i>
    <i r="1">
      <x v="22"/>
    </i>
    <i r="1">
      <x v="23"/>
    </i>
    <i r="1">
      <x v="27"/>
    </i>
    <i r="1">
      <x v="29"/>
    </i>
    <i r="1">
      <x v="32"/>
    </i>
    <i r="1">
      <x v="33"/>
    </i>
    <i r="1">
      <x v="34"/>
    </i>
    <i r="1">
      <x v="38"/>
    </i>
    <i r="1">
      <x v="39"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0" item="9" hier="-1"/>
  </pageFields>
  <dataFields count="1">
    <dataField name="Sum of Percent" fld="4" baseField="1" baseItem="0" numFmtId="2"/>
  </dataFields>
  <formats count="18"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1" count="0"/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32">
      <pivotArea dataOnly="0" labelOnly="1" fieldPosition="0">
        <references count="1">
          <reference field="3" count="0"/>
        </references>
      </pivotArea>
    </format>
    <format dxfId="31">
      <pivotArea outline="0" collapsedLevelsAreSubtotals="1" fieldPosition="0"/>
    </format>
    <format dxfId="30">
      <pivotArea dataOnly="0" labelOnly="1" outline="0" fieldPosition="0">
        <references count="1">
          <reference field="0" count="1">
            <x v="9"/>
          </reference>
        </references>
      </pivotArea>
    </format>
    <format dxfId="29">
      <pivotArea dataOnly="0" labelOnly="1" fieldPosition="0">
        <references count="1">
          <reference field="3" count="0"/>
        </references>
      </pivotArea>
    </format>
    <format dxfId="28">
      <pivotArea outline="0" collapsedLevelsAreSubtotals="1" fieldPosition="0"/>
    </format>
    <format dxfId="27">
      <pivotArea dataOnly="0" labelOnly="1" outline="0" fieldPosition="0">
        <references count="1">
          <reference field="0" count="1">
            <x v="9"/>
          </reference>
        </references>
      </pivotArea>
    </format>
    <format dxfId="26">
      <pivotArea dataOnly="0" labelOnly="1" fieldPosition="0">
        <references count="1">
          <reference field="3" count="0"/>
        </references>
      </pivotArea>
    </format>
    <format dxfId="25">
      <pivotArea dataOnly="0" labelOnly="1" grandCol="1" outline="0" fieldPosition="0"/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0" count="1">
            <x v="9"/>
          </reference>
        </references>
      </pivotArea>
    </format>
    <format dxfId="22">
      <pivotArea dataOnly="0" labelOnly="1" fieldPosition="0">
        <references count="1">
          <reference field="3" count="0"/>
        </references>
      </pivotArea>
    </format>
    <format dxfId="21">
      <pivotArea dataOnly="0" labelOnly="1" grandCol="1" outline="0" fieldPosition="0"/>
    </format>
    <format dxfId="20">
      <pivotArea grandCol="1" outline="0" collapsedLevelsAreSubtotals="1" fieldPosition="0"/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PivotTable1" cacheId="1" applyNumberFormats="0" applyBorderFormats="0" applyFontFormats="0" applyPatternFormats="0" applyAlignmentFormats="0" applyWidthHeightFormats="1" dataCaption="Values" grandTotalCaption="Total" updatedVersion="5" minRefreshableVersion="3" useAutoFormatting="1" rowGrandTotals="0" itemPrintTitles="1" createdVersion="5" indent="0" showHeaders="0" outline="1" outlineData="1" multipleFieldFilters="0">
  <location ref="H3:M53" firstHeaderRow="1" firstDataRow="2" firstDataCol="1" rowPageCount="1" colPageCount="1"/>
  <pivotFields count="5">
    <pivotField axis="axisPage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showAll="0" defaultSubtotal="0">
      <items count="9">
        <item x="0"/>
        <item x="3"/>
        <item x="2"/>
        <item x="4"/>
        <item x="5"/>
        <item x="1"/>
        <item x="6"/>
        <item x="7"/>
        <item x="8"/>
      </items>
    </pivotField>
    <pivotField axis="axisRow" showAll="0">
      <items count="41">
        <item x="20"/>
        <item x="5"/>
        <item x="6"/>
        <item x="7"/>
        <item x="8"/>
        <item x="0"/>
        <item x="22"/>
        <item x="23"/>
        <item x="24"/>
        <item x="14"/>
        <item x="25"/>
        <item x="26"/>
        <item x="2"/>
        <item x="3"/>
        <item x="4"/>
        <item x="27"/>
        <item x="28"/>
        <item x="29"/>
        <item x="37"/>
        <item x="16"/>
        <item x="15"/>
        <item x="9"/>
        <item x="30"/>
        <item x="31"/>
        <item x="1"/>
        <item x="10"/>
        <item x="12"/>
        <item x="32"/>
        <item x="21"/>
        <item x="33"/>
        <item x="13"/>
        <item x="11"/>
        <item x="34"/>
        <item x="36"/>
        <item x="35"/>
        <item x="17"/>
        <item x="19"/>
        <item x="18"/>
        <item x="38"/>
        <item x="39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</pivotFields>
  <rowFields count="2">
    <field x="1"/>
    <field x="2"/>
  </rowFields>
  <rowItems count="49">
    <i>
      <x/>
    </i>
    <i r="1">
      <x v="5"/>
    </i>
    <i>
      <x v="1"/>
    </i>
    <i r="1">
      <x v="21"/>
    </i>
    <i r="1">
      <x v="25"/>
    </i>
    <i>
      <x v="2"/>
    </i>
    <i r="1">
      <x v="1"/>
    </i>
    <i r="1">
      <x v="2"/>
    </i>
    <i r="1">
      <x v="3"/>
    </i>
    <i r="1">
      <x v="4"/>
    </i>
    <i>
      <x v="3"/>
    </i>
    <i r="1">
      <x v="26"/>
    </i>
    <i r="1">
      <x v="31"/>
    </i>
    <i>
      <x v="4"/>
    </i>
    <i r="1">
      <x v="9"/>
    </i>
    <i r="1">
      <x v="30"/>
    </i>
    <i>
      <x v="5"/>
    </i>
    <i r="1">
      <x v="12"/>
    </i>
    <i r="1">
      <x v="13"/>
    </i>
    <i r="1">
      <x v="14"/>
    </i>
    <i r="1">
      <x v="24"/>
    </i>
    <i>
      <x v="6"/>
    </i>
    <i r="1">
      <x v="19"/>
    </i>
    <i r="1">
      <x v="20"/>
    </i>
    <i r="1">
      <x v="35"/>
    </i>
    <i r="1">
      <x v="37"/>
    </i>
    <i>
      <x v="7"/>
    </i>
    <i r="1">
      <x/>
    </i>
    <i r="1">
      <x v="28"/>
    </i>
    <i r="1">
      <x v="36"/>
    </i>
    <i>
      <x v="8"/>
    </i>
    <i r="1">
      <x v="6"/>
    </i>
    <i r="1">
      <x v="7"/>
    </i>
    <i r="1">
      <x v="8"/>
    </i>
    <i r="1">
      <x v="10"/>
    </i>
    <i r="1">
      <x v="11"/>
    </i>
    <i r="1">
      <x v="15"/>
    </i>
    <i r="1">
      <x v="16"/>
    </i>
    <i r="1">
      <x v="17"/>
    </i>
    <i r="1">
      <x v="18"/>
    </i>
    <i r="1">
      <x v="22"/>
    </i>
    <i r="1">
      <x v="23"/>
    </i>
    <i r="1">
      <x v="27"/>
    </i>
    <i r="1">
      <x v="29"/>
    </i>
    <i r="1">
      <x v="32"/>
    </i>
    <i r="1">
      <x v="33"/>
    </i>
    <i r="1">
      <x v="34"/>
    </i>
    <i r="1">
      <x v="38"/>
    </i>
    <i r="1">
      <x v="39"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pageFields count="1">
    <pageField fld="0" item="9" hier="-1"/>
  </pageFields>
  <dataFields count="1">
    <dataField name="Sum of Percent" fld="4" baseField="1" baseItem="0" numFmtId="2"/>
  </dataFields>
  <formats count="18"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2">
          <reference field="1" count="1" selected="0">
            <x v="0"/>
          </reference>
          <reference field="2" count="0"/>
        </references>
      </pivotArea>
    </format>
    <format dxfId="14">
      <pivotArea dataOnly="0" labelOnly="1" fieldPosition="0">
        <references count="1">
          <reference field="3" count="0"/>
        </references>
      </pivotArea>
    </format>
    <format dxfId="13">
      <pivotArea outline="0" collapsedLevelsAreSubtotals="1" fieldPosition="0"/>
    </format>
    <format dxfId="12">
      <pivotArea dataOnly="0" labelOnly="1" outline="0" fieldPosition="0">
        <references count="1">
          <reference field="0" count="1">
            <x v="9"/>
          </reference>
        </references>
      </pivotArea>
    </format>
    <format dxfId="11">
      <pivotArea dataOnly="0" labelOnly="1" fieldPosition="0">
        <references count="1">
          <reference field="3" count="0"/>
        </references>
      </pivotArea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0" count="1">
            <x v="9"/>
          </reference>
        </references>
      </pivotArea>
    </format>
    <format dxfId="8">
      <pivotArea dataOnly="0" labelOnly="1" fieldPosition="0">
        <references count="1">
          <reference field="3" count="0"/>
        </references>
      </pivotArea>
    </format>
    <format dxfId="7">
      <pivotArea dataOnly="0" labelOnly="1" grandCol="1" outline="0" fieldPosition="0"/>
    </format>
    <format dxfId="6">
      <pivotArea outline="0" collapsedLevelsAreSubtotals="1" fieldPosition="0"/>
    </format>
    <format dxfId="5">
      <pivotArea dataOnly="0" labelOnly="1" outline="0" fieldPosition="0">
        <references count="1">
          <reference field="0" count="1">
            <x v="9"/>
          </reference>
        </references>
      </pivotArea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Col="1" outline="0" fieldPosition="0"/>
    </format>
    <format dxfId="2">
      <pivotArea grandCol="1" outline="0" collapsedLevelsAreSubtotals="1" fieldPosition="0"/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2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3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6.xml><?xml version="1.0" encoding="utf-8"?>
<a:themeOverride xmlns:a="http://schemas.openxmlformats.org/drawingml/2006/main">
  <a:clrScheme name="Office 2007-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1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63A67-12E4-4598-B018-9F8207FEAF8E}">
  <dimension ref="A1:Z74"/>
  <sheetViews>
    <sheetView showGridLines="0" zoomScaleNormal="100" workbookViewId="0">
      <selection activeCell="B22" sqref="B22"/>
    </sheetView>
  </sheetViews>
  <sheetFormatPr defaultRowHeight="15" x14ac:dyDescent="0.25"/>
  <cols>
    <col min="1" max="1" width="3.42578125" customWidth="1"/>
    <col min="2" max="2" width="11.5703125" customWidth="1"/>
    <col min="3" max="3" width="8.28515625" style="40" bestFit="1" customWidth="1"/>
    <col min="4" max="4" width="13.85546875" style="40" bestFit="1" customWidth="1"/>
    <col min="5" max="5" width="3.42578125" style="49" customWidth="1"/>
    <col min="6" max="6" width="6.42578125" style="56" bestFit="1" customWidth="1"/>
    <col min="7" max="7" width="12.5703125" style="49" bestFit="1" customWidth="1"/>
    <col min="8" max="8" width="12.42578125" style="49" bestFit="1" customWidth="1"/>
    <col min="9" max="9" width="21.140625" style="49" bestFit="1" customWidth="1"/>
    <col min="10" max="10" width="6.5703125" style="49" bestFit="1" customWidth="1"/>
    <col min="11" max="11" width="3.42578125" style="49" customWidth="1"/>
    <col min="12" max="13" width="8.7109375" style="40"/>
    <col min="24" max="24" width="9.140625" style="49"/>
    <col min="25" max="26" width="8.7109375" style="49"/>
  </cols>
  <sheetData>
    <row r="1" spans="2:10" x14ac:dyDescent="0.25">
      <c r="C1" s="43"/>
    </row>
    <row r="2" spans="2:10" ht="15.75" thickBot="1" x14ac:dyDescent="0.3">
      <c r="B2" s="148"/>
      <c r="C2" s="148" t="s">
        <v>242</v>
      </c>
      <c r="D2" s="148" t="s">
        <v>243</v>
      </c>
      <c r="F2" s="148" t="s">
        <v>58</v>
      </c>
      <c r="G2" s="148" t="s">
        <v>139</v>
      </c>
      <c r="H2" s="148" t="s">
        <v>34</v>
      </c>
      <c r="I2" s="148" t="s">
        <v>149</v>
      </c>
      <c r="J2" s="148" t="s">
        <v>29</v>
      </c>
    </row>
    <row r="3" spans="2:10" ht="15.75" thickTop="1" x14ac:dyDescent="0.25">
      <c r="B3" s="138" t="s">
        <v>253</v>
      </c>
      <c r="C3" s="41">
        <f>+'Fig1'!D3-'Fig1'!C3</f>
        <v>-7.8986599999999962E-2</v>
      </c>
      <c r="D3" s="41">
        <f>+'Fig2'!D3-'Fig2'!C3</f>
        <v>-22.175750000000008</v>
      </c>
      <c r="F3" s="56">
        <v>1997</v>
      </c>
      <c r="G3" s="183">
        <v>28.757000000000001</v>
      </c>
      <c r="H3" s="183">
        <v>51.633000000000003</v>
      </c>
      <c r="I3" s="183">
        <v>80.390069999999994</v>
      </c>
      <c r="J3" s="183">
        <v>0.54566875000000004</v>
      </c>
    </row>
    <row r="4" spans="2:10" x14ac:dyDescent="0.25">
      <c r="B4" s="138" t="s">
        <v>254</v>
      </c>
      <c r="C4" s="41">
        <f>+'Fig1'!D4-'Fig1'!C4</f>
        <v>-0.12098066000000002</v>
      </c>
      <c r="D4" s="41">
        <f>+'Fig2'!D4-'Fig2'!C4</f>
        <v>-24.6143</v>
      </c>
      <c r="F4" s="184"/>
      <c r="G4" s="183"/>
      <c r="H4" s="183"/>
      <c r="I4" s="183"/>
      <c r="J4" s="183"/>
    </row>
    <row r="5" spans="2:10" x14ac:dyDescent="0.25">
      <c r="B5" s="138" t="s">
        <v>255</v>
      </c>
      <c r="C5" s="41">
        <f>+'Fig1'!D5-'Fig1'!C5</f>
        <v>-5.7459379999999949E-2</v>
      </c>
      <c r="D5" s="41">
        <f>+'Fig2'!D5-'Fig2'!C5</f>
        <v>-5.0125299999999982</v>
      </c>
      <c r="F5" s="184"/>
      <c r="G5" s="183"/>
      <c r="H5" s="183"/>
      <c r="I5" s="183"/>
      <c r="J5" s="183"/>
    </row>
    <row r="6" spans="2:10" x14ac:dyDescent="0.25">
      <c r="B6" s="138" t="s">
        <v>256</v>
      </c>
      <c r="C6" s="41">
        <f>+'Fig1'!D6-'Fig1'!C6</f>
        <v>-4.2545129999999987E-2</v>
      </c>
      <c r="D6" s="41">
        <f>+'Fig2'!D6-'Fig2'!C6</f>
        <v>-0.44023999999998864</v>
      </c>
      <c r="F6" s="184">
        <v>2000</v>
      </c>
      <c r="G6" s="183"/>
      <c r="H6" s="183"/>
      <c r="I6" s="185"/>
      <c r="J6" s="183"/>
    </row>
    <row r="7" spans="2:10" x14ac:dyDescent="0.25">
      <c r="B7" s="138" t="s">
        <v>257</v>
      </c>
      <c r="C7" s="41">
        <f>+'Fig1'!D7-'Fig1'!C7</f>
        <v>-4.7670800000000013E-2</v>
      </c>
      <c r="D7" s="41">
        <f>+'Fig2'!D7-'Fig2'!C7</f>
        <v>-3.7311399999999963</v>
      </c>
      <c r="F7" s="184"/>
      <c r="G7" s="183">
        <v>37.434899999999999</v>
      </c>
      <c r="H7" s="183">
        <v>51.434800000000003</v>
      </c>
      <c r="I7" s="185">
        <v>88.869709999999998</v>
      </c>
      <c r="J7" s="183">
        <v>0.53624685999999999</v>
      </c>
    </row>
    <row r="8" spans="2:10" x14ac:dyDescent="0.25">
      <c r="B8" s="138" t="s">
        <v>258</v>
      </c>
      <c r="C8" s="41">
        <f>+'Fig1'!D8-'Fig1'!C8</f>
        <v>1.0795869999999985E-2</v>
      </c>
      <c r="D8" s="41">
        <f>+'Fig2'!D8-'Fig2'!C8</f>
        <v>9.1371900000000039</v>
      </c>
      <c r="F8" s="184"/>
      <c r="G8" s="183">
        <v>33.083199999999998</v>
      </c>
      <c r="H8" s="183">
        <v>53.523600000000002</v>
      </c>
      <c r="I8" s="185">
        <v>86.606800000000007</v>
      </c>
      <c r="J8" s="183">
        <v>0.53747915999999996</v>
      </c>
    </row>
    <row r="9" spans="2:10" x14ac:dyDescent="0.25">
      <c r="B9" s="138" t="s">
        <v>259</v>
      </c>
      <c r="C9" s="41">
        <f>+'Fig1'!D9-'Fig1'!C9</f>
        <v>-3.0452339999999967E-2</v>
      </c>
      <c r="D9" s="41">
        <f>+'Fig2'!D9-'Fig2'!C9</f>
        <v>-1.7183100000000024</v>
      </c>
      <c r="F9" s="184"/>
      <c r="G9" s="183"/>
      <c r="H9" s="183"/>
      <c r="I9" s="185"/>
      <c r="J9" s="183"/>
    </row>
    <row r="10" spans="2:10" x14ac:dyDescent="0.25">
      <c r="B10" s="138" t="s">
        <v>260</v>
      </c>
      <c r="C10" s="41">
        <f>+'Fig1'!D10-'Fig1'!C10</f>
        <v>-7.7022759999999968E-2</v>
      </c>
      <c r="D10" s="41">
        <f>+D22+15</f>
        <v>-33.90605</v>
      </c>
      <c r="F10" s="184"/>
      <c r="G10" s="183"/>
      <c r="H10" s="183"/>
      <c r="I10" s="185"/>
      <c r="J10" s="183"/>
    </row>
    <row r="11" spans="2:10" x14ac:dyDescent="0.25">
      <c r="B11" s="138" t="s">
        <v>261</v>
      </c>
      <c r="C11" s="41">
        <f>+'Fig1'!D11-'Fig1'!C11</f>
        <v>-6.232496000000004E-2</v>
      </c>
      <c r="D11" s="41">
        <f>+'Fig2'!D11-'Fig2'!C11</f>
        <v>-11.424880000000002</v>
      </c>
      <c r="F11" s="184">
        <v>2005</v>
      </c>
      <c r="G11" s="183"/>
      <c r="H11" s="183"/>
      <c r="I11" s="185"/>
      <c r="J11" s="183"/>
    </row>
    <row r="12" spans="2:10" x14ac:dyDescent="0.25">
      <c r="B12" s="138" t="s">
        <v>262</v>
      </c>
      <c r="C12" s="41">
        <f>+'Fig1'!D12-'Fig1'!C12</f>
        <v>-5.1080750000000008E-2</v>
      </c>
      <c r="D12" s="41">
        <f>+'Fig2'!D12-'Fig2'!C12</f>
        <v>4.5653199999999998</v>
      </c>
      <c r="F12" s="184"/>
      <c r="G12" s="183"/>
      <c r="H12" s="183"/>
      <c r="I12" s="185"/>
      <c r="J12" s="183"/>
    </row>
    <row r="13" spans="2:10" x14ac:dyDescent="0.25">
      <c r="B13" s="138" t="s">
        <v>263</v>
      </c>
      <c r="C13" s="41">
        <f>+'Fig1'!D13-'Fig1'!C13</f>
        <v>-2.1063129999999985E-2</v>
      </c>
      <c r="D13" s="41">
        <f>+'Fig2'!D13-'Fig2'!C13</f>
        <v>-12.035150000000002</v>
      </c>
      <c r="F13" s="184"/>
      <c r="G13" s="183">
        <v>27.5915</v>
      </c>
      <c r="H13" s="183">
        <v>50.161700000000003</v>
      </c>
      <c r="I13" s="185">
        <v>77.753230000000002</v>
      </c>
      <c r="J13" s="183">
        <v>0.50623315000000002</v>
      </c>
    </row>
    <row r="14" spans="2:10" x14ac:dyDescent="0.25">
      <c r="B14" s="138" t="s">
        <v>264</v>
      </c>
      <c r="C14" s="41">
        <f>+'Fig1'!D14-'Fig1'!C14</f>
        <v>-6.5772219999999992E-2</v>
      </c>
      <c r="D14" s="41">
        <f>+'Fig2'!D14-'Fig2'!C14</f>
        <v>-23.440599999999996</v>
      </c>
      <c r="F14" s="184"/>
      <c r="G14" s="183"/>
      <c r="H14" s="183"/>
      <c r="I14" s="185"/>
      <c r="J14" s="183"/>
    </row>
    <row r="15" spans="2:10" x14ac:dyDescent="0.25">
      <c r="B15" s="138" t="s">
        <v>265</v>
      </c>
      <c r="C15" s="41">
        <f>+'Fig1'!D15-'Fig1'!C15</f>
        <v>-9.6734099999999934E-3</v>
      </c>
      <c r="D15" s="41">
        <f>+'Fig2'!D15-'Fig2'!C15</f>
        <v>-28.581350000000008</v>
      </c>
      <c r="F15" s="184"/>
      <c r="G15" s="183">
        <v>24.425599999999999</v>
      </c>
      <c r="H15" s="183">
        <v>53.425400000000003</v>
      </c>
      <c r="I15" s="185">
        <v>77.851070000000007</v>
      </c>
      <c r="J15" s="183">
        <v>0.48962708999999999</v>
      </c>
    </row>
    <row r="16" spans="2:10" x14ac:dyDescent="0.25">
      <c r="B16" s="138" t="s">
        <v>266</v>
      </c>
      <c r="C16" s="41">
        <f>+'Fig1'!D16-'Fig1'!C16</f>
        <v>-6.4697890000000036E-2</v>
      </c>
      <c r="D16" s="41">
        <f>+'Fig2'!D16-'Fig2'!C16</f>
        <v>-4.2347699999999975</v>
      </c>
      <c r="F16" s="184">
        <v>2010</v>
      </c>
      <c r="G16" s="183">
        <v>24.7166</v>
      </c>
      <c r="H16" s="183">
        <v>53.231999999999999</v>
      </c>
      <c r="I16" s="185">
        <v>77.948580000000007</v>
      </c>
      <c r="J16" s="183">
        <v>0.48464447999999999</v>
      </c>
    </row>
    <row r="17" spans="1:26" x14ac:dyDescent="0.25">
      <c r="B17" s="138" t="s">
        <v>267</v>
      </c>
      <c r="C17" s="41">
        <f>+'Fig1'!D17-'Fig1'!C17</f>
        <v>-9.038838999999993E-2</v>
      </c>
      <c r="D17" s="41">
        <f>+'Fig2'!D17-'Fig2'!C17</f>
        <v>-3.0384199999999879</v>
      </c>
      <c r="F17" s="184"/>
      <c r="G17" s="183">
        <v>24.469799999999999</v>
      </c>
      <c r="H17" s="183">
        <v>54.985300000000002</v>
      </c>
      <c r="I17" s="185">
        <v>79.455070000000006</v>
      </c>
      <c r="J17" s="183">
        <v>0.48130264</v>
      </c>
    </row>
    <row r="18" spans="1:26" x14ac:dyDescent="0.25">
      <c r="B18" s="138" t="s">
        <v>268</v>
      </c>
      <c r="C18" s="41">
        <f>+'Fig1'!D18-'Fig1'!C18</f>
        <v>-8.0229259999999969E-2</v>
      </c>
      <c r="D18" s="41">
        <f>+'Fig2'!D18-'Fig2'!C18</f>
        <v>-10.318339999999992</v>
      </c>
      <c r="F18" s="184"/>
      <c r="G18" s="183"/>
      <c r="H18" s="183"/>
      <c r="I18" s="185"/>
      <c r="J18" s="183"/>
    </row>
    <row r="19" spans="1:26" x14ac:dyDescent="0.25">
      <c r="B19" s="138" t="s">
        <v>269</v>
      </c>
      <c r="C19" s="41">
        <f>+'Fig1'!D19-'Fig1'!C19</f>
        <v>-4.5718930000000046E-2</v>
      </c>
      <c r="D19" s="41">
        <f>+'Fig2'!D19-'Fig2'!C19</f>
        <v>-29.468060000000001</v>
      </c>
      <c r="F19" s="184"/>
      <c r="G19" s="183">
        <v>25.6374</v>
      </c>
      <c r="H19" s="183">
        <v>47.272599999999997</v>
      </c>
      <c r="I19" s="185">
        <v>72.909949999999995</v>
      </c>
      <c r="J19" s="183">
        <v>0.47656148999999998</v>
      </c>
    </row>
    <row r="20" spans="1:26" x14ac:dyDescent="0.25">
      <c r="B20" s="253" t="s">
        <v>270</v>
      </c>
      <c r="C20" s="42">
        <f>+'Fig1'!D20-'Fig1'!C20</f>
        <v>-7.3254189999999997E-2</v>
      </c>
      <c r="D20" s="42">
        <f>+'Fig2'!D20-'Fig2'!C20</f>
        <v>-18.91019</v>
      </c>
      <c r="F20" s="184"/>
      <c r="G20" s="183"/>
      <c r="H20" s="183"/>
      <c r="I20" s="185"/>
      <c r="J20" s="56"/>
    </row>
    <row r="21" spans="1:26" x14ac:dyDescent="0.25">
      <c r="F21" s="199">
        <v>2015</v>
      </c>
      <c r="G21" s="200">
        <v>25.828399999999998</v>
      </c>
      <c r="H21" s="200">
        <v>49.256300000000003</v>
      </c>
      <c r="I21" s="200">
        <v>75.084630000000004</v>
      </c>
      <c r="J21" s="200">
        <v>0.46712735</v>
      </c>
    </row>
    <row r="22" spans="1:26" x14ac:dyDescent="0.25">
      <c r="B22" s="139" t="s">
        <v>233</v>
      </c>
      <c r="C22" s="43"/>
      <c r="D22" s="254">
        <v>-48.90605</v>
      </c>
      <c r="G22" s="56"/>
      <c r="H22" s="56"/>
      <c r="I22" s="56"/>
      <c r="J22" s="56"/>
    </row>
    <row r="23" spans="1:26" x14ac:dyDescent="0.25">
      <c r="A23" s="140"/>
      <c r="B23" s="140"/>
      <c r="C23" s="141"/>
      <c r="D23" s="141"/>
      <c r="L23" s="141"/>
      <c r="M23" s="141"/>
      <c r="N23" s="2"/>
      <c r="O23" s="2"/>
    </row>
    <row r="24" spans="1:26" ht="15.75" x14ac:dyDescent="0.25">
      <c r="A24" s="140"/>
      <c r="B24" s="140"/>
      <c r="C24" s="141"/>
      <c r="D24" s="141"/>
      <c r="E24" s="55"/>
      <c r="H24" s="55"/>
      <c r="I24" s="55"/>
      <c r="J24" s="55"/>
      <c r="K24" s="55"/>
      <c r="L24" s="141"/>
      <c r="M24" s="141"/>
      <c r="N24" s="2"/>
      <c r="O24" s="2"/>
      <c r="X24" s="55"/>
      <c r="Y24" s="55"/>
      <c r="Z24" s="55"/>
    </row>
    <row r="25" spans="1:26" x14ac:dyDescent="0.25">
      <c r="A25" s="140"/>
      <c r="B25" s="139" t="s">
        <v>271</v>
      </c>
      <c r="C25" s="139"/>
      <c r="D25" s="256">
        <f>+CORREL(I3:I21,J3:J21)</f>
        <v>0.79730190172496462</v>
      </c>
      <c r="E25" s="139"/>
      <c r="F25" s="139"/>
      <c r="L25" s="141"/>
      <c r="M25" s="141"/>
      <c r="N25" s="2"/>
      <c r="O25" s="2"/>
    </row>
    <row r="26" spans="1:26" x14ac:dyDescent="0.25">
      <c r="A26" s="140"/>
      <c r="B26" s="139" t="s">
        <v>272</v>
      </c>
      <c r="C26" s="139"/>
      <c r="D26" s="255">
        <f>+(J21/J3)-1</f>
        <v>-0.14393604178359132</v>
      </c>
      <c r="E26" s="139"/>
      <c r="F26" s="139"/>
      <c r="L26" s="141"/>
      <c r="M26" s="141"/>
      <c r="N26" s="2"/>
      <c r="O26" s="2"/>
    </row>
    <row r="27" spans="1:26" x14ac:dyDescent="0.25">
      <c r="A27" s="140"/>
      <c r="B27" s="139"/>
      <c r="C27" s="139"/>
      <c r="D27" s="139"/>
      <c r="E27" s="139"/>
      <c r="F27" s="139"/>
      <c r="L27" s="141"/>
      <c r="M27" s="141"/>
      <c r="N27" s="2"/>
      <c r="O27" s="2"/>
    </row>
    <row r="28" spans="1:26" x14ac:dyDescent="0.25">
      <c r="A28" s="140"/>
      <c r="B28" s="144"/>
      <c r="C28" s="144"/>
      <c r="D28" s="141"/>
      <c r="L28" s="141"/>
      <c r="M28" s="141"/>
      <c r="N28" s="2"/>
      <c r="O28" s="2"/>
    </row>
    <row r="29" spans="1:26" x14ac:dyDescent="0.25">
      <c r="A29" s="140"/>
      <c r="B29" s="140"/>
      <c r="C29" s="141"/>
      <c r="D29" s="141"/>
      <c r="L29" s="141"/>
      <c r="M29" s="141"/>
      <c r="N29" s="2"/>
      <c r="O29" s="2"/>
    </row>
    <row r="30" spans="1:26" x14ac:dyDescent="0.25">
      <c r="A30" s="140"/>
      <c r="B30" s="140"/>
      <c r="C30" s="141"/>
      <c r="D30" s="141"/>
      <c r="L30" s="141"/>
      <c r="M30" s="141"/>
      <c r="N30" s="2"/>
      <c r="O30" s="2"/>
    </row>
    <row r="31" spans="1:26" x14ac:dyDescent="0.25">
      <c r="A31" s="140"/>
      <c r="B31" s="140"/>
      <c r="C31" s="141"/>
      <c r="D31" s="141"/>
      <c r="L31" s="141"/>
      <c r="M31" s="141"/>
      <c r="N31" s="2"/>
      <c r="O31" s="2"/>
    </row>
    <row r="32" spans="1:26" x14ac:dyDescent="0.25">
      <c r="B32" s="2"/>
      <c r="C32" s="43"/>
      <c r="D32" s="43"/>
      <c r="L32" s="43"/>
      <c r="M32" s="43"/>
      <c r="N32" s="2"/>
      <c r="O32" s="2"/>
    </row>
    <row r="33" spans="2:26" x14ac:dyDescent="0.25">
      <c r="B33" s="2"/>
      <c r="C33" s="43"/>
      <c r="D33" s="43"/>
      <c r="L33" s="43"/>
      <c r="M33" s="43"/>
      <c r="N33" s="2"/>
      <c r="O33" s="2"/>
    </row>
    <row r="45" spans="2:26" ht="15.75" x14ac:dyDescent="0.25">
      <c r="E45" s="55"/>
      <c r="F45" s="54"/>
      <c r="G45" s="55"/>
      <c r="H45" s="55"/>
      <c r="I45" s="55"/>
      <c r="J45" s="55"/>
      <c r="K45" s="55"/>
      <c r="X45" s="55"/>
      <c r="Y45" s="55"/>
      <c r="Z45" s="55"/>
    </row>
    <row r="46" spans="2:26" ht="15.75" x14ac:dyDescent="0.25">
      <c r="H46" s="55"/>
      <c r="I46" s="55"/>
    </row>
    <row r="58" spans="6:6" x14ac:dyDescent="0.25">
      <c r="F58" s="49"/>
    </row>
    <row r="66" spans="5:11" x14ac:dyDescent="0.25">
      <c r="E66" s="51"/>
      <c r="J66" s="51"/>
      <c r="K66" s="51"/>
    </row>
    <row r="67" spans="5:11" x14ac:dyDescent="0.25">
      <c r="E67" s="51"/>
      <c r="J67" s="51"/>
      <c r="K67" s="51"/>
    </row>
    <row r="68" spans="5:11" x14ac:dyDescent="0.25">
      <c r="E68" s="51"/>
      <c r="J68" s="51"/>
      <c r="K68" s="51"/>
    </row>
    <row r="69" spans="5:11" x14ac:dyDescent="0.25">
      <c r="E69" s="51"/>
      <c r="J69" s="51"/>
      <c r="K69" s="51"/>
    </row>
    <row r="70" spans="5:11" x14ac:dyDescent="0.25">
      <c r="E70" s="51"/>
      <c r="J70" s="51"/>
      <c r="K70" s="51"/>
    </row>
    <row r="71" spans="5:11" x14ac:dyDescent="0.25">
      <c r="E71" s="51"/>
      <c r="J71" s="51"/>
      <c r="K71" s="51"/>
    </row>
    <row r="72" spans="5:11" x14ac:dyDescent="0.25">
      <c r="E72" s="51"/>
      <c r="J72" s="51"/>
      <c r="K72" s="51"/>
    </row>
    <row r="73" spans="5:11" x14ac:dyDescent="0.25">
      <c r="E73" s="51"/>
      <c r="J73" s="51"/>
      <c r="K73" s="51"/>
    </row>
    <row r="74" spans="5:11" x14ac:dyDescent="0.25">
      <c r="E74" s="51"/>
      <c r="J74" s="51"/>
      <c r="K74" s="51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G45"/>
  <sheetViews>
    <sheetView showGridLines="0" zoomScale="110" zoomScaleNormal="110" workbookViewId="0">
      <selection activeCell="C3" sqref="C3"/>
    </sheetView>
  </sheetViews>
  <sheetFormatPr defaultRowHeight="15" x14ac:dyDescent="0.25"/>
  <cols>
    <col min="1" max="1" width="3.42578125" customWidth="1"/>
    <col min="3" max="3" width="9.140625" style="40"/>
    <col min="4" max="4" width="11.7109375" style="40" bestFit="1" customWidth="1"/>
    <col min="5" max="5" width="2.85546875" style="40" customWidth="1"/>
    <col min="6" max="6" width="9" style="40" bestFit="1" customWidth="1"/>
    <col min="7" max="7" width="11.7109375" bestFit="1" customWidth="1"/>
  </cols>
  <sheetData>
    <row r="1" spans="2:4" x14ac:dyDescent="0.25">
      <c r="B1" s="126"/>
    </row>
    <row r="2" spans="2:4" ht="15.75" thickBot="1" x14ac:dyDescent="0.3">
      <c r="B2" s="147"/>
      <c r="C2" s="148" t="s">
        <v>235</v>
      </c>
      <c r="D2" s="148" t="s">
        <v>148</v>
      </c>
    </row>
    <row r="3" spans="2:4" ht="15.75" thickTop="1" x14ac:dyDescent="0.25">
      <c r="B3" s="44" t="s">
        <v>99</v>
      </c>
      <c r="C3" s="41">
        <v>0.50182499999999997</v>
      </c>
      <c r="D3" s="41">
        <v>0.4228384</v>
      </c>
    </row>
    <row r="4" spans="2:4" x14ac:dyDescent="0.25">
      <c r="B4" s="44" t="s">
        <v>100</v>
      </c>
      <c r="C4" s="41">
        <v>0.60158400000000001</v>
      </c>
      <c r="D4" s="41">
        <v>0.48060333999999999</v>
      </c>
    </row>
    <row r="5" spans="2:4" x14ac:dyDescent="0.25">
      <c r="B5" s="44" t="s">
        <v>101</v>
      </c>
      <c r="C5" s="41">
        <v>0.586198</v>
      </c>
      <c r="D5" s="41">
        <v>0.52873862000000005</v>
      </c>
    </row>
    <row r="6" spans="2:4" x14ac:dyDescent="0.25">
      <c r="B6" s="44" t="s">
        <v>102</v>
      </c>
      <c r="C6" s="41">
        <v>0.514899</v>
      </c>
      <c r="D6" s="41">
        <v>0.47235387000000001</v>
      </c>
    </row>
    <row r="7" spans="2:4" x14ac:dyDescent="0.25">
      <c r="B7" s="44" t="s">
        <v>103</v>
      </c>
      <c r="C7" s="41">
        <v>0.58254899999999998</v>
      </c>
      <c r="D7" s="41">
        <v>0.53487819999999997</v>
      </c>
    </row>
    <row r="8" spans="2:4" x14ac:dyDescent="0.25">
      <c r="B8" s="44" t="s">
        <v>104</v>
      </c>
      <c r="C8" s="41">
        <v>0.48096100000000003</v>
      </c>
      <c r="D8" s="41">
        <v>0.49175687000000001</v>
      </c>
    </row>
    <row r="9" spans="2:4" x14ac:dyDescent="0.25">
      <c r="B9" s="44" t="s">
        <v>138</v>
      </c>
      <c r="C9" s="41">
        <v>0.50116799999999995</v>
      </c>
      <c r="D9" s="41">
        <v>0.47071565999999998</v>
      </c>
    </row>
    <row r="10" spans="2:4" x14ac:dyDescent="0.25">
      <c r="B10" s="44" t="s">
        <v>106</v>
      </c>
      <c r="C10" s="41">
        <v>0.54991299999999999</v>
      </c>
      <c r="D10" s="41">
        <v>0.47289024000000002</v>
      </c>
    </row>
    <row r="11" spans="2:4" x14ac:dyDescent="0.25">
      <c r="B11" s="44" t="s">
        <v>107</v>
      </c>
      <c r="C11" s="41">
        <v>0.54889500000000002</v>
      </c>
      <c r="D11" s="41">
        <v>0.48657003999999998</v>
      </c>
    </row>
    <row r="12" spans="2:4" x14ac:dyDescent="0.25">
      <c r="B12" s="44" t="s">
        <v>108</v>
      </c>
      <c r="C12" s="41">
        <v>0.58779700000000001</v>
      </c>
      <c r="D12" s="41">
        <v>0.53671625000000001</v>
      </c>
    </row>
    <row r="13" spans="2:4" x14ac:dyDescent="0.25">
      <c r="B13" s="44" t="s">
        <v>109</v>
      </c>
      <c r="C13" s="41">
        <v>0.51246700000000001</v>
      </c>
      <c r="D13" s="41">
        <v>0.49140387000000002</v>
      </c>
    </row>
    <row r="14" spans="2:4" x14ac:dyDescent="0.25">
      <c r="B14" s="44" t="s">
        <v>110</v>
      </c>
      <c r="C14" s="41">
        <v>0.531416</v>
      </c>
      <c r="D14" s="41">
        <v>0.46564378000000001</v>
      </c>
    </row>
    <row r="15" spans="2:4" x14ac:dyDescent="0.25">
      <c r="B15" s="44" t="s">
        <v>111</v>
      </c>
      <c r="C15" s="41">
        <v>0.52632199999999996</v>
      </c>
      <c r="D15" s="41">
        <v>0.51664858999999996</v>
      </c>
    </row>
    <row r="16" spans="2:4" x14ac:dyDescent="0.25">
      <c r="B16" s="44" t="s">
        <v>112</v>
      </c>
      <c r="C16" s="41">
        <v>0.51196600000000003</v>
      </c>
      <c r="D16" s="41">
        <v>0.44726811</v>
      </c>
    </row>
    <row r="17" spans="2:7" x14ac:dyDescent="0.25">
      <c r="B17" s="44" t="s">
        <v>113</v>
      </c>
      <c r="C17" s="41">
        <v>0.57335499999999995</v>
      </c>
      <c r="D17" s="41">
        <v>0.48296661000000002</v>
      </c>
    </row>
    <row r="18" spans="2:7" x14ac:dyDescent="0.25">
      <c r="B18" s="44" t="s">
        <v>114</v>
      </c>
      <c r="C18" s="41">
        <v>0.51535299999999995</v>
      </c>
      <c r="D18" s="41">
        <v>0.43512373999999998</v>
      </c>
    </row>
    <row r="19" spans="2:7" x14ac:dyDescent="0.25">
      <c r="B19" s="44" t="s">
        <v>115</v>
      </c>
      <c r="C19" s="41">
        <v>0.46655200000000002</v>
      </c>
      <c r="D19" s="41">
        <v>0.42083306999999998</v>
      </c>
    </row>
    <row r="20" spans="2:7" x14ac:dyDescent="0.25">
      <c r="B20" s="45" t="s">
        <v>116</v>
      </c>
      <c r="C20" s="42">
        <v>0.481547</v>
      </c>
      <c r="D20" s="42">
        <v>0.40829281000000001</v>
      </c>
    </row>
    <row r="21" spans="2:7" x14ac:dyDescent="0.25">
      <c r="B21" s="140"/>
      <c r="C21" s="141"/>
      <c r="D21" s="141"/>
      <c r="E21" s="141"/>
      <c r="F21" s="141"/>
    </row>
    <row r="22" spans="2:7" x14ac:dyDescent="0.25">
      <c r="B22" s="142" t="s">
        <v>137</v>
      </c>
      <c r="C22" s="141"/>
      <c r="D22" s="141"/>
      <c r="E22" s="141"/>
      <c r="F22" s="141"/>
    </row>
    <row r="23" spans="2:7" x14ac:dyDescent="0.25">
      <c r="B23" s="144">
        <v>0.4</v>
      </c>
      <c r="C23" s="141"/>
      <c r="D23" s="141"/>
      <c r="E23" s="141"/>
      <c r="F23" s="141"/>
    </row>
    <row r="24" spans="2:7" x14ac:dyDescent="0.25">
      <c r="B24" s="144">
        <v>0.6</v>
      </c>
      <c r="C24" s="141"/>
      <c r="D24" s="141"/>
      <c r="E24" s="141"/>
      <c r="F24" s="141"/>
    </row>
    <row r="25" spans="2:7" x14ac:dyDescent="0.25">
      <c r="B25" s="140"/>
      <c r="C25" s="141"/>
      <c r="D25" s="141"/>
      <c r="E25" s="141"/>
      <c r="F25" s="141"/>
    </row>
    <row r="26" spans="2:7" ht="15.75" thickBot="1" x14ac:dyDescent="0.3">
      <c r="C26" s="143"/>
      <c r="D26" s="141"/>
      <c r="E26" s="141"/>
      <c r="F26" s="141"/>
    </row>
    <row r="27" spans="2:7" ht="15.75" thickBot="1" x14ac:dyDescent="0.3">
      <c r="B27" s="86"/>
      <c r="C27" s="161" t="s">
        <v>245</v>
      </c>
      <c r="D27" s="151" t="s">
        <v>244</v>
      </c>
      <c r="E27" s="141"/>
      <c r="F27" s="162" t="s">
        <v>246</v>
      </c>
      <c r="G27" s="151" t="s">
        <v>244</v>
      </c>
    </row>
    <row r="28" spans="2:7" x14ac:dyDescent="0.25">
      <c r="B28" s="159" t="s">
        <v>2</v>
      </c>
      <c r="C28" s="129">
        <v>0.50182499999999997</v>
      </c>
      <c r="D28" s="160">
        <v>2004</v>
      </c>
      <c r="E28" s="141"/>
      <c r="F28" s="163">
        <v>0.42283999999999999</v>
      </c>
      <c r="G28" s="164">
        <v>2013</v>
      </c>
    </row>
    <row r="29" spans="2:7" x14ac:dyDescent="0.25">
      <c r="B29" s="152" t="s">
        <v>3</v>
      </c>
      <c r="C29" s="128">
        <v>0.60158400000000001</v>
      </c>
      <c r="D29" s="154">
        <v>2002</v>
      </c>
      <c r="E29" s="141"/>
      <c r="F29" s="165">
        <v>0.48060000000000003</v>
      </c>
      <c r="G29" s="164">
        <v>2013</v>
      </c>
    </row>
    <row r="30" spans="2:7" x14ac:dyDescent="0.25">
      <c r="B30" s="152" t="s">
        <v>4</v>
      </c>
      <c r="C30" s="128">
        <v>0.586198</v>
      </c>
      <c r="D30" s="154">
        <v>2002</v>
      </c>
      <c r="E30" s="141"/>
      <c r="F30" s="165">
        <v>0.52873999999999999</v>
      </c>
      <c r="G30" s="164">
        <v>2013</v>
      </c>
    </row>
    <row r="31" spans="2:7" x14ac:dyDescent="0.25">
      <c r="B31" s="152" t="s">
        <v>5</v>
      </c>
      <c r="C31" s="128">
        <v>0.514899</v>
      </c>
      <c r="D31" s="153">
        <v>2003</v>
      </c>
      <c r="E31" s="141"/>
      <c r="F31" s="165">
        <v>0.47262999999999999</v>
      </c>
      <c r="G31" s="164">
        <v>2013</v>
      </c>
    </row>
    <row r="32" spans="2:7" x14ac:dyDescent="0.25">
      <c r="B32" s="152" t="s">
        <v>6</v>
      </c>
      <c r="C32" s="128">
        <v>0.58254899999999998</v>
      </c>
      <c r="D32" s="154">
        <v>2002</v>
      </c>
      <c r="E32" s="141"/>
      <c r="F32" s="165">
        <v>0.53488000000000002</v>
      </c>
      <c r="G32" s="164">
        <v>2013</v>
      </c>
    </row>
    <row r="33" spans="2:7" x14ac:dyDescent="0.25">
      <c r="B33" s="152" t="s">
        <v>7</v>
      </c>
      <c r="C33" s="128">
        <v>0.48096100000000003</v>
      </c>
      <c r="D33" s="155">
        <v>2010</v>
      </c>
      <c r="E33" s="141"/>
      <c r="F33" s="165">
        <v>0.49175999999999997</v>
      </c>
      <c r="G33" s="164">
        <v>2013</v>
      </c>
    </row>
    <row r="34" spans="2:7" x14ac:dyDescent="0.25">
      <c r="B34" s="152" t="s">
        <v>8</v>
      </c>
      <c r="C34" s="128">
        <v>0.50116799999999995</v>
      </c>
      <c r="D34" s="154">
        <v>2002</v>
      </c>
      <c r="E34" s="141"/>
      <c r="F34" s="165">
        <v>0.47072000000000003</v>
      </c>
      <c r="G34" s="164">
        <v>2013</v>
      </c>
    </row>
    <row r="35" spans="2:7" x14ac:dyDescent="0.25">
      <c r="B35" s="152" t="s">
        <v>9</v>
      </c>
      <c r="C35" s="128">
        <v>0.54991299999999999</v>
      </c>
      <c r="D35" s="153">
        <v>2003</v>
      </c>
      <c r="E35" s="141"/>
      <c r="F35" s="165">
        <v>0.47288999999999998</v>
      </c>
      <c r="G35" s="164">
        <v>2013</v>
      </c>
    </row>
    <row r="36" spans="2:7" x14ac:dyDescent="0.25">
      <c r="B36" s="152" t="s">
        <v>10</v>
      </c>
      <c r="C36" s="128">
        <v>0.54889500000000002</v>
      </c>
      <c r="D36" s="153">
        <v>2006</v>
      </c>
      <c r="E36" s="141"/>
      <c r="F36" s="165">
        <v>0.48657</v>
      </c>
      <c r="G36" s="166">
        <v>2014</v>
      </c>
    </row>
    <row r="37" spans="2:7" x14ac:dyDescent="0.25">
      <c r="B37" s="152" t="s">
        <v>11</v>
      </c>
      <c r="C37" s="128">
        <v>0.58779700000000001</v>
      </c>
      <c r="D37" s="154">
        <v>2002</v>
      </c>
      <c r="E37" s="141"/>
      <c r="F37" s="165">
        <v>0.53671999999999997</v>
      </c>
      <c r="G37" s="164">
        <v>2013</v>
      </c>
    </row>
    <row r="38" spans="2:7" x14ac:dyDescent="0.25">
      <c r="B38" s="152" t="s">
        <v>12</v>
      </c>
      <c r="C38" s="128">
        <v>0.51246700000000001</v>
      </c>
      <c r="D38" s="154">
        <v>2002</v>
      </c>
      <c r="E38" s="141"/>
      <c r="F38" s="165">
        <v>0.4914</v>
      </c>
      <c r="G38" s="166">
        <v>2014</v>
      </c>
    </row>
    <row r="39" spans="2:7" x14ac:dyDescent="0.25">
      <c r="B39" s="152" t="s">
        <v>13</v>
      </c>
      <c r="C39" s="128">
        <v>0.531416</v>
      </c>
      <c r="D39" s="153">
        <v>2001</v>
      </c>
      <c r="E39" s="141"/>
      <c r="F39" s="165">
        <v>0.46564</v>
      </c>
      <c r="G39" s="166">
        <v>2014</v>
      </c>
    </row>
    <row r="40" spans="2:7" x14ac:dyDescent="0.25">
      <c r="B40" s="152" t="s">
        <v>14</v>
      </c>
      <c r="C40" s="128">
        <v>0.52632199999999996</v>
      </c>
      <c r="D40" s="155">
        <v>2008</v>
      </c>
      <c r="E40" s="141"/>
      <c r="F40" s="165">
        <v>0.51665000000000005</v>
      </c>
      <c r="G40" s="164">
        <v>2013</v>
      </c>
    </row>
    <row r="41" spans="2:7" x14ac:dyDescent="0.25">
      <c r="B41" s="152" t="s">
        <v>15</v>
      </c>
      <c r="C41" s="128">
        <v>0.51196600000000003</v>
      </c>
      <c r="D41" s="153">
        <v>2004</v>
      </c>
      <c r="E41" s="141"/>
      <c r="F41" s="165">
        <v>0.44727</v>
      </c>
      <c r="G41" s="164">
        <v>2013</v>
      </c>
    </row>
    <row r="42" spans="2:7" x14ac:dyDescent="0.25">
      <c r="B42" s="152" t="s">
        <v>16</v>
      </c>
      <c r="C42" s="128">
        <v>0.57335499999999995</v>
      </c>
      <c r="D42" s="154">
        <v>2002</v>
      </c>
      <c r="E42" s="141"/>
      <c r="F42" s="165">
        <v>0.48297000000000001</v>
      </c>
      <c r="G42" s="164">
        <v>2013</v>
      </c>
    </row>
    <row r="43" spans="2:7" x14ac:dyDescent="0.25">
      <c r="B43" s="152" t="s">
        <v>17</v>
      </c>
      <c r="C43" s="128">
        <v>0.51535299999999995</v>
      </c>
      <c r="D43" s="154">
        <v>2002</v>
      </c>
      <c r="E43" s="141"/>
      <c r="F43" s="165">
        <v>0.43512000000000001</v>
      </c>
      <c r="G43" s="164">
        <v>2013</v>
      </c>
    </row>
    <row r="44" spans="2:7" x14ac:dyDescent="0.25">
      <c r="B44" s="152" t="s">
        <v>18</v>
      </c>
      <c r="C44" s="128">
        <v>0.46655200000000002</v>
      </c>
      <c r="D44" s="154">
        <v>2002</v>
      </c>
      <c r="E44" s="141"/>
      <c r="F44" s="165">
        <v>0.42082999999999998</v>
      </c>
      <c r="G44" s="164">
        <v>2013</v>
      </c>
    </row>
    <row r="45" spans="2:7" ht="15.75" thickBot="1" x14ac:dyDescent="0.3">
      <c r="B45" s="156" t="s">
        <v>19</v>
      </c>
      <c r="C45" s="157">
        <v>0.481547</v>
      </c>
      <c r="D45" s="158">
        <v>2002</v>
      </c>
      <c r="E45" s="141"/>
      <c r="F45" s="167">
        <v>0.40828999999999999</v>
      </c>
      <c r="G45" s="168">
        <v>2012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Y33"/>
  <sheetViews>
    <sheetView showGridLines="0" zoomScaleNormal="100" workbookViewId="0">
      <selection activeCell="B28" sqref="B28"/>
    </sheetView>
  </sheetViews>
  <sheetFormatPr defaultRowHeight="15" x14ac:dyDescent="0.25"/>
  <cols>
    <col min="1" max="1" width="3.42578125" customWidth="1"/>
    <col min="3" max="4" width="12.42578125" style="40" bestFit="1" customWidth="1"/>
    <col min="5" max="6" width="9.140625" style="40"/>
    <col min="16" max="16" width="9.140625" customWidth="1"/>
    <col min="17" max="18" width="13.5703125" style="46" customWidth="1"/>
    <col min="19" max="20" width="10.28515625" style="46" customWidth="1"/>
    <col min="21" max="22" width="15.28515625" style="46" customWidth="1"/>
    <col min="23" max="23" width="9.140625" style="1" customWidth="1"/>
    <col min="24" max="25" width="9.140625" customWidth="1"/>
  </cols>
  <sheetData>
    <row r="1" spans="2:25" x14ac:dyDescent="0.25">
      <c r="Q1" s="47"/>
      <c r="R1" s="47"/>
      <c r="S1" s="47"/>
      <c r="T1" s="47"/>
      <c r="U1" s="47"/>
      <c r="V1" s="47"/>
      <c r="W1" s="47"/>
      <c r="X1" s="47"/>
      <c r="Y1" s="47"/>
    </row>
    <row r="2" spans="2:25" ht="15.75" thickBot="1" x14ac:dyDescent="0.3">
      <c r="B2" s="147"/>
      <c r="C2" s="148" t="s">
        <v>240</v>
      </c>
      <c r="D2" s="148" t="s">
        <v>241</v>
      </c>
      <c r="E2" s="147" t="s">
        <v>147</v>
      </c>
      <c r="X2" s="2"/>
    </row>
    <row r="3" spans="2:25" ht="15.75" thickTop="1" x14ac:dyDescent="0.25">
      <c r="B3" s="138" t="s">
        <v>99</v>
      </c>
      <c r="C3" s="41">
        <v>97.215190000000007</v>
      </c>
      <c r="D3" s="41">
        <v>75.039439999999999</v>
      </c>
      <c r="E3" s="41">
        <v>2</v>
      </c>
    </row>
    <row r="4" spans="2:25" x14ac:dyDescent="0.25">
      <c r="B4" s="44" t="s">
        <v>100</v>
      </c>
      <c r="C4" s="41">
        <v>88.047139999999999</v>
      </c>
      <c r="D4" s="41">
        <v>63.432839999999999</v>
      </c>
      <c r="E4" s="41">
        <f t="shared" ref="E4:E20" si="0">+D4-C4</f>
        <v>-24.6143</v>
      </c>
    </row>
    <row r="5" spans="2:25" x14ac:dyDescent="0.25">
      <c r="B5" s="44" t="s">
        <v>101</v>
      </c>
      <c r="C5" s="41">
        <v>85.964910000000003</v>
      </c>
      <c r="D5" s="41">
        <v>80.952380000000005</v>
      </c>
      <c r="E5" s="41">
        <f t="shared" si="0"/>
        <v>-5.0125299999999982</v>
      </c>
    </row>
    <row r="6" spans="2:25" x14ac:dyDescent="0.25">
      <c r="B6" s="44" t="s">
        <v>102</v>
      </c>
      <c r="C6" s="41">
        <v>89.948449999999994</v>
      </c>
      <c r="D6" s="41">
        <v>89.508210000000005</v>
      </c>
      <c r="E6" s="41">
        <f t="shared" si="0"/>
        <v>-0.44023999999998864</v>
      </c>
    </row>
    <row r="7" spans="2:25" x14ac:dyDescent="0.25">
      <c r="B7" s="44" t="s">
        <v>103</v>
      </c>
      <c r="C7" s="41">
        <v>89.115039999999993</v>
      </c>
      <c r="D7" s="41">
        <v>85.383899999999997</v>
      </c>
      <c r="E7" s="41">
        <f t="shared" si="0"/>
        <v>-3.7311399999999963</v>
      </c>
    </row>
    <row r="8" spans="2:25" x14ac:dyDescent="0.25">
      <c r="B8" s="44" t="s">
        <v>104</v>
      </c>
      <c r="C8" s="41">
        <v>75</v>
      </c>
      <c r="D8" s="41">
        <v>84.137190000000004</v>
      </c>
      <c r="E8" s="41">
        <f t="shared" si="0"/>
        <v>9.1371900000000039</v>
      </c>
    </row>
    <row r="9" spans="2:25" x14ac:dyDescent="0.25">
      <c r="B9" s="44" t="s">
        <v>138</v>
      </c>
      <c r="C9" s="46">
        <v>74.32978</v>
      </c>
      <c r="D9" s="41">
        <v>72.611469999999997</v>
      </c>
      <c r="E9" s="41">
        <f t="shared" si="0"/>
        <v>-1.7183100000000024</v>
      </c>
    </row>
    <row r="10" spans="2:25" x14ac:dyDescent="0.25">
      <c r="B10" s="44" t="s">
        <v>106</v>
      </c>
      <c r="C10" s="41">
        <v>87.584460000000007</v>
      </c>
      <c r="D10" s="41">
        <f>+D22+5</f>
        <v>43.67841</v>
      </c>
      <c r="E10" s="41">
        <f t="shared" si="0"/>
        <v>-43.906050000000008</v>
      </c>
    </row>
    <row r="11" spans="2:25" x14ac:dyDescent="0.25">
      <c r="B11" s="44" t="s">
        <v>107</v>
      </c>
      <c r="C11" s="41">
        <v>87.678759999999997</v>
      </c>
      <c r="D11" s="41">
        <v>76.253879999999995</v>
      </c>
      <c r="E11" s="41">
        <f t="shared" si="0"/>
        <v>-11.424880000000002</v>
      </c>
    </row>
    <row r="12" spans="2:25" x14ac:dyDescent="0.25">
      <c r="B12" s="44" t="s">
        <v>108</v>
      </c>
      <c r="C12" s="41">
        <v>82.486490000000003</v>
      </c>
      <c r="D12" s="41">
        <v>87.051810000000003</v>
      </c>
      <c r="E12" s="41">
        <f t="shared" si="0"/>
        <v>4.5653199999999998</v>
      </c>
    </row>
    <row r="13" spans="2:25" x14ac:dyDescent="0.25">
      <c r="B13" s="44" t="s">
        <v>109</v>
      </c>
      <c r="C13" s="41">
        <v>92</v>
      </c>
      <c r="D13" s="41">
        <v>79.964849999999998</v>
      </c>
      <c r="E13" s="41">
        <f t="shared" si="0"/>
        <v>-12.035150000000002</v>
      </c>
    </row>
    <row r="14" spans="2:25" x14ac:dyDescent="0.25">
      <c r="B14" s="44" t="s">
        <v>110</v>
      </c>
      <c r="C14" s="41">
        <v>78.390299999999996</v>
      </c>
      <c r="D14" s="41">
        <v>54.9497</v>
      </c>
      <c r="E14" s="41">
        <f t="shared" si="0"/>
        <v>-23.440599999999996</v>
      </c>
    </row>
    <row r="15" spans="2:25" x14ac:dyDescent="0.25">
      <c r="B15" s="44" t="s">
        <v>111</v>
      </c>
      <c r="C15" s="41">
        <v>91.794880000000006</v>
      </c>
      <c r="D15" s="41">
        <v>63.213529999999999</v>
      </c>
      <c r="E15" s="41">
        <f t="shared" si="0"/>
        <v>-28.581350000000008</v>
      </c>
    </row>
    <row r="16" spans="2:25" x14ac:dyDescent="0.25">
      <c r="B16" s="44" t="s">
        <v>112</v>
      </c>
      <c r="C16" s="41">
        <v>86.240139999999997</v>
      </c>
      <c r="D16" s="41">
        <v>82.005369999999999</v>
      </c>
      <c r="E16" s="41">
        <f t="shared" si="0"/>
        <v>-4.2347699999999975</v>
      </c>
    </row>
    <row r="17" spans="2:8" x14ac:dyDescent="0.25">
      <c r="B17" s="44" t="s">
        <v>113</v>
      </c>
      <c r="C17" s="41">
        <v>93.254639999999995</v>
      </c>
      <c r="D17" s="41">
        <v>90.216220000000007</v>
      </c>
      <c r="E17" s="41">
        <f t="shared" si="0"/>
        <v>-3.0384199999999879</v>
      </c>
    </row>
    <row r="18" spans="2:8" x14ac:dyDescent="0.25">
      <c r="B18" s="44" t="s">
        <v>114</v>
      </c>
      <c r="C18" s="41">
        <v>80.231219999999993</v>
      </c>
      <c r="D18" s="41">
        <v>69.912880000000001</v>
      </c>
      <c r="E18" s="41">
        <f t="shared" si="0"/>
        <v>-10.318339999999992</v>
      </c>
    </row>
    <row r="19" spans="2:8" x14ac:dyDescent="0.25">
      <c r="B19" s="44" t="s">
        <v>115</v>
      </c>
      <c r="C19" s="41">
        <v>92.912700000000001</v>
      </c>
      <c r="D19" s="41">
        <v>63.44464</v>
      </c>
      <c r="E19" s="41">
        <f t="shared" si="0"/>
        <v>-29.468060000000001</v>
      </c>
    </row>
    <row r="20" spans="2:8" x14ac:dyDescent="0.25">
      <c r="B20" s="45" t="s">
        <v>116</v>
      </c>
      <c r="C20" s="42">
        <v>74.532499999999999</v>
      </c>
      <c r="D20" s="42">
        <v>55.622309999999999</v>
      </c>
      <c r="E20" s="42">
        <f t="shared" si="0"/>
        <v>-18.91019</v>
      </c>
    </row>
    <row r="22" spans="2:8" x14ac:dyDescent="0.25">
      <c r="B22" s="137" t="s">
        <v>234</v>
      </c>
      <c r="D22" s="42">
        <v>38.67841</v>
      </c>
    </row>
    <row r="23" spans="2:8" x14ac:dyDescent="0.25">
      <c r="B23" s="140"/>
      <c r="C23" s="141"/>
      <c r="D23" s="141"/>
      <c r="E23" s="141"/>
      <c r="F23" s="141"/>
      <c r="G23" s="2"/>
      <c r="H23" s="2"/>
    </row>
    <row r="24" spans="2:8" x14ac:dyDescent="0.25">
      <c r="B24" s="140"/>
      <c r="C24" s="141"/>
      <c r="D24" s="141"/>
      <c r="E24" s="141"/>
      <c r="F24" s="141"/>
      <c r="G24" s="2"/>
      <c r="H24" s="2"/>
    </row>
    <row r="25" spans="2:8" x14ac:dyDescent="0.25">
      <c r="B25" s="140"/>
      <c r="C25" s="141"/>
      <c r="D25" s="141"/>
      <c r="E25" s="141"/>
      <c r="F25" s="141"/>
      <c r="G25" s="2"/>
      <c r="H25" s="2"/>
    </row>
    <row r="26" spans="2:8" x14ac:dyDescent="0.25">
      <c r="B26" s="142" t="s">
        <v>137</v>
      </c>
      <c r="C26" s="143"/>
      <c r="D26" s="141"/>
      <c r="E26" s="141"/>
      <c r="F26" s="141"/>
      <c r="G26" s="2"/>
      <c r="H26" s="2"/>
    </row>
    <row r="27" spans="2:8" x14ac:dyDescent="0.25">
      <c r="B27" s="144">
        <v>30</v>
      </c>
      <c r="C27" s="144"/>
      <c r="D27" s="141"/>
      <c r="E27" s="141"/>
      <c r="F27" s="141"/>
      <c r="G27" s="2"/>
      <c r="H27" s="2"/>
    </row>
    <row r="28" spans="2:8" x14ac:dyDescent="0.25">
      <c r="B28" s="144">
        <v>100</v>
      </c>
      <c r="C28" s="144"/>
      <c r="D28" s="141"/>
      <c r="E28" s="141"/>
      <c r="F28" s="141"/>
      <c r="G28" s="2"/>
      <c r="H28" s="2"/>
    </row>
    <row r="29" spans="2:8" x14ac:dyDescent="0.25">
      <c r="B29" s="140"/>
      <c r="C29" s="141"/>
      <c r="D29" s="141"/>
      <c r="E29" s="141"/>
      <c r="F29" s="141"/>
      <c r="G29" s="2"/>
      <c r="H29" s="2"/>
    </row>
    <row r="30" spans="2:8" x14ac:dyDescent="0.25">
      <c r="B30" s="140"/>
      <c r="C30" s="141"/>
      <c r="D30" s="141"/>
      <c r="E30" s="141"/>
      <c r="F30" s="141"/>
      <c r="G30" s="2"/>
      <c r="H30" s="2"/>
    </row>
    <row r="31" spans="2:8" x14ac:dyDescent="0.25">
      <c r="B31" s="140"/>
      <c r="C31" s="141"/>
      <c r="D31" s="141"/>
      <c r="E31" s="141"/>
      <c r="F31" s="141"/>
      <c r="G31" s="2"/>
      <c r="H31" s="2"/>
    </row>
    <row r="32" spans="2:8" x14ac:dyDescent="0.25">
      <c r="B32" s="140"/>
      <c r="C32" s="141"/>
      <c r="D32" s="141"/>
      <c r="E32" s="141"/>
      <c r="F32" s="141"/>
      <c r="G32" s="2"/>
      <c r="H32" s="2"/>
    </row>
    <row r="33" spans="2:8" x14ac:dyDescent="0.25">
      <c r="B33" s="140"/>
      <c r="C33" s="141"/>
      <c r="D33" s="141"/>
      <c r="E33" s="141"/>
      <c r="F33" s="141"/>
      <c r="G33" s="2"/>
      <c r="H33" s="2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B33"/>
  <sheetViews>
    <sheetView showGridLines="0" zoomScaleNormal="100" workbookViewId="0">
      <selection activeCell="P14" sqref="P14"/>
    </sheetView>
  </sheetViews>
  <sheetFormatPr defaultRowHeight="15" x14ac:dyDescent="0.25"/>
  <cols>
    <col min="1" max="1" width="3.42578125" customWidth="1"/>
    <col min="3" max="3" width="8.28515625" style="40" bestFit="1" customWidth="1"/>
    <col min="4" max="4" width="13.85546875" style="40" bestFit="1" customWidth="1"/>
    <col min="5" max="6" width="9.140625" style="40"/>
    <col min="17" max="18" width="13.5703125" style="46" bestFit="1" customWidth="1"/>
    <col min="19" max="20" width="10.28515625" style="46" bestFit="1" customWidth="1"/>
    <col min="21" max="22" width="15.28515625" style="46" bestFit="1" customWidth="1"/>
  </cols>
  <sheetData>
    <row r="1" spans="2:28" x14ac:dyDescent="0.25">
      <c r="C1" s="43"/>
      <c r="Q1" s="47"/>
      <c r="R1" s="47"/>
      <c r="S1" s="47"/>
      <c r="T1" s="47"/>
      <c r="U1" s="47"/>
      <c r="V1" s="47"/>
    </row>
    <row r="2" spans="2:28" ht="15.75" thickBot="1" x14ac:dyDescent="0.3">
      <c r="B2" s="148"/>
      <c r="C2" s="148" t="s">
        <v>242</v>
      </c>
      <c r="D2" s="148" t="s">
        <v>243</v>
      </c>
      <c r="X2" s="46"/>
      <c r="Y2" s="46"/>
      <c r="Z2" s="46"/>
    </row>
    <row r="3" spans="2:28" ht="15.75" thickTop="1" x14ac:dyDescent="0.25">
      <c r="B3" s="44" t="s">
        <v>99</v>
      </c>
      <c r="C3" s="41">
        <f>+'Fig1'!D3-'Fig1'!C3</f>
        <v>-7.8986599999999962E-2</v>
      </c>
      <c r="D3" s="41">
        <f>+'Fig2'!D3-'Fig2'!C3</f>
        <v>-22.175750000000008</v>
      </c>
      <c r="X3" s="3"/>
      <c r="Y3" s="3"/>
      <c r="Z3" s="3"/>
      <c r="AA3" s="3"/>
      <c r="AB3" s="3"/>
    </row>
    <row r="4" spans="2:28" x14ac:dyDescent="0.25">
      <c r="B4" s="44" t="s">
        <v>100</v>
      </c>
      <c r="C4" s="41">
        <f>+'Fig1'!D4-'Fig1'!C4</f>
        <v>-0.12098066000000002</v>
      </c>
      <c r="D4" s="41">
        <f>+'Fig2'!D4-'Fig2'!C4</f>
        <v>-24.6143</v>
      </c>
      <c r="X4" s="3"/>
      <c r="Y4" s="3"/>
      <c r="Z4" s="3"/>
    </row>
    <row r="5" spans="2:28" x14ac:dyDescent="0.25">
      <c r="B5" s="44" t="s">
        <v>101</v>
      </c>
      <c r="C5" s="41">
        <f>+'Fig1'!D5-'Fig1'!C5</f>
        <v>-5.7459379999999949E-2</v>
      </c>
      <c r="D5" s="41">
        <f>+'Fig2'!D5-'Fig2'!C5</f>
        <v>-5.0125299999999982</v>
      </c>
      <c r="X5" s="3"/>
      <c r="Y5" s="3"/>
      <c r="Z5" s="3"/>
    </row>
    <row r="6" spans="2:28" x14ac:dyDescent="0.25">
      <c r="B6" s="44" t="s">
        <v>102</v>
      </c>
      <c r="C6" s="41">
        <f>+'Fig1'!D6-'Fig1'!C6</f>
        <v>-4.2545129999999987E-2</v>
      </c>
      <c r="D6" s="41">
        <f>+'Fig2'!D6-'Fig2'!C6</f>
        <v>-0.44023999999998864</v>
      </c>
      <c r="X6" s="3"/>
      <c r="Y6" s="3"/>
      <c r="Z6" s="3"/>
    </row>
    <row r="7" spans="2:28" x14ac:dyDescent="0.25">
      <c r="B7" s="44" t="s">
        <v>103</v>
      </c>
      <c r="C7" s="41">
        <f>+'Fig1'!D7-'Fig1'!C7</f>
        <v>-4.7670800000000013E-2</v>
      </c>
      <c r="D7" s="41">
        <f>+'Fig2'!D7-'Fig2'!C7</f>
        <v>-3.7311399999999963</v>
      </c>
      <c r="X7" s="3"/>
      <c r="Y7" s="3"/>
      <c r="Z7" s="3"/>
    </row>
    <row r="8" spans="2:28" x14ac:dyDescent="0.25">
      <c r="B8" s="44" t="s">
        <v>104</v>
      </c>
      <c r="C8" s="41">
        <f>+'Fig1'!D8-'Fig1'!C8</f>
        <v>1.0795869999999985E-2</v>
      </c>
      <c r="D8" s="41">
        <f>+'Fig2'!D8-'Fig2'!C8</f>
        <v>9.1371900000000039</v>
      </c>
      <c r="X8" s="3"/>
      <c r="Y8" s="3"/>
      <c r="Z8" s="3"/>
    </row>
    <row r="9" spans="2:28" x14ac:dyDescent="0.25">
      <c r="B9" s="44" t="s">
        <v>138</v>
      </c>
      <c r="C9" s="41">
        <f>+'Fig1'!D9-'Fig1'!C9</f>
        <v>-3.0452339999999967E-2</v>
      </c>
      <c r="D9" s="41">
        <f>+'Fig2'!D9-'Fig2'!C9</f>
        <v>-1.7183100000000024</v>
      </c>
      <c r="X9" s="3"/>
      <c r="Y9" s="3"/>
      <c r="Z9" s="3"/>
    </row>
    <row r="10" spans="2:28" x14ac:dyDescent="0.25">
      <c r="B10" s="44" t="s">
        <v>106</v>
      </c>
      <c r="C10" s="41">
        <f>+'Fig1'!D10-'Fig1'!C10</f>
        <v>-7.7022759999999968E-2</v>
      </c>
      <c r="D10" s="41">
        <f>+D22+15</f>
        <v>-33.90605</v>
      </c>
      <c r="X10" s="3"/>
      <c r="Y10" s="3"/>
      <c r="Z10" s="3"/>
    </row>
    <row r="11" spans="2:28" x14ac:dyDescent="0.25">
      <c r="B11" s="44" t="s">
        <v>107</v>
      </c>
      <c r="C11" s="41">
        <f>+'Fig1'!D11-'Fig1'!C11</f>
        <v>-6.232496000000004E-2</v>
      </c>
      <c r="D11" s="41">
        <f>+'Fig2'!D11-'Fig2'!C11</f>
        <v>-11.424880000000002</v>
      </c>
      <c r="X11" s="3"/>
      <c r="Y11" s="3"/>
      <c r="Z11" s="3"/>
    </row>
    <row r="12" spans="2:28" x14ac:dyDescent="0.25">
      <c r="B12" s="44" t="s">
        <v>108</v>
      </c>
      <c r="C12" s="41">
        <f>+'Fig1'!D12-'Fig1'!C12</f>
        <v>-5.1080750000000008E-2</v>
      </c>
      <c r="D12" s="41">
        <f>+'Fig2'!D12-'Fig2'!C12</f>
        <v>4.5653199999999998</v>
      </c>
      <c r="X12" s="3"/>
      <c r="Y12" s="3"/>
      <c r="Z12" s="3"/>
    </row>
    <row r="13" spans="2:28" x14ac:dyDescent="0.25">
      <c r="B13" s="44" t="s">
        <v>109</v>
      </c>
      <c r="C13" s="41">
        <f>+'Fig1'!D13-'Fig1'!C13</f>
        <v>-2.1063129999999985E-2</v>
      </c>
      <c r="D13" s="41">
        <f>+'Fig2'!D13-'Fig2'!C13</f>
        <v>-12.035150000000002</v>
      </c>
      <c r="X13" s="3"/>
      <c r="Y13" s="3"/>
      <c r="Z13" s="3"/>
    </row>
    <row r="14" spans="2:28" x14ac:dyDescent="0.25">
      <c r="B14" s="44" t="s">
        <v>110</v>
      </c>
      <c r="C14" s="41">
        <f>+'Fig1'!D14-'Fig1'!C14</f>
        <v>-6.5772219999999992E-2</v>
      </c>
      <c r="D14" s="41">
        <f>+'Fig2'!D14-'Fig2'!C14</f>
        <v>-23.440599999999996</v>
      </c>
      <c r="X14" s="3"/>
      <c r="Y14" s="3"/>
      <c r="Z14" s="3"/>
    </row>
    <row r="15" spans="2:28" x14ac:dyDescent="0.25">
      <c r="B15" s="44" t="s">
        <v>111</v>
      </c>
      <c r="C15" s="41">
        <f>+'Fig1'!D15-'Fig1'!C15</f>
        <v>-9.6734099999999934E-3</v>
      </c>
      <c r="D15" s="41">
        <f>+'Fig2'!D15-'Fig2'!C15</f>
        <v>-28.581350000000008</v>
      </c>
      <c r="X15" s="3"/>
      <c r="Y15" s="3"/>
      <c r="Z15" s="3"/>
    </row>
    <row r="16" spans="2:28" x14ac:dyDescent="0.25">
      <c r="B16" s="44" t="s">
        <v>112</v>
      </c>
      <c r="C16" s="41">
        <f>+'Fig1'!D16-'Fig1'!C16</f>
        <v>-6.4697890000000036E-2</v>
      </c>
      <c r="D16" s="41">
        <f>+'Fig2'!D16-'Fig2'!C16</f>
        <v>-4.2347699999999975</v>
      </c>
      <c r="X16" s="3"/>
      <c r="Y16" s="3"/>
      <c r="Z16" s="3"/>
    </row>
    <row r="17" spans="1:26" x14ac:dyDescent="0.25">
      <c r="B17" s="44" t="s">
        <v>113</v>
      </c>
      <c r="C17" s="41">
        <f>+'Fig1'!D17-'Fig1'!C17</f>
        <v>-9.038838999999993E-2</v>
      </c>
      <c r="D17" s="41">
        <f>+'Fig2'!D17-'Fig2'!C17</f>
        <v>-3.0384199999999879</v>
      </c>
      <c r="X17" s="3"/>
      <c r="Y17" s="3"/>
      <c r="Z17" s="3"/>
    </row>
    <row r="18" spans="1:26" x14ac:dyDescent="0.25">
      <c r="B18" s="44" t="s">
        <v>114</v>
      </c>
      <c r="C18" s="41">
        <f>+'Fig1'!D18-'Fig1'!C18</f>
        <v>-8.0229259999999969E-2</v>
      </c>
      <c r="D18" s="41">
        <f>+'Fig2'!D18-'Fig2'!C18</f>
        <v>-10.318339999999992</v>
      </c>
      <c r="X18" s="3"/>
      <c r="Y18" s="3"/>
      <c r="Z18" s="3"/>
    </row>
    <row r="19" spans="1:26" x14ac:dyDescent="0.25">
      <c r="B19" s="44" t="s">
        <v>115</v>
      </c>
      <c r="C19" s="41">
        <f>+'Fig1'!D19-'Fig1'!C19</f>
        <v>-4.5718930000000046E-2</v>
      </c>
      <c r="D19" s="41">
        <f>+'Fig2'!D19-'Fig2'!C19</f>
        <v>-29.468060000000001</v>
      </c>
      <c r="X19" s="3"/>
      <c r="Y19" s="3"/>
      <c r="Z19" s="3"/>
    </row>
    <row r="20" spans="1:26" x14ac:dyDescent="0.25">
      <c r="B20" s="45" t="s">
        <v>116</v>
      </c>
      <c r="C20" s="42">
        <f>+'Fig1'!D20-'Fig1'!C20</f>
        <v>-7.3254189999999997E-2</v>
      </c>
      <c r="D20" s="42">
        <f>+'Fig2'!D20-'Fig2'!C20</f>
        <v>-18.91019</v>
      </c>
      <c r="X20" s="3"/>
      <c r="Y20" s="3"/>
      <c r="Z20" s="3"/>
    </row>
    <row r="22" spans="1:26" x14ac:dyDescent="0.25">
      <c r="B22" s="139" t="s">
        <v>233</v>
      </c>
      <c r="C22" s="43"/>
      <c r="D22" s="40">
        <v>-48.90605</v>
      </c>
    </row>
    <row r="23" spans="1:26" x14ac:dyDescent="0.25">
      <c r="A23" s="140"/>
      <c r="B23" s="140"/>
      <c r="C23" s="141"/>
      <c r="D23" s="141"/>
      <c r="E23" s="141"/>
      <c r="F23" s="141"/>
      <c r="G23" s="2"/>
      <c r="H23" s="2"/>
    </row>
    <row r="24" spans="1:26" x14ac:dyDescent="0.25">
      <c r="A24" s="140"/>
      <c r="B24" s="140"/>
      <c r="C24" s="141"/>
      <c r="D24" s="141"/>
      <c r="E24" s="141"/>
      <c r="F24" s="141"/>
      <c r="G24" s="2"/>
      <c r="H24" s="2"/>
    </row>
    <row r="25" spans="1:26" x14ac:dyDescent="0.25">
      <c r="A25" s="140"/>
      <c r="B25" s="140"/>
      <c r="C25" s="141"/>
      <c r="D25" s="141"/>
      <c r="E25" s="141"/>
      <c r="F25" s="141"/>
      <c r="G25" s="2"/>
      <c r="H25" s="2"/>
    </row>
    <row r="26" spans="1:26" x14ac:dyDescent="0.25">
      <c r="A26" s="140"/>
      <c r="B26" s="142"/>
      <c r="C26" s="143"/>
      <c r="D26" s="145"/>
      <c r="E26" s="141"/>
      <c r="F26" s="141"/>
      <c r="G26" s="2"/>
      <c r="H26" s="2"/>
    </row>
    <row r="27" spans="1:26" x14ac:dyDescent="0.25">
      <c r="A27" s="140"/>
      <c r="B27" s="144"/>
      <c r="C27" s="144"/>
      <c r="D27" s="141"/>
      <c r="E27" s="141"/>
      <c r="F27" s="141"/>
      <c r="G27" s="2"/>
      <c r="H27" s="2"/>
    </row>
    <row r="28" spans="1:26" x14ac:dyDescent="0.25">
      <c r="A28" s="140"/>
      <c r="B28" s="144"/>
      <c r="C28" s="144"/>
      <c r="D28" s="141"/>
      <c r="E28" s="141"/>
      <c r="F28" s="141"/>
      <c r="G28" s="2"/>
      <c r="H28" s="2"/>
    </row>
    <row r="29" spans="1:26" x14ac:dyDescent="0.25">
      <c r="A29" s="140"/>
      <c r="B29" s="140"/>
      <c r="C29" s="141"/>
      <c r="D29" s="141"/>
      <c r="E29" s="141"/>
      <c r="F29" s="141"/>
      <c r="G29" s="2"/>
      <c r="H29" s="2"/>
    </row>
    <row r="30" spans="1:26" x14ac:dyDescent="0.25">
      <c r="A30" s="140"/>
      <c r="B30" s="140"/>
      <c r="C30" s="141"/>
      <c r="D30" s="141"/>
      <c r="E30" s="141"/>
      <c r="F30" s="141"/>
      <c r="G30" s="2"/>
      <c r="H30" s="2"/>
    </row>
    <row r="31" spans="1:26" x14ac:dyDescent="0.25">
      <c r="A31" s="140"/>
      <c r="B31" s="140"/>
      <c r="C31" s="141"/>
      <c r="D31" s="141"/>
      <c r="E31" s="141"/>
      <c r="F31" s="141"/>
      <c r="G31" s="2"/>
      <c r="H31" s="2"/>
    </row>
    <row r="32" spans="1:26" x14ac:dyDescent="0.25">
      <c r="B32" s="2"/>
      <c r="C32" s="43"/>
      <c r="D32" s="43"/>
      <c r="E32" s="43"/>
      <c r="F32" s="43"/>
      <c r="G32" s="2"/>
      <c r="H32" s="2"/>
    </row>
    <row r="33" spans="2:8" x14ac:dyDescent="0.25">
      <c r="B33" s="2"/>
      <c r="C33" s="43"/>
      <c r="D33" s="43"/>
      <c r="E33" s="43"/>
      <c r="F33" s="43"/>
      <c r="G33" s="2"/>
      <c r="H33" s="2"/>
    </row>
  </sheetData>
  <conditionalFormatting sqref="X3:Z20">
    <cfRule type="cellIs" dxfId="1" priority="1" operator="equal">
      <formula>"Aumenta"</formula>
    </cfRule>
    <cfRule type="cellIs" dxfId="0" priority="2" operator="equal">
      <formula>"Cae"</formula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161"/>
  <sheetViews>
    <sheetView showGridLines="0" topLeftCell="E1" zoomScaleNormal="100" workbookViewId="0">
      <selection activeCell="J31" sqref="J31"/>
    </sheetView>
  </sheetViews>
  <sheetFormatPr defaultRowHeight="15" x14ac:dyDescent="0.25"/>
  <cols>
    <col min="2" max="2" width="8" bestFit="1" customWidth="1"/>
    <col min="3" max="3" width="9.42578125" style="88" bestFit="1" customWidth="1"/>
    <col min="4" max="4" width="11" style="180" bestFit="1" customWidth="1"/>
    <col min="5" max="5" width="19.7109375" style="181" bestFit="1" customWidth="1"/>
    <col min="6" max="6" width="7" style="181" bestFit="1" customWidth="1"/>
    <col min="7" max="7" width="11.140625" style="181" bestFit="1" customWidth="1"/>
    <col min="10" max="10" width="19.7109375" bestFit="1" customWidth="1"/>
    <col min="13" max="13" width="10.5703125" customWidth="1"/>
    <col min="18" max="18" width="9.140625" style="174"/>
    <col min="19" max="19" width="5" style="7" bestFit="1" customWidth="1"/>
    <col min="20" max="20" width="6.140625" style="7" bestFit="1" customWidth="1"/>
    <col min="21" max="21" width="19.7109375" style="7" bestFit="1" customWidth="1"/>
    <col min="22" max="22" width="7" style="7" bestFit="1" customWidth="1"/>
    <col min="23" max="23" width="11.140625" style="7" bestFit="1" customWidth="1"/>
  </cols>
  <sheetData>
    <row r="1" spans="2:23" x14ac:dyDescent="0.25">
      <c r="B1" s="169"/>
      <c r="C1" s="177"/>
      <c r="D1" s="178"/>
      <c r="E1" s="179"/>
      <c r="F1" s="179"/>
      <c r="G1" s="179"/>
    </row>
    <row r="2" spans="2:23" ht="15.75" thickBot="1" x14ac:dyDescent="0.3">
      <c r="B2" s="148" t="s">
        <v>0</v>
      </c>
      <c r="C2" s="148" t="s">
        <v>58</v>
      </c>
      <c r="D2" s="176" t="s">
        <v>29</v>
      </c>
      <c r="E2" s="176" t="s">
        <v>149</v>
      </c>
      <c r="F2" s="176" t="s">
        <v>34</v>
      </c>
      <c r="G2" s="176" t="s">
        <v>139</v>
      </c>
      <c r="J2" s="182" t="s">
        <v>149</v>
      </c>
      <c r="R2" s="175" t="s">
        <v>0</v>
      </c>
      <c r="S2" s="148" t="s">
        <v>58</v>
      </c>
      <c r="T2" s="148" t="s">
        <v>29</v>
      </c>
      <c r="U2" s="148" t="s">
        <v>149</v>
      </c>
      <c r="V2" s="148" t="s">
        <v>34</v>
      </c>
      <c r="W2" s="148" t="s">
        <v>139</v>
      </c>
    </row>
    <row r="3" spans="2:23" ht="15.75" thickTop="1" x14ac:dyDescent="0.25">
      <c r="B3" t="s">
        <v>2</v>
      </c>
      <c r="C3" s="88">
        <v>2007</v>
      </c>
      <c r="D3" s="180">
        <v>0.47371701999999999</v>
      </c>
      <c r="E3" s="180">
        <v>89.662819999999996</v>
      </c>
      <c r="F3" s="180">
        <v>58.186300000000003</v>
      </c>
      <c r="G3" s="180">
        <v>31.476500000000001</v>
      </c>
      <c r="J3" s="146" t="s">
        <v>247</v>
      </c>
      <c r="R3" s="174" t="s">
        <v>2</v>
      </c>
      <c r="S3" s="170">
        <v>2015</v>
      </c>
      <c r="T3" s="173">
        <v>0.42666016000000001</v>
      </c>
      <c r="U3" s="173">
        <v>78.533159999999995</v>
      </c>
      <c r="V3" s="173">
        <v>59.286799999999999</v>
      </c>
      <c r="W3" s="173">
        <v>19.246400000000001</v>
      </c>
    </row>
    <row r="4" spans="2:23" x14ac:dyDescent="0.25">
      <c r="B4" t="s">
        <v>2</v>
      </c>
      <c r="C4" s="88">
        <v>2009</v>
      </c>
      <c r="D4" s="180">
        <v>0.45273023000000001</v>
      </c>
      <c r="E4" s="180">
        <v>95.546229999999994</v>
      </c>
      <c r="F4" s="180">
        <v>51.276000000000003</v>
      </c>
      <c r="G4" s="180">
        <v>44.270200000000003</v>
      </c>
      <c r="J4" s="146"/>
      <c r="R4" s="174" t="s">
        <v>3</v>
      </c>
      <c r="S4" s="170">
        <v>2015</v>
      </c>
      <c r="T4" s="173">
        <v>0.45777488</v>
      </c>
      <c r="U4" s="173">
        <v>52.990659999999998</v>
      </c>
      <c r="V4" s="173">
        <v>42.803699999999999</v>
      </c>
      <c r="W4" s="173">
        <v>10.1869</v>
      </c>
    </row>
    <row r="5" spans="2:23" x14ac:dyDescent="0.25">
      <c r="B5" t="s">
        <v>2</v>
      </c>
      <c r="C5" s="88">
        <v>2010</v>
      </c>
      <c r="D5" s="180">
        <v>0.44495506000000001</v>
      </c>
      <c r="E5" s="180">
        <v>87.601699999999994</v>
      </c>
      <c r="F5" s="180">
        <v>53.6248</v>
      </c>
      <c r="G5" s="180">
        <v>33.976900000000001</v>
      </c>
      <c r="R5" s="174" t="s">
        <v>4</v>
      </c>
      <c r="S5" s="170">
        <v>2015</v>
      </c>
      <c r="T5" s="173">
        <v>0.51350794</v>
      </c>
      <c r="U5" s="173">
        <v>92.326530000000005</v>
      </c>
      <c r="V5" s="173">
        <v>46.448999999999998</v>
      </c>
      <c r="W5" s="173">
        <v>45.877600000000001</v>
      </c>
    </row>
    <row r="6" spans="2:23" x14ac:dyDescent="0.25">
      <c r="B6" t="s">
        <v>2</v>
      </c>
      <c r="C6" s="88">
        <v>2011</v>
      </c>
      <c r="D6" s="180">
        <v>0.43572284</v>
      </c>
      <c r="E6" s="180">
        <v>83.662099999999995</v>
      </c>
      <c r="F6" s="180">
        <v>61.652000000000001</v>
      </c>
      <c r="G6" s="180">
        <v>22.010100000000001</v>
      </c>
      <c r="R6" s="174" t="s">
        <v>5</v>
      </c>
      <c r="S6" s="170">
        <v>2015</v>
      </c>
      <c r="T6" s="173">
        <v>0.47651670000000002</v>
      </c>
      <c r="U6" s="173">
        <v>94.941569999999999</v>
      </c>
      <c r="V6" s="173">
        <v>48.472499999999997</v>
      </c>
      <c r="W6" s="173">
        <v>46.469099999999997</v>
      </c>
    </row>
    <row r="7" spans="2:23" x14ac:dyDescent="0.25">
      <c r="B7" t="s">
        <v>2</v>
      </c>
      <c r="C7" s="88">
        <v>2013</v>
      </c>
      <c r="D7" s="180">
        <v>0.4228384</v>
      </c>
      <c r="E7" s="180">
        <v>75.039439999999999</v>
      </c>
      <c r="F7" s="180">
        <v>55.790100000000002</v>
      </c>
      <c r="G7" s="180">
        <v>19.249300000000002</v>
      </c>
      <c r="R7" s="174" t="s">
        <v>6</v>
      </c>
      <c r="S7" s="170">
        <v>2015</v>
      </c>
      <c r="T7" s="173">
        <v>0.51069376</v>
      </c>
      <c r="U7" s="173">
        <v>85.589370000000002</v>
      </c>
      <c r="V7" s="173">
        <v>50.418100000000003</v>
      </c>
      <c r="W7" s="173">
        <v>35.171300000000002</v>
      </c>
    </row>
    <row r="8" spans="2:23" x14ac:dyDescent="0.25">
      <c r="B8" t="s">
        <v>2</v>
      </c>
      <c r="C8" s="88">
        <v>2015</v>
      </c>
      <c r="D8" s="180">
        <v>0.42666016000000001</v>
      </c>
      <c r="E8" s="180">
        <v>78.533159999999995</v>
      </c>
      <c r="F8" s="180">
        <v>59.286799999999999</v>
      </c>
      <c r="G8" s="180">
        <v>19.246400000000001</v>
      </c>
      <c r="R8" s="174" t="s">
        <v>7</v>
      </c>
      <c r="S8" s="170">
        <v>2015</v>
      </c>
      <c r="T8" s="173">
        <v>0.48174398000000002</v>
      </c>
      <c r="U8" s="173">
        <v>81.294970000000006</v>
      </c>
      <c r="V8" s="173">
        <v>51.490200000000002</v>
      </c>
      <c r="W8" s="173">
        <v>29.8047</v>
      </c>
    </row>
    <row r="9" spans="2:23" x14ac:dyDescent="0.25">
      <c r="B9" t="s">
        <v>3</v>
      </c>
      <c r="C9" s="88">
        <v>1997</v>
      </c>
      <c r="D9" s="180">
        <v>0.58164428000000001</v>
      </c>
      <c r="E9" s="180">
        <v>90.07732</v>
      </c>
      <c r="F9" s="180">
        <v>66.237099999999998</v>
      </c>
      <c r="G9" s="180">
        <v>23.840199999999999</v>
      </c>
      <c r="R9" s="174" t="s">
        <v>8</v>
      </c>
      <c r="S9" s="170">
        <v>2015</v>
      </c>
      <c r="T9" s="173">
        <v>0.44880756999999999</v>
      </c>
      <c r="U9" s="173">
        <v>74.406750000000002</v>
      </c>
      <c r="V9" s="173">
        <v>52.008200000000002</v>
      </c>
      <c r="W9" s="173">
        <v>22.398599999999998</v>
      </c>
    </row>
    <row r="10" spans="2:23" x14ac:dyDescent="0.25">
      <c r="B10" t="s">
        <v>3</v>
      </c>
      <c r="C10" s="88">
        <v>2001</v>
      </c>
      <c r="D10" s="180">
        <v>0.58876695000000001</v>
      </c>
      <c r="E10" s="180">
        <v>91.390730000000005</v>
      </c>
      <c r="F10" s="180">
        <v>57.142899999999997</v>
      </c>
      <c r="G10" s="180">
        <v>34.247900000000001</v>
      </c>
      <c r="R10" s="174" t="s">
        <v>9</v>
      </c>
      <c r="S10" s="170">
        <v>2015</v>
      </c>
      <c r="T10" s="173">
        <v>0.46544669999999999</v>
      </c>
      <c r="U10" s="173">
        <v>46.210039999999999</v>
      </c>
      <c r="V10" s="173">
        <v>33.515999999999998</v>
      </c>
      <c r="W10" s="173">
        <v>12.694100000000001</v>
      </c>
    </row>
    <row r="11" spans="2:23" x14ac:dyDescent="0.25">
      <c r="B11" t="s">
        <v>3</v>
      </c>
      <c r="C11" s="88">
        <v>2002</v>
      </c>
      <c r="D11" s="180">
        <v>0.6015836</v>
      </c>
      <c r="E11" s="180">
        <v>86.814019999999999</v>
      </c>
      <c r="F11" s="180">
        <v>63.166400000000003</v>
      </c>
      <c r="G11" s="180">
        <v>23.647600000000001</v>
      </c>
      <c r="R11" s="174" t="s">
        <v>10</v>
      </c>
      <c r="S11" s="170">
        <v>2015</v>
      </c>
      <c r="T11" s="173">
        <v>0.48657003999999998</v>
      </c>
      <c r="U11" s="173">
        <v>78.605419999999995</v>
      </c>
      <c r="V11" s="173">
        <v>48.586199999999998</v>
      </c>
      <c r="W11" s="173">
        <v>30.019300000000001</v>
      </c>
    </row>
    <row r="12" spans="2:23" x14ac:dyDescent="0.25">
      <c r="B12" t="s">
        <v>3</v>
      </c>
      <c r="C12" s="88">
        <v>2007</v>
      </c>
      <c r="D12" s="180">
        <v>0.55444921000000003</v>
      </c>
      <c r="E12" s="180">
        <v>68.598619999999997</v>
      </c>
      <c r="F12" s="180">
        <v>54.152299999999997</v>
      </c>
      <c r="G12" s="180">
        <v>14.446400000000001</v>
      </c>
      <c r="R12" s="174" t="s">
        <v>11</v>
      </c>
      <c r="S12" s="170">
        <v>2015</v>
      </c>
      <c r="T12" s="173">
        <v>0.50096061000000003</v>
      </c>
      <c r="U12" s="173">
        <v>79.836330000000004</v>
      </c>
      <c r="V12" s="173">
        <v>49.472799999999999</v>
      </c>
      <c r="W12" s="173">
        <v>30.363499999999998</v>
      </c>
    </row>
    <row r="13" spans="2:23" x14ac:dyDescent="0.25">
      <c r="B13" t="s">
        <v>3</v>
      </c>
      <c r="C13" s="88">
        <v>2009</v>
      </c>
      <c r="D13" s="180">
        <v>0.49653070999999999</v>
      </c>
      <c r="E13" s="180">
        <v>63.668430000000001</v>
      </c>
      <c r="F13" s="180">
        <v>48.8536</v>
      </c>
      <c r="G13" s="180">
        <v>14.8148</v>
      </c>
      <c r="R13" s="174" t="s">
        <v>12</v>
      </c>
      <c r="S13" s="170">
        <v>2015</v>
      </c>
      <c r="T13" s="173">
        <v>0.49140387000000002</v>
      </c>
      <c r="U13" s="173">
        <v>82.423209999999997</v>
      </c>
      <c r="V13" s="173">
        <v>47.781599999999997</v>
      </c>
      <c r="W13" s="173">
        <v>34.641599999999997</v>
      </c>
    </row>
    <row r="14" spans="2:23" x14ac:dyDescent="0.25">
      <c r="B14" t="s">
        <v>3</v>
      </c>
      <c r="C14" s="88">
        <v>2011</v>
      </c>
      <c r="D14" s="180">
        <v>0.46260467999999999</v>
      </c>
      <c r="E14" s="180">
        <v>78.10284</v>
      </c>
      <c r="F14" s="180">
        <v>65.514200000000002</v>
      </c>
      <c r="G14" s="180">
        <v>12.588699999999999</v>
      </c>
      <c r="R14" s="174" t="s">
        <v>13</v>
      </c>
      <c r="S14" s="170">
        <v>2015</v>
      </c>
      <c r="T14" s="173">
        <v>0.46564378000000001</v>
      </c>
      <c r="U14" s="173">
        <v>57.824069999999999</v>
      </c>
      <c r="V14" s="173">
        <v>46.344499999999996</v>
      </c>
      <c r="W14" s="173">
        <v>11.4796</v>
      </c>
    </row>
    <row r="15" spans="2:23" x14ac:dyDescent="0.25">
      <c r="B15" t="s">
        <v>3</v>
      </c>
      <c r="C15" s="88">
        <v>2013</v>
      </c>
      <c r="D15" s="180">
        <v>0.48060333999999999</v>
      </c>
      <c r="E15" s="180">
        <v>63.432839999999999</v>
      </c>
      <c r="F15" s="180">
        <v>51.679099999999998</v>
      </c>
      <c r="G15" s="180">
        <v>11.7537</v>
      </c>
      <c r="R15" s="174" t="s">
        <v>14</v>
      </c>
      <c r="S15" s="170">
        <v>2015</v>
      </c>
      <c r="T15" s="173">
        <v>0.50981854999999998</v>
      </c>
      <c r="U15" s="173">
        <v>62.108559999999997</v>
      </c>
      <c r="V15" s="173">
        <v>43.110599999999998</v>
      </c>
      <c r="W15" s="173">
        <v>18.997900000000001</v>
      </c>
    </row>
    <row r="16" spans="2:23" x14ac:dyDescent="0.25">
      <c r="B16" t="s">
        <v>3</v>
      </c>
      <c r="C16" s="88">
        <v>2015</v>
      </c>
      <c r="D16" s="180">
        <v>0.45777488</v>
      </c>
      <c r="E16" s="180">
        <v>52.990659999999998</v>
      </c>
      <c r="F16" s="180">
        <v>42.803699999999999</v>
      </c>
      <c r="G16" s="180">
        <v>10.1869</v>
      </c>
      <c r="R16" s="174" t="s">
        <v>15</v>
      </c>
      <c r="S16" s="170">
        <v>2015</v>
      </c>
      <c r="T16" s="173">
        <v>0.44290905000000003</v>
      </c>
      <c r="U16" s="173">
        <v>82.273949999999999</v>
      </c>
      <c r="V16" s="173">
        <v>61.235500000000002</v>
      </c>
      <c r="W16" s="173">
        <v>21.038499999999999</v>
      </c>
    </row>
    <row r="17" spans="2:23" x14ac:dyDescent="0.25">
      <c r="B17" t="s">
        <v>4</v>
      </c>
      <c r="C17" s="88">
        <v>1997</v>
      </c>
      <c r="D17" s="180">
        <v>0.59799658</v>
      </c>
      <c r="E17" s="180">
        <v>92.622960000000006</v>
      </c>
      <c r="F17" s="180">
        <v>54.098399999999998</v>
      </c>
      <c r="G17" s="180">
        <v>38.5246</v>
      </c>
      <c r="R17" s="174" t="s">
        <v>16</v>
      </c>
      <c r="S17" s="170">
        <v>2015</v>
      </c>
      <c r="T17" s="173">
        <v>0.47981648999999998</v>
      </c>
      <c r="U17" s="173">
        <v>85.678319999999999</v>
      </c>
      <c r="V17" s="173">
        <v>52.214100000000002</v>
      </c>
      <c r="W17" s="173">
        <v>33.464199999999998</v>
      </c>
    </row>
    <row r="18" spans="2:23" x14ac:dyDescent="0.25">
      <c r="B18" t="s">
        <v>4</v>
      </c>
      <c r="C18" s="88">
        <v>2001</v>
      </c>
      <c r="D18" s="180">
        <v>0.59330161999999997</v>
      </c>
      <c r="E18" s="180">
        <v>86.378039999999999</v>
      </c>
      <c r="F18" s="180">
        <v>50.686399999999999</v>
      </c>
      <c r="G18" s="180">
        <v>35.691699999999997</v>
      </c>
      <c r="R18" s="174" t="s">
        <v>17</v>
      </c>
      <c r="S18" s="170">
        <v>2015</v>
      </c>
      <c r="T18" s="173">
        <v>0.40752209</v>
      </c>
      <c r="U18" s="173">
        <v>76.740939999999995</v>
      </c>
      <c r="V18" s="173">
        <v>56.643099999999997</v>
      </c>
      <c r="W18" s="173">
        <v>20.097899999999999</v>
      </c>
    </row>
    <row r="19" spans="2:23" x14ac:dyDescent="0.25">
      <c r="B19" t="s">
        <v>4</v>
      </c>
      <c r="C19" s="88">
        <v>2002</v>
      </c>
      <c r="D19" s="180">
        <v>0.58619825999999997</v>
      </c>
      <c r="E19" s="180">
        <v>85.964910000000003</v>
      </c>
      <c r="F19" s="180">
        <v>53.044400000000003</v>
      </c>
      <c r="G19" s="180">
        <v>32.920499999999997</v>
      </c>
      <c r="R19" s="202" t="s">
        <v>18</v>
      </c>
      <c r="S19" s="203">
        <v>2015</v>
      </c>
      <c r="T19" s="204">
        <v>0.42006956000000001</v>
      </c>
      <c r="U19" s="204">
        <v>65.706810000000004</v>
      </c>
      <c r="V19" s="204">
        <v>56.195500000000003</v>
      </c>
      <c r="W19" s="204">
        <v>9.5113400000000006</v>
      </c>
    </row>
    <row r="20" spans="2:23" x14ac:dyDescent="0.25">
      <c r="B20" t="s">
        <v>4</v>
      </c>
      <c r="C20" s="88">
        <v>2007</v>
      </c>
      <c r="D20" s="180">
        <v>0.55233233000000004</v>
      </c>
      <c r="E20" s="180">
        <v>86.277869999999993</v>
      </c>
      <c r="F20" s="180">
        <v>53.173200000000001</v>
      </c>
      <c r="G20" s="180">
        <v>33.104599999999998</v>
      </c>
      <c r="S20" s="170"/>
    </row>
    <row r="21" spans="2:23" x14ac:dyDescent="0.25">
      <c r="B21" t="s">
        <v>4</v>
      </c>
      <c r="C21" s="88">
        <v>2009</v>
      </c>
      <c r="D21" s="180">
        <v>0.53873230000000005</v>
      </c>
      <c r="E21" s="180">
        <v>83.375960000000006</v>
      </c>
      <c r="F21" s="180">
        <v>58.397300000000001</v>
      </c>
      <c r="G21" s="180">
        <v>24.9787</v>
      </c>
      <c r="S21" s="170"/>
      <c r="U21" s="171"/>
      <c r="V21" s="172"/>
      <c r="W21" s="172"/>
    </row>
    <row r="22" spans="2:23" ht="15.75" thickBot="1" x14ac:dyDescent="0.3">
      <c r="B22" t="s">
        <v>4</v>
      </c>
      <c r="C22" s="88">
        <v>2011</v>
      </c>
      <c r="D22" s="180">
        <v>0.53094680999999999</v>
      </c>
      <c r="E22" s="180">
        <v>85.135140000000007</v>
      </c>
      <c r="F22" s="180">
        <v>58.445900000000002</v>
      </c>
      <c r="G22" s="180">
        <v>26.6892</v>
      </c>
      <c r="J22" s="192" t="s">
        <v>238</v>
      </c>
      <c r="K22" s="192" t="s">
        <v>239</v>
      </c>
      <c r="L22" s="192" t="s">
        <v>34</v>
      </c>
      <c r="M22" s="192" t="s">
        <v>139</v>
      </c>
      <c r="S22" s="170"/>
    </row>
    <row r="23" spans="2:23" ht="15.75" thickTop="1" x14ac:dyDescent="0.25">
      <c r="B23" t="s">
        <v>4</v>
      </c>
      <c r="C23" s="88">
        <v>2013</v>
      </c>
      <c r="D23" s="180">
        <v>0.52873862000000005</v>
      </c>
      <c r="E23" s="180">
        <v>80.952380000000005</v>
      </c>
      <c r="F23" s="180">
        <v>47.878799999999998</v>
      </c>
      <c r="G23" s="180">
        <v>33.073599999999999</v>
      </c>
      <c r="J23" s="146" t="s">
        <v>200</v>
      </c>
      <c r="K23" s="31">
        <f>+PEARSON($D$3:$D$126,E3:E126)</f>
        <v>0.38810867824037648</v>
      </c>
      <c r="L23" s="31">
        <f>+PEARSON($D$3:$D$126,F3:F126)</f>
        <v>9.6111308537905893E-2</v>
      </c>
      <c r="M23" s="31">
        <f>+PEARSON($D$3:$D$126,G3:G126)</f>
        <v>0.35589343382907168</v>
      </c>
      <c r="N23" s="31"/>
      <c r="S23" s="170"/>
    </row>
    <row r="24" spans="2:23" x14ac:dyDescent="0.25">
      <c r="B24" t="s">
        <v>4</v>
      </c>
      <c r="C24" s="88">
        <v>2015</v>
      </c>
      <c r="D24" s="180">
        <v>0.51350794</v>
      </c>
      <c r="E24" s="180">
        <v>92.326530000000005</v>
      </c>
      <c r="F24" s="180">
        <v>46.448999999999998</v>
      </c>
      <c r="G24" s="180">
        <v>45.877600000000001</v>
      </c>
      <c r="J24" s="205" t="s">
        <v>237</v>
      </c>
      <c r="K24" s="206">
        <f>+PEARSON($T$3:$T$19,U3:U19)</f>
        <v>0.26050021524675765</v>
      </c>
      <c r="L24" s="206">
        <f t="shared" ref="L24:M24" si="0">+PEARSON($T$3:$T$19,V3:V19)</f>
        <v>-0.51132718687779444</v>
      </c>
      <c r="M24" s="206">
        <f t="shared" si="0"/>
        <v>0.6013318558460361</v>
      </c>
      <c r="S24" s="170"/>
    </row>
    <row r="25" spans="2:23" x14ac:dyDescent="0.25">
      <c r="B25" t="s">
        <v>5</v>
      </c>
      <c r="C25" s="88">
        <v>1997</v>
      </c>
      <c r="D25" s="180">
        <v>0.55522068999999996</v>
      </c>
      <c r="E25" s="180">
        <v>88.393770000000004</v>
      </c>
      <c r="F25" s="180">
        <v>53.936999999999998</v>
      </c>
      <c r="G25" s="180">
        <v>34.456800000000001</v>
      </c>
      <c r="S25" s="170"/>
      <c r="U25" s="171"/>
      <c r="V25" s="172"/>
      <c r="W25" s="172"/>
    </row>
    <row r="26" spans="2:23" x14ac:dyDescent="0.25">
      <c r="B26" t="s">
        <v>5</v>
      </c>
      <c r="C26" s="88">
        <v>2001</v>
      </c>
      <c r="D26" s="180">
        <v>0.52772008999999998</v>
      </c>
      <c r="E26" s="180">
        <v>90.204470000000001</v>
      </c>
      <c r="F26" s="180">
        <v>52.036499999999997</v>
      </c>
      <c r="G26" s="180">
        <v>38.167999999999999</v>
      </c>
      <c r="S26" s="170"/>
    </row>
    <row r="27" spans="2:23" x14ac:dyDescent="0.25">
      <c r="B27" t="s">
        <v>5</v>
      </c>
      <c r="C27" s="88">
        <v>2002</v>
      </c>
      <c r="D27" s="180">
        <v>0.51489868000000005</v>
      </c>
      <c r="E27" s="180">
        <v>90.867090000000005</v>
      </c>
      <c r="F27" s="180">
        <v>60.406500000000001</v>
      </c>
      <c r="G27" s="180">
        <v>30.4605</v>
      </c>
      <c r="S27" s="170"/>
    </row>
    <row r="28" spans="2:23" ht="15.75" thickBot="1" x14ac:dyDescent="0.3">
      <c r="B28" t="s">
        <v>5</v>
      </c>
      <c r="C28" s="88">
        <v>2007</v>
      </c>
      <c r="D28" s="180">
        <v>0.48217711000000002</v>
      </c>
      <c r="E28" s="180">
        <v>90.230310000000003</v>
      </c>
      <c r="F28" s="180">
        <v>45.3934</v>
      </c>
      <c r="G28" s="180">
        <v>44.8369</v>
      </c>
      <c r="J28" s="192" t="s">
        <v>236</v>
      </c>
      <c r="K28" s="192" t="s">
        <v>239</v>
      </c>
      <c r="L28" s="192" t="s">
        <v>34</v>
      </c>
      <c r="M28" s="192" t="s">
        <v>139</v>
      </c>
      <c r="S28" s="170"/>
    </row>
    <row r="29" spans="2:23" ht="15.75" thickTop="1" x14ac:dyDescent="0.25">
      <c r="B29" t="s">
        <v>5</v>
      </c>
      <c r="C29" s="88">
        <v>2009</v>
      </c>
      <c r="D29" s="180">
        <v>0.48972760999999998</v>
      </c>
      <c r="E29" s="180">
        <v>85.074929999999995</v>
      </c>
      <c r="F29" s="180">
        <v>57.388800000000003</v>
      </c>
      <c r="G29" s="180">
        <v>27.6861</v>
      </c>
      <c r="J29" s="146" t="s">
        <v>200</v>
      </c>
      <c r="K29" s="31">
        <v>0.4461</v>
      </c>
      <c r="L29" s="31">
        <v>-0.4975</v>
      </c>
      <c r="M29" s="31">
        <v>0.62009999999999998</v>
      </c>
    </row>
    <row r="30" spans="2:23" x14ac:dyDescent="0.25">
      <c r="B30" t="s">
        <v>5</v>
      </c>
      <c r="C30" s="88">
        <v>2011</v>
      </c>
      <c r="D30" s="180">
        <v>0.47617691000000001</v>
      </c>
      <c r="E30" s="180">
        <v>94.086110000000005</v>
      </c>
      <c r="F30" s="180">
        <v>45.089300000000001</v>
      </c>
      <c r="G30" s="180">
        <v>48.9968</v>
      </c>
      <c r="J30" s="205" t="s">
        <v>237</v>
      </c>
      <c r="K30" s="206">
        <v>0.36249999999999999</v>
      </c>
      <c r="L30" s="206">
        <v>3.78E-2</v>
      </c>
      <c r="M30" s="206">
        <v>0.40689999999999998</v>
      </c>
    </row>
    <row r="31" spans="2:23" x14ac:dyDescent="0.25">
      <c r="B31" t="s">
        <v>5</v>
      </c>
      <c r="C31" s="88">
        <v>2013</v>
      </c>
      <c r="D31" s="180">
        <v>0.47263495</v>
      </c>
      <c r="E31" s="180">
        <v>89.508210000000005</v>
      </c>
      <c r="F31" s="180">
        <v>36.036499999999997</v>
      </c>
      <c r="G31" s="180">
        <v>53.471699999999998</v>
      </c>
    </row>
    <row r="32" spans="2:23" x14ac:dyDescent="0.25">
      <c r="B32" t="s">
        <v>5</v>
      </c>
      <c r="C32" s="88">
        <v>2015</v>
      </c>
      <c r="D32" s="180">
        <v>0.47651670000000002</v>
      </c>
      <c r="E32" s="180">
        <v>94.941569999999999</v>
      </c>
      <c r="F32" s="180">
        <v>48.472499999999997</v>
      </c>
      <c r="G32" s="180">
        <v>46.469099999999997</v>
      </c>
    </row>
    <row r="33" spans="2:11" x14ac:dyDescent="0.25">
      <c r="B33" t="s">
        <v>6</v>
      </c>
      <c r="C33" s="88">
        <v>2002</v>
      </c>
      <c r="D33" s="180">
        <v>0.58254918</v>
      </c>
      <c r="E33" s="180">
        <v>90.709680000000006</v>
      </c>
      <c r="F33" s="180">
        <v>49.211599999999997</v>
      </c>
      <c r="G33" s="180">
        <v>41.498100000000001</v>
      </c>
    </row>
    <row r="34" spans="2:11" x14ac:dyDescent="0.25">
      <c r="B34" t="s">
        <v>6</v>
      </c>
      <c r="C34" s="88">
        <v>2007</v>
      </c>
      <c r="D34" s="180">
        <v>0.56042272000000004</v>
      </c>
      <c r="E34" s="180">
        <v>81.378489999999999</v>
      </c>
      <c r="F34" s="180">
        <v>52.586300000000001</v>
      </c>
      <c r="G34" s="180">
        <v>28.792200000000001</v>
      </c>
    </row>
    <row r="35" spans="2:11" x14ac:dyDescent="0.25">
      <c r="B35" t="s">
        <v>6</v>
      </c>
      <c r="C35" s="88">
        <v>2009</v>
      </c>
      <c r="D35" s="180">
        <v>0.55918040000000002</v>
      </c>
      <c r="E35" s="180">
        <v>80.838480000000004</v>
      </c>
      <c r="F35" s="180">
        <v>53.262</v>
      </c>
      <c r="G35" s="180">
        <v>27.576499999999999</v>
      </c>
    </row>
    <row r="36" spans="2:11" x14ac:dyDescent="0.25">
      <c r="B36" t="s">
        <v>6</v>
      </c>
      <c r="C36" s="88">
        <v>2010</v>
      </c>
      <c r="D36" s="180">
        <v>0.55499443999999998</v>
      </c>
      <c r="E36" s="180">
        <v>84.779049999999998</v>
      </c>
      <c r="F36" s="180">
        <v>52.542400000000001</v>
      </c>
      <c r="G36" s="180">
        <v>32.236699999999999</v>
      </c>
      <c r="K36" s="3"/>
    </row>
    <row r="37" spans="2:11" x14ac:dyDescent="0.25">
      <c r="B37" t="s">
        <v>6</v>
      </c>
      <c r="C37" s="88">
        <v>2011</v>
      </c>
      <c r="D37" s="180">
        <v>0.54175656000000005</v>
      </c>
      <c r="E37" s="180">
        <v>87.821979999999996</v>
      </c>
      <c r="F37" s="180">
        <v>58.690199999999997</v>
      </c>
      <c r="G37" s="180">
        <v>29.131799999999998</v>
      </c>
    </row>
    <row r="38" spans="2:11" x14ac:dyDescent="0.25">
      <c r="B38" t="s">
        <v>6</v>
      </c>
      <c r="C38" s="88">
        <v>2013</v>
      </c>
      <c r="D38" s="180">
        <v>0.53487819999999997</v>
      </c>
      <c r="E38" s="180">
        <v>85.383899999999997</v>
      </c>
      <c r="F38" s="180">
        <v>49.3001</v>
      </c>
      <c r="G38" s="180">
        <v>36.083799999999997</v>
      </c>
    </row>
    <row r="39" spans="2:11" x14ac:dyDescent="0.25">
      <c r="B39" t="s">
        <v>6</v>
      </c>
      <c r="C39" s="88">
        <v>2015</v>
      </c>
      <c r="D39" s="180">
        <v>0.51069376</v>
      </c>
      <c r="E39" s="180">
        <v>85.589370000000002</v>
      </c>
      <c r="F39" s="180">
        <v>50.418100000000003</v>
      </c>
      <c r="G39" s="180">
        <v>35.171300000000002</v>
      </c>
    </row>
    <row r="40" spans="2:11" x14ac:dyDescent="0.25">
      <c r="B40" t="s">
        <v>7</v>
      </c>
      <c r="C40" s="88">
        <v>2010</v>
      </c>
      <c r="D40" s="180">
        <v>0.48096070000000002</v>
      </c>
      <c r="E40" s="180">
        <v>73.084879999999998</v>
      </c>
      <c r="F40" s="180">
        <v>53.209099999999999</v>
      </c>
      <c r="G40" s="180">
        <v>19.875800000000002</v>
      </c>
    </row>
    <row r="41" spans="2:11" x14ac:dyDescent="0.25">
      <c r="B41" t="s">
        <v>7</v>
      </c>
      <c r="C41" s="88">
        <v>2011</v>
      </c>
      <c r="D41" s="180">
        <v>0.4859695</v>
      </c>
      <c r="E41" s="180">
        <v>75.436800000000005</v>
      </c>
      <c r="F41" s="180">
        <v>50.976399999999998</v>
      </c>
      <c r="G41" s="180">
        <v>24.4604</v>
      </c>
    </row>
    <row r="42" spans="2:11" x14ac:dyDescent="0.25">
      <c r="B42" t="s">
        <v>7</v>
      </c>
      <c r="C42" s="88">
        <v>2013</v>
      </c>
      <c r="D42" s="180">
        <v>0.49175687000000001</v>
      </c>
      <c r="E42" s="180">
        <v>84.137190000000004</v>
      </c>
      <c r="F42" s="180">
        <v>47.695599999999999</v>
      </c>
      <c r="G42" s="180">
        <v>36.441600000000001</v>
      </c>
    </row>
    <row r="43" spans="2:11" x14ac:dyDescent="0.25">
      <c r="B43" t="s">
        <v>7</v>
      </c>
      <c r="C43" s="88">
        <v>2015</v>
      </c>
      <c r="D43" s="180">
        <v>0.48174398000000002</v>
      </c>
      <c r="E43" s="180">
        <v>81.294970000000006</v>
      </c>
      <c r="F43" s="180">
        <v>51.490200000000002</v>
      </c>
      <c r="G43" s="180">
        <v>29.8047</v>
      </c>
    </row>
    <row r="44" spans="2:11" x14ac:dyDescent="0.25">
      <c r="B44" t="s">
        <v>8</v>
      </c>
      <c r="C44" s="88">
        <v>2007</v>
      </c>
      <c r="D44" s="180">
        <v>0.48685249000000003</v>
      </c>
      <c r="E44" s="180">
        <v>74.32978</v>
      </c>
      <c r="F44" s="180">
        <v>46.616999999999997</v>
      </c>
      <c r="G44" s="180">
        <v>27.712700000000002</v>
      </c>
    </row>
    <row r="45" spans="2:11" x14ac:dyDescent="0.25">
      <c r="B45" t="s">
        <v>8</v>
      </c>
      <c r="C45" s="88">
        <v>2009</v>
      </c>
      <c r="D45" s="180">
        <v>0.48859053000000002</v>
      </c>
      <c r="E45" s="180">
        <v>71.554130000000001</v>
      </c>
      <c r="F45" s="180">
        <v>48.830300000000001</v>
      </c>
      <c r="G45" s="180">
        <v>22.723800000000001</v>
      </c>
    </row>
    <row r="46" spans="2:11" x14ac:dyDescent="0.25">
      <c r="B46" t="s">
        <v>8</v>
      </c>
      <c r="C46" s="88">
        <v>2011</v>
      </c>
      <c r="D46" s="180">
        <v>0.47395080000000001</v>
      </c>
      <c r="E46" s="180">
        <v>92.418300000000002</v>
      </c>
      <c r="F46" s="180">
        <v>38.4026</v>
      </c>
      <c r="G46" s="180">
        <v>54.015700000000002</v>
      </c>
    </row>
    <row r="47" spans="2:11" x14ac:dyDescent="0.25">
      <c r="B47" t="s">
        <v>8</v>
      </c>
      <c r="C47" s="88">
        <v>2013</v>
      </c>
      <c r="D47" s="180">
        <v>0.47071565999999998</v>
      </c>
      <c r="E47" s="180">
        <v>72.611469999999997</v>
      </c>
      <c r="F47" s="180">
        <v>47.906500000000001</v>
      </c>
      <c r="G47" s="180">
        <v>24.704899999999999</v>
      </c>
    </row>
    <row r="48" spans="2:11" x14ac:dyDescent="0.25">
      <c r="B48" t="s">
        <v>8</v>
      </c>
      <c r="C48" s="88">
        <v>2015</v>
      </c>
      <c r="D48" s="180">
        <v>0.44880756999999999</v>
      </c>
      <c r="E48" s="180">
        <v>74.406750000000002</v>
      </c>
      <c r="F48" s="180">
        <v>52.008200000000002</v>
      </c>
      <c r="G48" s="180">
        <v>22.398599999999998</v>
      </c>
    </row>
    <row r="49" spans="2:7" x14ac:dyDescent="0.25">
      <c r="B49" t="s">
        <v>9</v>
      </c>
      <c r="C49" s="88">
        <v>2002</v>
      </c>
      <c r="D49" s="180">
        <v>0.54991343000000004</v>
      </c>
      <c r="E49" s="180">
        <v>88.320390000000003</v>
      </c>
      <c r="F49" s="180">
        <v>51.988700000000001</v>
      </c>
      <c r="G49" s="180">
        <v>36.331699999999998</v>
      </c>
    </row>
    <row r="50" spans="2:7" x14ac:dyDescent="0.25">
      <c r="B50" t="s">
        <v>9</v>
      </c>
      <c r="C50" s="88">
        <v>2007</v>
      </c>
      <c r="D50" s="180">
        <v>0.54327815999999995</v>
      </c>
      <c r="E50" s="180">
        <v>77.392039999999994</v>
      </c>
      <c r="F50" s="180">
        <v>53.429299999999998</v>
      </c>
      <c r="G50" s="180">
        <v>23.962700000000002</v>
      </c>
    </row>
    <row r="51" spans="2:7" x14ac:dyDescent="0.25">
      <c r="B51" t="s">
        <v>9</v>
      </c>
      <c r="C51" s="88">
        <v>2009</v>
      </c>
      <c r="D51" s="180">
        <v>0.49284985999999997</v>
      </c>
      <c r="E51" s="180">
        <v>71.041120000000006</v>
      </c>
      <c r="F51" s="180">
        <v>52.5809</v>
      </c>
      <c r="G51" s="180">
        <v>18.4602</v>
      </c>
    </row>
    <row r="52" spans="2:7" x14ac:dyDescent="0.25">
      <c r="B52" t="s">
        <v>9</v>
      </c>
      <c r="C52" s="88">
        <v>2010</v>
      </c>
      <c r="D52" s="180">
        <v>0.49254531000000001</v>
      </c>
      <c r="E52" s="180">
        <v>65.532290000000003</v>
      </c>
      <c r="F52" s="180">
        <v>48.167499999999997</v>
      </c>
      <c r="G52" s="180">
        <v>17.364699999999999</v>
      </c>
    </row>
    <row r="53" spans="2:7" x14ac:dyDescent="0.25">
      <c r="B53" t="s">
        <v>9</v>
      </c>
      <c r="C53" s="88">
        <v>2011</v>
      </c>
      <c r="D53" s="180">
        <v>0.46209179</v>
      </c>
      <c r="E53" s="180">
        <v>55.584409999999998</v>
      </c>
      <c r="F53" s="180">
        <v>44.6753</v>
      </c>
      <c r="G53" s="180">
        <v>10.9091</v>
      </c>
    </row>
    <row r="54" spans="2:7" x14ac:dyDescent="0.25">
      <c r="B54" t="s">
        <v>9</v>
      </c>
      <c r="C54" s="88">
        <v>2013</v>
      </c>
      <c r="D54" s="180">
        <v>0.47289024000000002</v>
      </c>
      <c r="E54" s="180">
        <v>38.67841</v>
      </c>
      <c r="F54" s="180">
        <v>30.3965</v>
      </c>
      <c r="G54" s="180">
        <v>8.2819400000000005</v>
      </c>
    </row>
    <row r="55" spans="2:7" x14ac:dyDescent="0.25">
      <c r="B55" t="s">
        <v>9</v>
      </c>
      <c r="C55" s="88">
        <v>2015</v>
      </c>
      <c r="D55" s="180">
        <v>0.46544669999999999</v>
      </c>
      <c r="E55" s="180">
        <v>46.210039999999999</v>
      </c>
      <c r="F55" s="180">
        <v>33.515999999999998</v>
      </c>
      <c r="G55" s="180">
        <v>12.694100000000001</v>
      </c>
    </row>
    <row r="56" spans="2:7" x14ac:dyDescent="0.25">
      <c r="B56" t="s">
        <v>10</v>
      </c>
      <c r="C56" s="88">
        <v>2001</v>
      </c>
      <c r="D56" s="180">
        <v>0.54836390999999995</v>
      </c>
      <c r="E56" s="180">
        <v>85.035960000000003</v>
      </c>
      <c r="F56" s="180">
        <v>54.286200000000001</v>
      </c>
      <c r="G56" s="180">
        <v>30.749700000000001</v>
      </c>
    </row>
    <row r="57" spans="2:7" x14ac:dyDescent="0.25">
      <c r="B57" t="s">
        <v>10</v>
      </c>
      <c r="C57" s="88">
        <v>2011</v>
      </c>
      <c r="D57" s="180">
        <v>0.52354537000000001</v>
      </c>
      <c r="E57" s="180">
        <v>83.17747</v>
      </c>
      <c r="F57" s="180">
        <v>58.176400000000001</v>
      </c>
      <c r="G57" s="180">
        <v>25.001100000000001</v>
      </c>
    </row>
    <row r="58" spans="2:7" x14ac:dyDescent="0.25">
      <c r="B58" t="s">
        <v>10</v>
      </c>
      <c r="C58" s="88">
        <v>2015</v>
      </c>
      <c r="D58" s="180">
        <v>0.48657003999999998</v>
      </c>
      <c r="E58" s="180">
        <v>78.605419999999995</v>
      </c>
      <c r="F58" s="180">
        <v>48.586199999999998</v>
      </c>
      <c r="G58" s="180">
        <v>30.019300000000001</v>
      </c>
    </row>
    <row r="59" spans="2:7" x14ac:dyDescent="0.25">
      <c r="B59" t="s">
        <v>11</v>
      </c>
      <c r="C59" s="88">
        <v>1997</v>
      </c>
      <c r="D59" s="180">
        <v>0.52734000000000003</v>
      </c>
      <c r="E59" s="180">
        <v>75.644999999999996</v>
      </c>
      <c r="F59" s="180">
        <v>59.9587</v>
      </c>
      <c r="G59" s="180">
        <v>15.686299999999999</v>
      </c>
    </row>
    <row r="60" spans="2:7" x14ac:dyDescent="0.25">
      <c r="B60" t="s">
        <v>11</v>
      </c>
      <c r="C60" s="88">
        <v>2001</v>
      </c>
      <c r="D60" s="180">
        <v>0.54079770000000005</v>
      </c>
      <c r="E60" s="180">
        <v>91.724000000000004</v>
      </c>
      <c r="F60" s="180">
        <v>63.453299999999999</v>
      </c>
      <c r="G60" s="180">
        <v>28.270700000000001</v>
      </c>
    </row>
    <row r="61" spans="2:7" x14ac:dyDescent="0.25">
      <c r="B61" t="s">
        <v>11</v>
      </c>
      <c r="C61" s="88">
        <v>2002</v>
      </c>
      <c r="D61" s="180">
        <v>0.58779693</v>
      </c>
      <c r="E61" s="180">
        <v>81.613979999999998</v>
      </c>
      <c r="F61" s="180">
        <v>62.497</v>
      </c>
      <c r="G61" s="180">
        <v>19.117000000000001</v>
      </c>
    </row>
    <row r="62" spans="2:7" x14ac:dyDescent="0.25">
      <c r="B62" t="s">
        <v>11</v>
      </c>
      <c r="C62" s="88">
        <v>2007</v>
      </c>
      <c r="D62" s="180">
        <v>0.56160790999999999</v>
      </c>
      <c r="E62" s="180">
        <v>78.85266</v>
      </c>
      <c r="F62" s="180">
        <v>50.442100000000003</v>
      </c>
      <c r="G62" s="180">
        <v>28.410599999999999</v>
      </c>
    </row>
    <row r="63" spans="2:7" x14ac:dyDescent="0.25">
      <c r="B63" t="s">
        <v>11</v>
      </c>
      <c r="C63" s="88">
        <v>2009</v>
      </c>
      <c r="D63" s="180">
        <v>0.51563250999999999</v>
      </c>
      <c r="E63" s="180">
        <v>79.390820000000005</v>
      </c>
      <c r="F63" s="180">
        <v>50.151600000000002</v>
      </c>
      <c r="G63" s="180">
        <v>29.2392</v>
      </c>
    </row>
    <row r="64" spans="2:7" x14ac:dyDescent="0.25">
      <c r="B64" t="s">
        <v>11</v>
      </c>
      <c r="C64" s="88">
        <v>2010</v>
      </c>
      <c r="D64" s="180">
        <v>0.53391564999999996</v>
      </c>
      <c r="E64" s="180">
        <v>78.82235</v>
      </c>
      <c r="F64" s="180">
        <v>43.304000000000002</v>
      </c>
      <c r="G64" s="180">
        <v>35.5184</v>
      </c>
    </row>
    <row r="65" spans="2:7" x14ac:dyDescent="0.25">
      <c r="B65" t="s">
        <v>11</v>
      </c>
      <c r="C65" s="88">
        <v>2011</v>
      </c>
      <c r="D65" s="180">
        <v>0.57398718000000004</v>
      </c>
      <c r="E65" s="180">
        <v>87.641959999999997</v>
      </c>
      <c r="F65" s="180">
        <v>51.226799999999997</v>
      </c>
      <c r="G65" s="180">
        <v>36.415199999999999</v>
      </c>
    </row>
    <row r="66" spans="2:7" x14ac:dyDescent="0.25">
      <c r="B66" t="s">
        <v>11</v>
      </c>
      <c r="C66" s="88">
        <v>2013</v>
      </c>
      <c r="D66" s="180">
        <v>0.53671625000000001</v>
      </c>
      <c r="E66" s="180">
        <v>87.051810000000003</v>
      </c>
      <c r="F66" s="180">
        <v>50.264299999999999</v>
      </c>
      <c r="G66" s="180">
        <v>36.787500000000001</v>
      </c>
    </row>
    <row r="67" spans="2:7" x14ac:dyDescent="0.25">
      <c r="B67" t="s">
        <v>11</v>
      </c>
      <c r="C67" s="88">
        <v>2015</v>
      </c>
      <c r="D67" s="180">
        <v>0.50096061000000003</v>
      </c>
      <c r="E67" s="180">
        <v>79.836330000000004</v>
      </c>
      <c r="F67" s="180">
        <v>49.472799999999999</v>
      </c>
      <c r="G67" s="180">
        <v>30.363499999999998</v>
      </c>
    </row>
    <row r="68" spans="2:7" x14ac:dyDescent="0.25">
      <c r="B68" t="s">
        <v>12</v>
      </c>
      <c r="C68" s="88">
        <v>1997</v>
      </c>
      <c r="D68" s="180">
        <v>0.53401189999999998</v>
      </c>
      <c r="E68" s="180">
        <v>71.216340000000002</v>
      </c>
      <c r="F68" s="180">
        <v>39.182899999999997</v>
      </c>
      <c r="G68" s="180">
        <v>32.0334</v>
      </c>
    </row>
    <row r="69" spans="2:7" x14ac:dyDescent="0.25">
      <c r="B69" t="s">
        <v>12</v>
      </c>
      <c r="C69" s="88">
        <v>2001</v>
      </c>
      <c r="D69" s="180">
        <v>0.53942997999999998</v>
      </c>
      <c r="E69" s="180">
        <v>82.625609999999995</v>
      </c>
      <c r="F69" s="180">
        <v>52.930999999999997</v>
      </c>
      <c r="G69" s="180">
        <v>29.694600000000001</v>
      </c>
    </row>
    <row r="70" spans="2:7" x14ac:dyDescent="0.25">
      <c r="B70" t="s">
        <v>12</v>
      </c>
      <c r="C70" s="88">
        <v>2002</v>
      </c>
      <c r="D70" s="180">
        <v>0.51246681000000005</v>
      </c>
      <c r="E70" s="180">
        <v>92.273700000000005</v>
      </c>
      <c r="F70" s="180">
        <v>44.352200000000003</v>
      </c>
      <c r="G70" s="180">
        <v>47.921500000000002</v>
      </c>
    </row>
    <row r="71" spans="2:7" x14ac:dyDescent="0.25">
      <c r="B71" t="s">
        <v>12</v>
      </c>
      <c r="C71" s="88">
        <v>2007</v>
      </c>
      <c r="D71" s="180">
        <v>0.49783226000000003</v>
      </c>
      <c r="E71" s="180">
        <v>74.957120000000003</v>
      </c>
      <c r="F71" s="180">
        <v>50.514600000000002</v>
      </c>
      <c r="G71" s="180">
        <v>24.442499999999999</v>
      </c>
    </row>
    <row r="72" spans="2:7" x14ac:dyDescent="0.25">
      <c r="B72" t="s">
        <v>12</v>
      </c>
      <c r="C72" s="88">
        <v>2009</v>
      </c>
      <c r="D72" s="180">
        <v>0.50525710000000001</v>
      </c>
      <c r="E72" s="180">
        <v>84.364260000000002</v>
      </c>
      <c r="F72" s="180">
        <v>52.233699999999999</v>
      </c>
      <c r="G72" s="180">
        <v>32.130600000000001</v>
      </c>
    </row>
    <row r="73" spans="2:7" x14ac:dyDescent="0.25">
      <c r="B73" t="s">
        <v>12</v>
      </c>
      <c r="C73" s="88">
        <v>2010</v>
      </c>
      <c r="D73" s="180">
        <v>0.47549319000000001</v>
      </c>
      <c r="E73" s="180">
        <v>84.563190000000006</v>
      </c>
      <c r="F73" s="180">
        <v>53.859200000000001</v>
      </c>
      <c r="G73" s="180">
        <v>30.704000000000001</v>
      </c>
    </row>
    <row r="74" spans="2:7" x14ac:dyDescent="0.25">
      <c r="B74" t="s">
        <v>12</v>
      </c>
      <c r="C74" s="88">
        <v>2011</v>
      </c>
      <c r="D74" s="180">
        <v>0.49355238000000001</v>
      </c>
      <c r="E74" s="180">
        <v>84.721029999999999</v>
      </c>
      <c r="F74" s="180">
        <v>61.373399999999997</v>
      </c>
      <c r="G74" s="180">
        <v>23.3476</v>
      </c>
    </row>
    <row r="75" spans="2:7" x14ac:dyDescent="0.25">
      <c r="B75" t="s">
        <v>12</v>
      </c>
      <c r="C75" s="88">
        <v>2015</v>
      </c>
      <c r="D75" s="180">
        <v>0.49140387000000002</v>
      </c>
      <c r="E75" s="180">
        <v>82.423209999999997</v>
      </c>
      <c r="F75" s="180">
        <v>47.781599999999997</v>
      </c>
      <c r="G75" s="180">
        <v>34.641599999999997</v>
      </c>
    </row>
    <row r="76" spans="2:7" x14ac:dyDescent="0.25">
      <c r="B76" t="s">
        <v>13</v>
      </c>
      <c r="C76" s="88">
        <v>1997</v>
      </c>
      <c r="D76" s="180">
        <v>0.54432835999999996</v>
      </c>
      <c r="E76" s="180">
        <v>62.538069999999998</v>
      </c>
      <c r="F76" s="180">
        <v>43.248699999999999</v>
      </c>
      <c r="G76" s="180">
        <v>19.289300000000001</v>
      </c>
    </row>
    <row r="77" spans="2:7" x14ac:dyDescent="0.25">
      <c r="B77" t="s">
        <v>13</v>
      </c>
      <c r="C77" s="88">
        <v>2001</v>
      </c>
      <c r="D77" s="180">
        <v>0.53141592000000004</v>
      </c>
      <c r="E77" s="180">
        <v>84.591520000000003</v>
      </c>
      <c r="F77" s="180">
        <v>54.705300000000001</v>
      </c>
      <c r="G77" s="180">
        <v>29.886199999999999</v>
      </c>
    </row>
    <row r="78" spans="2:7" x14ac:dyDescent="0.25">
      <c r="B78" t="s">
        <v>13</v>
      </c>
      <c r="C78" s="88">
        <v>2007</v>
      </c>
      <c r="D78" s="180">
        <v>0.49219562</v>
      </c>
      <c r="E78" s="180">
        <v>69.577060000000003</v>
      </c>
      <c r="F78" s="180">
        <v>46.386899999999997</v>
      </c>
      <c r="G78" s="180">
        <v>23.190100000000001</v>
      </c>
    </row>
    <row r="79" spans="2:7" x14ac:dyDescent="0.25">
      <c r="B79" t="s">
        <v>13</v>
      </c>
      <c r="C79" s="88">
        <v>2009</v>
      </c>
      <c r="D79" s="180">
        <v>0.44170883999999999</v>
      </c>
      <c r="E79" s="180">
        <v>80.7119</v>
      </c>
      <c r="F79" s="180">
        <v>54.959099999999999</v>
      </c>
      <c r="G79" s="180">
        <v>25.752800000000001</v>
      </c>
    </row>
    <row r="80" spans="2:7" x14ac:dyDescent="0.25">
      <c r="B80" t="s">
        <v>13</v>
      </c>
      <c r="C80" s="88">
        <v>2015</v>
      </c>
      <c r="D80" s="180">
        <v>0.46564378000000001</v>
      </c>
      <c r="E80" s="180">
        <v>57.824069999999999</v>
      </c>
      <c r="F80" s="180">
        <v>46.344499999999996</v>
      </c>
      <c r="G80" s="180">
        <v>11.4796</v>
      </c>
    </row>
    <row r="81" spans="2:7" x14ac:dyDescent="0.25">
      <c r="B81" t="s">
        <v>14</v>
      </c>
      <c r="C81" s="88">
        <v>2009</v>
      </c>
      <c r="D81" s="180">
        <v>0.52031280000000002</v>
      </c>
      <c r="E81" s="180">
        <v>73.024240000000006</v>
      </c>
      <c r="F81" s="180">
        <v>54.899900000000002</v>
      </c>
      <c r="G81" s="180">
        <v>18.124300000000002</v>
      </c>
    </row>
    <row r="82" spans="2:7" x14ac:dyDescent="0.25">
      <c r="B82" t="s">
        <v>14</v>
      </c>
      <c r="C82" s="88">
        <v>2010</v>
      </c>
      <c r="D82" s="180">
        <v>0.51911792999999995</v>
      </c>
      <c r="E82" s="180">
        <v>66.701350000000005</v>
      </c>
      <c r="F82" s="180">
        <v>48.387099999999997</v>
      </c>
      <c r="G82" s="180">
        <v>18.314299999999999</v>
      </c>
    </row>
    <row r="83" spans="2:7" x14ac:dyDescent="0.25">
      <c r="B83" t="s">
        <v>14</v>
      </c>
      <c r="C83" s="88">
        <v>2011</v>
      </c>
      <c r="D83" s="180">
        <v>0.51830704999999999</v>
      </c>
      <c r="E83" s="180">
        <v>66.145830000000004</v>
      </c>
      <c r="F83" s="180">
        <v>50.520800000000001</v>
      </c>
      <c r="G83" s="180">
        <v>15.625</v>
      </c>
    </row>
    <row r="84" spans="2:7" x14ac:dyDescent="0.25">
      <c r="B84" t="s">
        <v>14</v>
      </c>
      <c r="C84" s="88">
        <v>2013</v>
      </c>
      <c r="D84" s="180">
        <v>0.51664858999999996</v>
      </c>
      <c r="E84" s="180">
        <v>63.213529999999999</v>
      </c>
      <c r="F84" s="180">
        <v>41.543300000000002</v>
      </c>
      <c r="G84" s="180">
        <v>21.670200000000001</v>
      </c>
    </row>
    <row r="85" spans="2:7" x14ac:dyDescent="0.25">
      <c r="B85" t="s">
        <v>14</v>
      </c>
      <c r="C85" s="88">
        <v>2015</v>
      </c>
      <c r="D85" s="180">
        <v>0.50981854999999998</v>
      </c>
      <c r="E85" s="180">
        <v>62.108559999999997</v>
      </c>
      <c r="F85" s="180">
        <v>43.110599999999998</v>
      </c>
      <c r="G85" s="180">
        <v>18.997900000000001</v>
      </c>
    </row>
    <row r="86" spans="2:7" x14ac:dyDescent="0.25">
      <c r="B86" t="s">
        <v>15</v>
      </c>
      <c r="C86" s="88">
        <v>2007</v>
      </c>
      <c r="D86" s="180">
        <v>0.51352755000000005</v>
      </c>
      <c r="E86" s="180">
        <v>91.262979999999999</v>
      </c>
      <c r="F86" s="180">
        <v>65.397900000000007</v>
      </c>
      <c r="G86" s="180">
        <v>25.865100000000002</v>
      </c>
    </row>
    <row r="87" spans="2:7" x14ac:dyDescent="0.25">
      <c r="B87" t="s">
        <v>15</v>
      </c>
      <c r="C87" s="88">
        <v>2009</v>
      </c>
      <c r="D87" s="180">
        <v>0.47957114000000001</v>
      </c>
      <c r="E87" s="180">
        <v>88.849559999999997</v>
      </c>
      <c r="F87" s="180">
        <v>67.522099999999995</v>
      </c>
      <c r="G87" s="180">
        <v>21.327400000000001</v>
      </c>
    </row>
    <row r="88" spans="2:7" x14ac:dyDescent="0.25">
      <c r="B88" t="s">
        <v>15</v>
      </c>
      <c r="C88" s="88">
        <v>2010</v>
      </c>
      <c r="D88" s="180">
        <v>0.46206256000000001</v>
      </c>
      <c r="E88" s="180">
        <v>85.548609999999996</v>
      </c>
      <c r="F88" s="180">
        <v>65.566500000000005</v>
      </c>
      <c r="G88" s="180">
        <v>19.982199999999999</v>
      </c>
    </row>
    <row r="89" spans="2:7" x14ac:dyDescent="0.25">
      <c r="B89" t="s">
        <v>15</v>
      </c>
      <c r="C89" s="88">
        <v>2011</v>
      </c>
      <c r="D89" s="180">
        <v>0.45476773999999998</v>
      </c>
      <c r="E89" s="180">
        <v>85.826089999999994</v>
      </c>
      <c r="F89" s="180">
        <v>62.347799999999999</v>
      </c>
      <c r="G89" s="180">
        <v>23.478300000000001</v>
      </c>
    </row>
    <row r="90" spans="2:7" x14ac:dyDescent="0.25">
      <c r="B90" t="s">
        <v>15</v>
      </c>
      <c r="C90" s="88">
        <v>2013</v>
      </c>
      <c r="D90" s="180">
        <v>0.44726811</v>
      </c>
      <c r="E90" s="180">
        <v>82.005369999999999</v>
      </c>
      <c r="F90" s="180">
        <v>63.294499999999999</v>
      </c>
      <c r="G90" s="180">
        <v>18.710799999999999</v>
      </c>
    </row>
    <row r="91" spans="2:7" x14ac:dyDescent="0.25">
      <c r="B91" t="s">
        <v>15</v>
      </c>
      <c r="C91" s="88">
        <v>2015</v>
      </c>
      <c r="D91" s="180">
        <v>0.44290905000000003</v>
      </c>
      <c r="E91" s="180">
        <v>82.273949999999999</v>
      </c>
      <c r="F91" s="180">
        <v>61.235500000000002</v>
      </c>
      <c r="G91" s="180">
        <v>21.038499999999999</v>
      </c>
    </row>
    <row r="92" spans="2:7" x14ac:dyDescent="0.25">
      <c r="B92" t="s">
        <v>16</v>
      </c>
      <c r="C92" s="88">
        <v>1997</v>
      </c>
      <c r="D92" s="180">
        <v>0.54892432000000002</v>
      </c>
      <c r="E92" s="180">
        <v>88.026820000000001</v>
      </c>
      <c r="F92" s="180">
        <v>52.356200000000001</v>
      </c>
      <c r="G92" s="180">
        <v>35.6706</v>
      </c>
    </row>
    <row r="93" spans="2:7" x14ac:dyDescent="0.25">
      <c r="B93" t="s">
        <v>16</v>
      </c>
      <c r="C93" s="88">
        <v>2001</v>
      </c>
      <c r="D93" s="180">
        <v>0.54830040000000002</v>
      </c>
      <c r="E93" s="180">
        <v>94.464699999999993</v>
      </c>
      <c r="F93" s="180">
        <v>39.770000000000003</v>
      </c>
      <c r="G93" s="180">
        <v>54.694699999999997</v>
      </c>
    </row>
    <row r="94" spans="2:7" x14ac:dyDescent="0.25">
      <c r="B94" t="s">
        <v>16</v>
      </c>
      <c r="C94" s="88">
        <v>2002</v>
      </c>
      <c r="D94" s="180">
        <v>0.57335537000000003</v>
      </c>
      <c r="E94" s="180">
        <v>92.275170000000003</v>
      </c>
      <c r="F94" s="180">
        <v>52.241500000000002</v>
      </c>
      <c r="G94" s="180">
        <v>40.033700000000003</v>
      </c>
    </row>
    <row r="95" spans="2:7" x14ac:dyDescent="0.25">
      <c r="B95" t="s">
        <v>16</v>
      </c>
      <c r="C95" s="88">
        <v>2007</v>
      </c>
      <c r="D95" s="180">
        <v>0.52089498999999995</v>
      </c>
      <c r="E95" s="180">
        <v>93.774919999999995</v>
      </c>
      <c r="F95" s="180">
        <v>39.078400000000002</v>
      </c>
      <c r="G95" s="180">
        <v>54.6965</v>
      </c>
    </row>
    <row r="96" spans="2:7" x14ac:dyDescent="0.25">
      <c r="B96" t="s">
        <v>16</v>
      </c>
      <c r="C96" s="88">
        <v>2009</v>
      </c>
      <c r="D96" s="180">
        <v>0.49665879000000002</v>
      </c>
      <c r="E96" s="180">
        <v>82.643550000000005</v>
      </c>
      <c r="F96" s="180">
        <v>52.415999999999997</v>
      </c>
      <c r="G96" s="180">
        <v>30.227499999999999</v>
      </c>
    </row>
    <row r="97" spans="2:7" x14ac:dyDescent="0.25">
      <c r="B97" t="s">
        <v>16</v>
      </c>
      <c r="C97" s="88">
        <v>2010</v>
      </c>
      <c r="D97" s="180">
        <v>0.51834696999999996</v>
      </c>
      <c r="E97" s="180">
        <v>79.688190000000006</v>
      </c>
      <c r="F97" s="180">
        <v>48.396999999999998</v>
      </c>
      <c r="G97" s="180">
        <v>31.2912</v>
      </c>
    </row>
    <row r="98" spans="2:7" x14ac:dyDescent="0.25">
      <c r="B98" t="s">
        <v>16</v>
      </c>
      <c r="C98" s="88">
        <v>2011</v>
      </c>
      <c r="D98" s="180">
        <v>0.52601081999999999</v>
      </c>
      <c r="E98" s="180">
        <v>77.247990000000001</v>
      </c>
      <c r="F98" s="180">
        <v>55.649900000000002</v>
      </c>
      <c r="G98" s="180">
        <v>21.598099999999999</v>
      </c>
    </row>
    <row r="99" spans="2:7" x14ac:dyDescent="0.25">
      <c r="B99" t="s">
        <v>16</v>
      </c>
      <c r="C99" s="88">
        <v>2013</v>
      </c>
      <c r="D99" s="180">
        <v>0.48296661000000002</v>
      </c>
      <c r="E99" s="180">
        <v>90.216220000000007</v>
      </c>
      <c r="F99" s="180">
        <v>47.0777</v>
      </c>
      <c r="G99" s="180">
        <v>43.138500000000001</v>
      </c>
    </row>
    <row r="100" spans="2:7" x14ac:dyDescent="0.25">
      <c r="B100" t="s">
        <v>16</v>
      </c>
      <c r="C100" s="88">
        <v>2015</v>
      </c>
      <c r="D100" s="180">
        <v>0.47981648999999998</v>
      </c>
      <c r="E100" s="180">
        <v>85.678319999999999</v>
      </c>
      <c r="F100" s="180">
        <v>52.214100000000002</v>
      </c>
      <c r="G100" s="180">
        <v>33.464199999999998</v>
      </c>
    </row>
    <row r="101" spans="2:7" x14ac:dyDescent="0.25">
      <c r="B101" t="s">
        <v>17</v>
      </c>
      <c r="C101" s="88">
        <v>1997</v>
      </c>
      <c r="D101" s="180">
        <v>0.54515711</v>
      </c>
      <c r="E101" s="180">
        <v>60.909089999999999</v>
      </c>
      <c r="F101" s="180">
        <v>44.343400000000003</v>
      </c>
      <c r="G101" s="180">
        <v>16.5657</v>
      </c>
    </row>
    <row r="102" spans="2:7" x14ac:dyDescent="0.25">
      <c r="B102" t="s">
        <v>17</v>
      </c>
      <c r="C102" s="88">
        <v>2001</v>
      </c>
      <c r="D102" s="180">
        <v>0.51144626000000004</v>
      </c>
      <c r="E102" s="180">
        <v>83.627110000000002</v>
      </c>
      <c r="F102" s="180">
        <v>49.069699999999997</v>
      </c>
      <c r="G102" s="180">
        <v>34.557400000000001</v>
      </c>
    </row>
    <row r="103" spans="2:7" x14ac:dyDescent="0.25">
      <c r="B103" t="s">
        <v>17</v>
      </c>
      <c r="C103" s="88">
        <v>2002</v>
      </c>
      <c r="D103" s="180">
        <v>0.51535317999999997</v>
      </c>
      <c r="E103" s="180">
        <v>81.354699999999994</v>
      </c>
      <c r="F103" s="180">
        <v>59.146799999999999</v>
      </c>
      <c r="G103" s="180">
        <v>22.207899999999999</v>
      </c>
    </row>
    <row r="104" spans="2:7" x14ac:dyDescent="0.25">
      <c r="B104" t="s">
        <v>17</v>
      </c>
      <c r="C104" s="88">
        <v>2007</v>
      </c>
      <c r="D104" s="180">
        <v>0.45238268999999998</v>
      </c>
      <c r="E104" s="180">
        <v>72.958439999999996</v>
      </c>
      <c r="F104" s="180">
        <v>46.386600000000001</v>
      </c>
      <c r="G104" s="180">
        <v>26.571899999999999</v>
      </c>
    </row>
    <row r="105" spans="2:7" x14ac:dyDescent="0.25">
      <c r="B105" t="s">
        <v>17</v>
      </c>
      <c r="C105" s="88">
        <v>2009</v>
      </c>
      <c r="D105" s="180">
        <v>0.45928237999999999</v>
      </c>
      <c r="E105" s="180">
        <v>73.908580000000001</v>
      </c>
      <c r="F105" s="180">
        <v>48.043399999999998</v>
      </c>
      <c r="G105" s="180">
        <v>25.865200000000002</v>
      </c>
    </row>
    <row r="106" spans="2:7" x14ac:dyDescent="0.25">
      <c r="B106" t="s">
        <v>17</v>
      </c>
      <c r="C106" s="88">
        <v>2010</v>
      </c>
      <c r="D106" s="180">
        <v>0.44525523</v>
      </c>
      <c r="E106" s="180">
        <v>82.044470000000004</v>
      </c>
      <c r="F106" s="180">
        <v>61.5565</v>
      </c>
      <c r="G106" s="180">
        <v>20.488</v>
      </c>
    </row>
    <row r="107" spans="2:7" x14ac:dyDescent="0.25">
      <c r="B107" t="s">
        <v>17</v>
      </c>
      <c r="C107" s="88">
        <v>2011</v>
      </c>
      <c r="D107" s="180">
        <v>0.42429789000000001</v>
      </c>
      <c r="E107" s="180">
        <v>81.586429999999993</v>
      </c>
      <c r="F107" s="180">
        <v>54.414999999999999</v>
      </c>
      <c r="G107" s="180">
        <v>27.171500000000002</v>
      </c>
    </row>
    <row r="108" spans="2:7" x14ac:dyDescent="0.25">
      <c r="B108" t="s">
        <v>17</v>
      </c>
      <c r="C108" s="88">
        <v>2013</v>
      </c>
      <c r="D108" s="180">
        <v>0.43512373999999998</v>
      </c>
      <c r="E108" s="180">
        <v>69.912880000000001</v>
      </c>
      <c r="F108" s="180">
        <v>58.877099999999999</v>
      </c>
      <c r="G108" s="180">
        <v>11.0357</v>
      </c>
    </row>
    <row r="109" spans="2:7" x14ac:dyDescent="0.25">
      <c r="B109" t="s">
        <v>17</v>
      </c>
      <c r="C109" s="88">
        <v>2015</v>
      </c>
      <c r="D109" s="180">
        <v>0.40752209</v>
      </c>
      <c r="E109" s="180">
        <v>76.740939999999995</v>
      </c>
      <c r="F109" s="180">
        <v>56.643099999999997</v>
      </c>
      <c r="G109" s="180">
        <v>20.097899999999999</v>
      </c>
    </row>
    <row r="110" spans="2:7" x14ac:dyDescent="0.25">
      <c r="B110" t="s">
        <v>18</v>
      </c>
      <c r="C110" s="88">
        <v>1997</v>
      </c>
      <c r="D110" s="180">
        <v>0.42728695999999999</v>
      </c>
      <c r="E110" s="180">
        <v>78.871799999999993</v>
      </c>
      <c r="F110" s="180">
        <v>52.386299999999999</v>
      </c>
      <c r="G110" s="180">
        <v>26.485499999999998</v>
      </c>
    </row>
    <row r="111" spans="2:7" x14ac:dyDescent="0.25">
      <c r="B111" t="s">
        <v>18</v>
      </c>
      <c r="C111" s="88">
        <v>2001</v>
      </c>
      <c r="D111" s="180">
        <v>0.46167232000000002</v>
      </c>
      <c r="E111" s="180">
        <v>91.863259999999997</v>
      </c>
      <c r="F111" s="180">
        <v>60.5364</v>
      </c>
      <c r="G111" s="180">
        <v>31.326899999999998</v>
      </c>
    </row>
    <row r="112" spans="2:7" x14ac:dyDescent="0.25">
      <c r="B112" t="s">
        <v>18</v>
      </c>
      <c r="C112" s="88">
        <v>2002</v>
      </c>
      <c r="D112" s="180">
        <v>0.46655236999999999</v>
      </c>
      <c r="E112" s="180">
        <v>91.61054</v>
      </c>
      <c r="F112" s="180">
        <v>61.196399999999997</v>
      </c>
      <c r="G112" s="180">
        <v>30.414200000000001</v>
      </c>
    </row>
    <row r="113" spans="2:7" x14ac:dyDescent="0.25">
      <c r="B113" t="s">
        <v>18</v>
      </c>
      <c r="C113" s="88">
        <v>2007</v>
      </c>
      <c r="D113" s="180">
        <v>0.47909996999999999</v>
      </c>
      <c r="E113" s="180">
        <v>79.505300000000005</v>
      </c>
      <c r="F113" s="180">
        <v>58.745600000000003</v>
      </c>
      <c r="G113" s="180">
        <v>20.759699999999999</v>
      </c>
    </row>
    <row r="114" spans="2:7" x14ac:dyDescent="0.25">
      <c r="B114" t="s">
        <v>18</v>
      </c>
      <c r="C114" s="88">
        <v>2009</v>
      </c>
      <c r="D114" s="180">
        <v>0.46476558000000001</v>
      </c>
      <c r="E114" s="180">
        <v>66.188339999999997</v>
      </c>
      <c r="F114" s="180">
        <v>56.681600000000003</v>
      </c>
      <c r="G114" s="180">
        <v>9.5067299999999992</v>
      </c>
    </row>
    <row r="115" spans="2:7" x14ac:dyDescent="0.25">
      <c r="B115" t="s">
        <v>18</v>
      </c>
      <c r="C115" s="88">
        <v>2010</v>
      </c>
      <c r="D115" s="180">
        <v>0.45482158</v>
      </c>
      <c r="E115" s="180">
        <v>72.783690000000007</v>
      </c>
      <c r="F115" s="180">
        <v>59.485799999999998</v>
      </c>
      <c r="G115" s="180">
        <v>13.2979</v>
      </c>
    </row>
    <row r="116" spans="2:7" x14ac:dyDescent="0.25">
      <c r="B116" t="s">
        <v>18</v>
      </c>
      <c r="C116" s="88">
        <v>2011</v>
      </c>
      <c r="D116" s="180">
        <v>0.43591302999999998</v>
      </c>
      <c r="E116" s="180">
        <v>71.543270000000007</v>
      </c>
      <c r="F116" s="180">
        <v>60.392499999999998</v>
      </c>
      <c r="G116" s="180">
        <v>11.1508</v>
      </c>
    </row>
    <row r="117" spans="2:7" x14ac:dyDescent="0.25">
      <c r="B117" t="s">
        <v>18</v>
      </c>
      <c r="C117" s="88">
        <v>2013</v>
      </c>
      <c r="D117" s="180">
        <v>0.42083306999999998</v>
      </c>
      <c r="E117" s="180">
        <v>63.44464</v>
      </c>
      <c r="F117" s="180">
        <v>51.933199999999999</v>
      </c>
      <c r="G117" s="180">
        <v>11.5114</v>
      </c>
    </row>
    <row r="118" spans="2:7" x14ac:dyDescent="0.25">
      <c r="B118" t="s">
        <v>18</v>
      </c>
      <c r="C118" s="88">
        <v>2015</v>
      </c>
      <c r="D118" s="180">
        <v>0.42006956000000001</v>
      </c>
      <c r="E118" s="180">
        <v>65.706810000000004</v>
      </c>
      <c r="F118" s="180">
        <v>56.195500000000003</v>
      </c>
      <c r="G118" s="180">
        <v>9.5113400000000006</v>
      </c>
    </row>
    <row r="119" spans="2:7" x14ac:dyDescent="0.25">
      <c r="B119" t="s">
        <v>19</v>
      </c>
      <c r="C119" s="88">
        <v>1997</v>
      </c>
      <c r="D119" s="180">
        <v>0.48248467</v>
      </c>
      <c r="E119" s="180">
        <v>85.227270000000004</v>
      </c>
      <c r="F119" s="180">
        <v>48.164299999999997</v>
      </c>
      <c r="G119" s="180">
        <v>37.062899999999999</v>
      </c>
    </row>
    <row r="120" spans="2:7" x14ac:dyDescent="0.25">
      <c r="B120" t="s">
        <v>19</v>
      </c>
      <c r="C120" s="88">
        <v>2001</v>
      </c>
      <c r="D120" s="180">
        <v>0.46893898000000001</v>
      </c>
      <c r="E120" s="180">
        <v>72.188540000000003</v>
      </c>
      <c r="F120" s="180">
        <v>47.398699999999998</v>
      </c>
      <c r="G120" s="180">
        <v>24.789899999999999</v>
      </c>
    </row>
    <row r="121" spans="2:7" x14ac:dyDescent="0.25">
      <c r="B121" t="s">
        <v>19</v>
      </c>
      <c r="C121" s="88">
        <v>2002</v>
      </c>
      <c r="D121" s="180">
        <v>0.4815468</v>
      </c>
      <c r="E121" s="180">
        <v>74.600369999999998</v>
      </c>
      <c r="F121" s="180">
        <v>50.312600000000003</v>
      </c>
      <c r="G121" s="180">
        <v>24.287800000000001</v>
      </c>
    </row>
    <row r="122" spans="2:7" x14ac:dyDescent="0.25">
      <c r="B122" t="s">
        <v>19</v>
      </c>
      <c r="C122" s="88">
        <v>2007</v>
      </c>
      <c r="D122" s="180">
        <v>0.41931698000000001</v>
      </c>
      <c r="E122" s="180">
        <v>43.096890000000002</v>
      </c>
      <c r="F122" s="180">
        <v>32.354100000000003</v>
      </c>
      <c r="G122" s="180">
        <v>10.742800000000001</v>
      </c>
    </row>
    <row r="123" spans="2:7" x14ac:dyDescent="0.25">
      <c r="B123" t="s">
        <v>19</v>
      </c>
      <c r="C123" s="88">
        <v>2009</v>
      </c>
      <c r="D123" s="180">
        <v>0.40729585000000001</v>
      </c>
      <c r="E123" s="180">
        <v>66.365520000000004</v>
      </c>
      <c r="F123" s="180">
        <v>44.297800000000002</v>
      </c>
      <c r="G123" s="180">
        <v>22.067699999999999</v>
      </c>
    </row>
    <row r="124" spans="2:7" x14ac:dyDescent="0.25">
      <c r="B124" t="s">
        <v>19</v>
      </c>
      <c r="C124" s="88">
        <v>2010</v>
      </c>
      <c r="D124" s="180">
        <v>0.39077666999999999</v>
      </c>
      <c r="E124" s="180">
        <v>59.727310000000003</v>
      </c>
      <c r="F124" s="180">
        <v>40.582900000000002</v>
      </c>
      <c r="G124" s="180">
        <v>19.144500000000001</v>
      </c>
    </row>
    <row r="125" spans="2:7" x14ac:dyDescent="0.25">
      <c r="B125" t="s">
        <v>19</v>
      </c>
      <c r="C125" s="88">
        <v>2011</v>
      </c>
      <c r="D125" s="180">
        <v>0.39415910999999998</v>
      </c>
      <c r="E125" s="180">
        <v>67.350399999999993</v>
      </c>
      <c r="F125" s="180">
        <v>50.146999999999998</v>
      </c>
      <c r="G125" s="180">
        <v>17.203399999999998</v>
      </c>
    </row>
    <row r="126" spans="2:7" x14ac:dyDescent="0.25">
      <c r="B126" t="s">
        <v>19</v>
      </c>
      <c r="C126" s="88">
        <v>2013</v>
      </c>
      <c r="D126" s="180">
        <v>0.40829281000000001</v>
      </c>
      <c r="E126" s="180">
        <v>55.622309999999999</v>
      </c>
      <c r="F126" s="180">
        <v>32.789700000000003</v>
      </c>
      <c r="G126" s="180">
        <v>22.832599999999999</v>
      </c>
    </row>
    <row r="127" spans="2:7" x14ac:dyDescent="0.25">
      <c r="E127" s="180"/>
      <c r="F127" s="180"/>
      <c r="G127" s="180"/>
    </row>
    <row r="128" spans="2:7" x14ac:dyDescent="0.25">
      <c r="E128" s="180"/>
      <c r="F128" s="180"/>
      <c r="G128" s="180"/>
    </row>
    <row r="129" spans="5:7" x14ac:dyDescent="0.25">
      <c r="E129" s="180"/>
      <c r="F129" s="180"/>
      <c r="G129" s="180"/>
    </row>
    <row r="130" spans="5:7" x14ac:dyDescent="0.25">
      <c r="E130" s="180"/>
      <c r="F130" s="180"/>
      <c r="G130" s="180"/>
    </row>
    <row r="131" spans="5:7" x14ac:dyDescent="0.25">
      <c r="E131" s="180"/>
      <c r="F131" s="180"/>
      <c r="G131" s="180"/>
    </row>
    <row r="132" spans="5:7" x14ac:dyDescent="0.25">
      <c r="E132" s="180"/>
      <c r="F132" s="180"/>
      <c r="G132" s="180"/>
    </row>
    <row r="133" spans="5:7" x14ac:dyDescent="0.25">
      <c r="E133" s="180"/>
      <c r="F133" s="180"/>
      <c r="G133" s="180"/>
    </row>
    <row r="134" spans="5:7" x14ac:dyDescent="0.25">
      <c r="E134" s="180"/>
      <c r="F134" s="180"/>
      <c r="G134" s="180"/>
    </row>
    <row r="135" spans="5:7" x14ac:dyDescent="0.25">
      <c r="E135" s="180"/>
      <c r="F135" s="180"/>
      <c r="G135" s="180"/>
    </row>
    <row r="136" spans="5:7" x14ac:dyDescent="0.25">
      <c r="E136" s="180"/>
      <c r="F136" s="180"/>
      <c r="G136" s="180"/>
    </row>
    <row r="137" spans="5:7" x14ac:dyDescent="0.25">
      <c r="E137" s="180"/>
      <c r="F137" s="180"/>
      <c r="G137" s="180"/>
    </row>
    <row r="138" spans="5:7" x14ac:dyDescent="0.25">
      <c r="E138" s="180"/>
      <c r="F138" s="180"/>
      <c r="G138" s="180"/>
    </row>
    <row r="139" spans="5:7" x14ac:dyDescent="0.25">
      <c r="E139" s="180"/>
      <c r="F139" s="180"/>
      <c r="G139" s="180"/>
    </row>
    <row r="140" spans="5:7" x14ac:dyDescent="0.25">
      <c r="E140" s="180"/>
      <c r="F140" s="180"/>
      <c r="G140" s="180"/>
    </row>
    <row r="141" spans="5:7" x14ac:dyDescent="0.25">
      <c r="E141" s="180"/>
      <c r="F141" s="180"/>
      <c r="G141" s="180"/>
    </row>
    <row r="142" spans="5:7" x14ac:dyDescent="0.25">
      <c r="E142" s="180"/>
      <c r="F142" s="180"/>
      <c r="G142" s="180"/>
    </row>
    <row r="143" spans="5:7" x14ac:dyDescent="0.25">
      <c r="E143" s="180"/>
      <c r="F143" s="180"/>
      <c r="G143" s="180"/>
    </row>
    <row r="144" spans="5:7" x14ac:dyDescent="0.25">
      <c r="E144" s="180"/>
      <c r="F144" s="180"/>
      <c r="G144" s="180"/>
    </row>
    <row r="145" spans="1:7" x14ac:dyDescent="0.25">
      <c r="E145" s="180"/>
      <c r="F145" s="180"/>
      <c r="G145" s="180"/>
    </row>
    <row r="146" spans="1:7" x14ac:dyDescent="0.25">
      <c r="E146" s="180"/>
      <c r="F146" s="180"/>
      <c r="G146" s="180"/>
    </row>
    <row r="147" spans="1:7" x14ac:dyDescent="0.25">
      <c r="E147" s="180"/>
      <c r="F147" s="180"/>
      <c r="G147" s="180"/>
    </row>
    <row r="148" spans="1:7" x14ac:dyDescent="0.25">
      <c r="E148" s="180"/>
      <c r="F148" s="180"/>
      <c r="G148" s="180"/>
    </row>
    <row r="149" spans="1:7" x14ac:dyDescent="0.25">
      <c r="A149" s="2"/>
      <c r="E149" s="180"/>
      <c r="F149" s="180"/>
      <c r="G149" s="180"/>
    </row>
    <row r="150" spans="1:7" x14ac:dyDescent="0.25">
      <c r="A150" s="2"/>
      <c r="E150" s="180"/>
      <c r="F150" s="180"/>
      <c r="G150" s="180"/>
    </row>
    <row r="151" spans="1:7" x14ac:dyDescent="0.25">
      <c r="A151" s="2"/>
      <c r="E151" s="180"/>
      <c r="F151" s="180"/>
      <c r="G151" s="180"/>
    </row>
    <row r="152" spans="1:7" x14ac:dyDescent="0.25">
      <c r="A152" s="2"/>
      <c r="E152" s="180"/>
      <c r="F152" s="180"/>
      <c r="G152" s="180"/>
    </row>
    <row r="153" spans="1:7" x14ac:dyDescent="0.25">
      <c r="A153" s="2"/>
      <c r="E153" s="180"/>
      <c r="F153" s="180"/>
      <c r="G153" s="180"/>
    </row>
    <row r="154" spans="1:7" x14ac:dyDescent="0.25">
      <c r="A154" s="2"/>
      <c r="E154" s="180"/>
      <c r="F154" s="180"/>
      <c r="G154" s="180"/>
    </row>
    <row r="155" spans="1:7" x14ac:dyDescent="0.25">
      <c r="A155" s="2"/>
      <c r="E155" s="180"/>
      <c r="F155" s="180"/>
      <c r="G155" s="180"/>
    </row>
    <row r="156" spans="1:7" x14ac:dyDescent="0.25">
      <c r="E156" s="180"/>
      <c r="F156" s="180"/>
      <c r="G156" s="180"/>
    </row>
    <row r="157" spans="1:7" x14ac:dyDescent="0.25">
      <c r="E157" s="180"/>
      <c r="F157" s="180"/>
      <c r="G157" s="180"/>
    </row>
    <row r="158" spans="1:7" x14ac:dyDescent="0.25">
      <c r="E158" s="180"/>
      <c r="F158" s="180"/>
      <c r="G158" s="180"/>
    </row>
    <row r="159" spans="1:7" x14ac:dyDescent="0.25">
      <c r="E159" s="180"/>
      <c r="F159" s="180"/>
      <c r="G159" s="180"/>
    </row>
    <row r="160" spans="1:7" x14ac:dyDescent="0.25">
      <c r="E160" s="180"/>
      <c r="F160" s="180"/>
      <c r="G160" s="180"/>
    </row>
    <row r="161" spans="5:7" x14ac:dyDescent="0.25">
      <c r="E161" s="180"/>
      <c r="F161" s="180"/>
      <c r="G161" s="180"/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L74"/>
  <sheetViews>
    <sheetView showGridLines="0" zoomScaleNormal="100" workbookViewId="0">
      <selection activeCell="L10" sqref="L10"/>
    </sheetView>
  </sheetViews>
  <sheetFormatPr defaultColWidth="9.140625" defaultRowHeight="12.75" x14ac:dyDescent="0.2"/>
  <cols>
    <col min="1" max="1" width="9.140625" style="49"/>
    <col min="2" max="2" width="6.42578125" style="56" bestFit="1" customWidth="1"/>
    <col min="3" max="3" width="12.5703125" style="49" bestFit="1" customWidth="1"/>
    <col min="4" max="4" width="12.42578125" style="49" bestFit="1" customWidth="1"/>
    <col min="5" max="5" width="21.140625" style="49" bestFit="1" customWidth="1"/>
    <col min="6" max="6" width="6.140625" style="49" bestFit="1" customWidth="1"/>
    <col min="7" max="7" width="9.140625" style="49"/>
    <col min="8" max="8" width="20.140625" style="49" bestFit="1" customWidth="1"/>
    <col min="9" max="10" width="9.85546875" style="49" bestFit="1" customWidth="1"/>
    <col min="11" max="16384" width="9.140625" style="49"/>
  </cols>
  <sheetData>
    <row r="2" spans="2:11" ht="15.75" thickBot="1" x14ac:dyDescent="0.25">
      <c r="B2" s="148" t="s">
        <v>58</v>
      </c>
      <c r="C2" s="148" t="s">
        <v>139</v>
      </c>
      <c r="D2" s="148" t="s">
        <v>34</v>
      </c>
      <c r="E2" s="148" t="s">
        <v>149</v>
      </c>
      <c r="F2" s="148" t="s">
        <v>29</v>
      </c>
      <c r="H2" s="186" t="s">
        <v>185</v>
      </c>
      <c r="I2" s="186" t="s">
        <v>183</v>
      </c>
      <c r="J2" s="186" t="s">
        <v>184</v>
      </c>
      <c r="K2" s="123"/>
    </row>
    <row r="3" spans="2:11" ht="13.5" thickTop="1" x14ac:dyDescent="0.2">
      <c r="B3" s="56">
        <v>1997</v>
      </c>
      <c r="C3" s="183">
        <v>28.757000000000001</v>
      </c>
      <c r="D3" s="183">
        <v>51.633000000000003</v>
      </c>
      <c r="E3" s="183">
        <v>80.390069999999994</v>
      </c>
      <c r="F3" s="183">
        <v>0.54566875000000004</v>
      </c>
      <c r="H3" s="187"/>
      <c r="I3" s="187"/>
      <c r="J3" s="187"/>
      <c r="K3" s="123"/>
    </row>
    <row r="4" spans="2:11" x14ac:dyDescent="0.2">
      <c r="B4" s="184"/>
      <c r="C4" s="183"/>
      <c r="D4" s="183"/>
      <c r="E4" s="183"/>
      <c r="F4" s="183"/>
      <c r="H4" s="187" t="s">
        <v>20</v>
      </c>
      <c r="I4" s="188">
        <f>+C19/C8-1</f>
        <v>-0.22506287178991147</v>
      </c>
      <c r="J4" s="188">
        <f>+C21/C8-1</f>
        <v>-0.21928954877400009</v>
      </c>
      <c r="K4" s="123"/>
    </row>
    <row r="5" spans="2:11" x14ac:dyDescent="0.2">
      <c r="B5" s="184"/>
      <c r="C5" s="183"/>
      <c r="D5" s="183"/>
      <c r="E5" s="183"/>
      <c r="F5" s="183"/>
      <c r="H5" s="187" t="s">
        <v>140</v>
      </c>
      <c r="I5" s="188">
        <f>+D19/D8-1</f>
        <v>-0.11678960309097308</v>
      </c>
      <c r="J5" s="188">
        <f>+D21/D8-1</f>
        <v>-7.9727447331644385E-2</v>
      </c>
      <c r="K5" s="123"/>
    </row>
    <row r="6" spans="2:11" x14ac:dyDescent="0.2">
      <c r="B6" s="184">
        <v>2000</v>
      </c>
      <c r="C6" s="183"/>
      <c r="D6" s="183"/>
      <c r="E6" s="185"/>
      <c r="F6" s="183"/>
      <c r="H6" s="187" t="s">
        <v>21</v>
      </c>
      <c r="I6" s="188">
        <f>+E19/E8-1</f>
        <v>-0.15814982195393446</v>
      </c>
      <c r="J6" s="188">
        <f>+E21/E8-1</f>
        <v>-0.13304001533366894</v>
      </c>
      <c r="K6" s="123"/>
    </row>
    <row r="7" spans="2:11" x14ac:dyDescent="0.2">
      <c r="B7" s="184"/>
      <c r="C7" s="183">
        <v>37.434899999999999</v>
      </c>
      <c r="D7" s="183">
        <v>51.434800000000003</v>
      </c>
      <c r="E7" s="185">
        <v>88.869709999999998</v>
      </c>
      <c r="F7" s="183">
        <v>0.53624685999999999</v>
      </c>
      <c r="H7" s="189" t="s">
        <v>29</v>
      </c>
      <c r="I7" s="190">
        <f>++F19/F8-1</f>
        <v>-0.11333959441329777</v>
      </c>
      <c r="J7" s="190">
        <f>++F21/F8-1</f>
        <v>-0.1308921633352258</v>
      </c>
      <c r="K7" s="123"/>
    </row>
    <row r="8" spans="2:11" x14ac:dyDescent="0.2">
      <c r="B8" s="184"/>
      <c r="C8" s="183">
        <v>33.083199999999998</v>
      </c>
      <c r="D8" s="183">
        <v>53.523600000000002</v>
      </c>
      <c r="E8" s="185">
        <v>86.606800000000007</v>
      </c>
      <c r="F8" s="183">
        <v>0.53747915999999996</v>
      </c>
      <c r="H8" s="187"/>
      <c r="I8" s="187"/>
      <c r="J8" s="187"/>
      <c r="K8" s="123"/>
    </row>
    <row r="9" spans="2:11" ht="15.75" thickBot="1" x14ac:dyDescent="0.25">
      <c r="B9" s="184"/>
      <c r="C9" s="183"/>
      <c r="D9" s="183"/>
      <c r="E9" s="185"/>
      <c r="F9" s="183"/>
      <c r="H9" s="186" t="s">
        <v>182</v>
      </c>
      <c r="I9" s="186" t="s">
        <v>183</v>
      </c>
      <c r="J9" s="186" t="s">
        <v>184</v>
      </c>
      <c r="K9" s="123"/>
    </row>
    <row r="10" spans="2:11" ht="13.5" thickTop="1" x14ac:dyDescent="0.2">
      <c r="B10" s="184"/>
      <c r="C10" s="183"/>
      <c r="D10" s="183"/>
      <c r="E10" s="185"/>
      <c r="F10" s="183"/>
      <c r="H10" s="187"/>
      <c r="I10" s="187"/>
      <c r="J10" s="187"/>
      <c r="K10" s="123"/>
    </row>
    <row r="11" spans="2:11" x14ac:dyDescent="0.2">
      <c r="B11" s="184">
        <v>2005</v>
      </c>
      <c r="C11" s="183"/>
      <c r="D11" s="183"/>
      <c r="E11" s="185"/>
      <c r="F11" s="183"/>
      <c r="H11" s="187" t="s">
        <v>20</v>
      </c>
      <c r="I11" s="216">
        <f t="shared" ref="I11:J13" si="0">+I4/I$7</f>
        <v>1.9857391669252837</v>
      </c>
      <c r="J11" s="191">
        <f t="shared" si="0"/>
        <v>1.6753451328662143</v>
      </c>
      <c r="K11" s="123"/>
    </row>
    <row r="12" spans="2:11" x14ac:dyDescent="0.2">
      <c r="B12" s="184"/>
      <c r="C12" s="183"/>
      <c r="D12" s="183"/>
      <c r="E12" s="185"/>
      <c r="F12" s="183"/>
      <c r="H12" s="187" t="s">
        <v>140</v>
      </c>
      <c r="I12" s="216">
        <f t="shared" si="0"/>
        <v>1.0304395714095702</v>
      </c>
      <c r="J12" s="191">
        <f t="shared" si="0"/>
        <v>0.60910787399437893</v>
      </c>
      <c r="K12" s="123"/>
    </row>
    <row r="13" spans="2:11" x14ac:dyDescent="0.2">
      <c r="B13" s="184"/>
      <c r="C13" s="183">
        <v>27.5915</v>
      </c>
      <c r="D13" s="183">
        <v>50.161700000000003</v>
      </c>
      <c r="E13" s="185">
        <v>77.753230000000002</v>
      </c>
      <c r="F13" s="183">
        <v>0.50623315000000002</v>
      </c>
      <c r="H13" s="189" t="s">
        <v>21</v>
      </c>
      <c r="I13" s="215">
        <f t="shared" si="0"/>
        <v>1.3953625189202128</v>
      </c>
      <c r="J13" s="201">
        <f t="shared" si="0"/>
        <v>1.0164093246204688</v>
      </c>
      <c r="K13" s="123"/>
    </row>
    <row r="14" spans="2:11" x14ac:dyDescent="0.2">
      <c r="B14" s="184"/>
      <c r="C14" s="183"/>
      <c r="D14" s="183"/>
      <c r="E14" s="185"/>
      <c r="F14" s="183"/>
      <c r="K14" s="123"/>
    </row>
    <row r="15" spans="2:11" x14ac:dyDescent="0.2">
      <c r="B15" s="184"/>
      <c r="C15" s="183">
        <v>24.425599999999999</v>
      </c>
      <c r="D15" s="183">
        <v>53.425400000000003</v>
      </c>
      <c r="E15" s="185">
        <v>77.851070000000007</v>
      </c>
      <c r="F15" s="183">
        <v>0.48962708999999999</v>
      </c>
      <c r="K15" s="123"/>
    </row>
    <row r="16" spans="2:11" ht="15.75" thickBot="1" x14ac:dyDescent="0.25">
      <c r="B16" s="184">
        <v>2010</v>
      </c>
      <c r="C16" s="183">
        <v>24.7166</v>
      </c>
      <c r="D16" s="183">
        <v>53.231999999999999</v>
      </c>
      <c r="E16" s="185">
        <v>77.948580000000007</v>
      </c>
      <c r="F16" s="183">
        <v>0.48464447999999999</v>
      </c>
      <c r="H16" s="186"/>
      <c r="I16" s="186" t="s">
        <v>248</v>
      </c>
      <c r="J16" s="125"/>
      <c r="K16" s="123"/>
    </row>
    <row r="17" spans="2:12" ht="13.5" thickTop="1" x14ac:dyDescent="0.2">
      <c r="B17" s="184"/>
      <c r="C17" s="183">
        <v>24.469799999999999</v>
      </c>
      <c r="D17" s="183">
        <v>54.985300000000002</v>
      </c>
      <c r="E17" s="185">
        <v>79.455070000000006</v>
      </c>
      <c r="F17" s="183">
        <v>0.48130264</v>
      </c>
      <c r="H17" s="49" t="s">
        <v>33</v>
      </c>
      <c r="I17" s="91">
        <f>+CORREL(C3:C21,F3:F21)</f>
        <v>0.78821455098445925</v>
      </c>
    </row>
    <row r="18" spans="2:12" x14ac:dyDescent="0.2">
      <c r="B18" s="184"/>
      <c r="C18" s="183"/>
      <c r="D18" s="183"/>
      <c r="E18" s="185"/>
      <c r="F18" s="183"/>
      <c r="H18" s="49" t="s">
        <v>141</v>
      </c>
      <c r="I18" s="91">
        <f>+CORREL(E3:E21,F3:F21)</f>
        <v>0.79730190172496462</v>
      </c>
      <c r="J18" s="123"/>
    </row>
    <row r="19" spans="2:12" x14ac:dyDescent="0.2">
      <c r="B19" s="184"/>
      <c r="C19" s="183">
        <v>25.6374</v>
      </c>
      <c r="D19" s="183">
        <v>47.272599999999997</v>
      </c>
      <c r="E19" s="185">
        <v>72.909949999999995</v>
      </c>
      <c r="F19" s="183">
        <v>0.47656148999999998</v>
      </c>
      <c r="H19" s="193" t="s">
        <v>34</v>
      </c>
      <c r="I19" s="214">
        <f>+CORREL(D3:D21,F3:F21)</f>
        <v>0.22124269354625908</v>
      </c>
    </row>
    <row r="20" spans="2:12" x14ac:dyDescent="0.2">
      <c r="B20" s="184"/>
      <c r="C20" s="183"/>
      <c r="D20" s="183"/>
      <c r="E20" s="185"/>
      <c r="F20" s="56"/>
      <c r="I20" s="51"/>
    </row>
    <row r="21" spans="2:12" x14ac:dyDescent="0.2">
      <c r="B21" s="199">
        <v>2015</v>
      </c>
      <c r="C21" s="200">
        <v>25.828399999999998</v>
      </c>
      <c r="D21" s="200">
        <v>49.256300000000003</v>
      </c>
      <c r="E21" s="200">
        <v>75.084630000000004</v>
      </c>
      <c r="F21" s="200">
        <v>0.46712735</v>
      </c>
      <c r="I21" s="51"/>
    </row>
    <row r="22" spans="2:12" x14ac:dyDescent="0.2">
      <c r="C22" s="56"/>
      <c r="D22" s="56"/>
      <c r="E22" s="56"/>
      <c r="F22" s="56"/>
    </row>
    <row r="24" spans="2:12" s="55" customFormat="1" ht="15.75" x14ac:dyDescent="0.25">
      <c r="B24" s="54"/>
      <c r="I24" s="124"/>
    </row>
    <row r="25" spans="2:12" x14ac:dyDescent="0.2">
      <c r="L25" s="123"/>
    </row>
    <row r="26" spans="2:12" x14ac:dyDescent="0.2">
      <c r="L26" s="123"/>
    </row>
    <row r="27" spans="2:12" x14ac:dyDescent="0.2">
      <c r="L27" s="123"/>
    </row>
    <row r="28" spans="2:12" x14ac:dyDescent="0.2">
      <c r="L28" s="123"/>
    </row>
    <row r="29" spans="2:12" x14ac:dyDescent="0.2">
      <c r="L29" s="123"/>
    </row>
    <row r="30" spans="2:12" x14ac:dyDescent="0.2">
      <c r="L30" s="123"/>
    </row>
    <row r="31" spans="2:12" x14ac:dyDescent="0.2">
      <c r="L31" s="123"/>
    </row>
    <row r="32" spans="2:12" x14ac:dyDescent="0.2">
      <c r="L32" s="123"/>
    </row>
    <row r="33" spans="2:12" x14ac:dyDescent="0.2">
      <c r="L33" s="123"/>
    </row>
    <row r="34" spans="2:12" x14ac:dyDescent="0.2">
      <c r="L34" s="123"/>
    </row>
    <row r="35" spans="2:12" x14ac:dyDescent="0.2">
      <c r="L35" s="123"/>
    </row>
    <row r="36" spans="2:12" x14ac:dyDescent="0.2">
      <c r="L36" s="123"/>
    </row>
    <row r="37" spans="2:12" x14ac:dyDescent="0.2">
      <c r="L37" s="123"/>
    </row>
    <row r="38" spans="2:12" x14ac:dyDescent="0.2">
      <c r="L38" s="123"/>
    </row>
    <row r="39" spans="2:12" x14ac:dyDescent="0.2">
      <c r="L39" s="123"/>
    </row>
    <row r="45" spans="2:12" s="55" customFormat="1" ht="15.75" x14ac:dyDescent="0.25">
      <c r="B45" s="54"/>
      <c r="H45" s="49"/>
    </row>
    <row r="46" spans="2:12" ht="15.75" x14ac:dyDescent="0.25">
      <c r="D46" s="55"/>
      <c r="E46" s="55"/>
    </row>
    <row r="58" spans="2:2" x14ac:dyDescent="0.2">
      <c r="B58" s="49"/>
    </row>
    <row r="66" spans="6:7" x14ac:dyDescent="0.2">
      <c r="F66" s="51"/>
      <c r="G66" s="51"/>
    </row>
    <row r="67" spans="6:7" x14ac:dyDescent="0.2">
      <c r="F67" s="51"/>
      <c r="G67" s="51"/>
    </row>
    <row r="68" spans="6:7" x14ac:dyDescent="0.2">
      <c r="F68" s="51"/>
      <c r="G68" s="51"/>
    </row>
    <row r="69" spans="6:7" x14ac:dyDescent="0.2">
      <c r="F69" s="51"/>
      <c r="G69" s="51"/>
    </row>
    <row r="70" spans="6:7" x14ac:dyDescent="0.2">
      <c r="F70" s="51"/>
      <c r="G70" s="51"/>
    </row>
    <row r="71" spans="6:7" x14ac:dyDescent="0.2">
      <c r="F71" s="51"/>
      <c r="G71" s="51"/>
    </row>
    <row r="72" spans="6:7" x14ac:dyDescent="0.2">
      <c r="F72" s="51"/>
      <c r="G72" s="51"/>
    </row>
    <row r="73" spans="6:7" x14ac:dyDescent="0.2">
      <c r="F73" s="51"/>
      <c r="G73" s="51"/>
    </row>
    <row r="74" spans="6:7" x14ac:dyDescent="0.2">
      <c r="F74" s="51"/>
      <c r="G74" s="51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B1:V23"/>
  <sheetViews>
    <sheetView showGridLines="0" workbookViewId="0">
      <selection activeCell="E9" sqref="E9"/>
    </sheetView>
  </sheetViews>
  <sheetFormatPr defaultRowHeight="15" x14ac:dyDescent="0.25"/>
  <cols>
    <col min="3" max="5" width="7.140625" style="1" bestFit="1" customWidth="1"/>
    <col min="6" max="6" width="7" style="1" bestFit="1" customWidth="1"/>
    <col min="8" max="8" width="5" bestFit="1" customWidth="1"/>
    <col min="9" max="9" width="18.140625" bestFit="1" customWidth="1"/>
    <col min="10" max="10" width="18.7109375" bestFit="1" customWidth="1"/>
    <col min="11" max="11" width="21" bestFit="1" customWidth="1"/>
    <col min="12" max="12" width="18.7109375" bestFit="1" customWidth="1"/>
    <col min="19" max="19" width="10.85546875" style="1" bestFit="1" customWidth="1"/>
    <col min="20" max="20" width="11.28515625" style="1" bestFit="1" customWidth="1"/>
    <col min="21" max="21" width="15.5703125" style="1" bestFit="1" customWidth="1"/>
    <col min="22" max="22" width="14" style="1" bestFit="1" customWidth="1"/>
  </cols>
  <sheetData>
    <row r="1" spans="2:22" x14ac:dyDescent="0.25">
      <c r="B1" s="122"/>
    </row>
    <row r="2" spans="2:22" ht="15.75" thickBot="1" x14ac:dyDescent="0.3">
      <c r="B2" s="147" t="s">
        <v>58</v>
      </c>
      <c r="C2" s="148" t="s">
        <v>150</v>
      </c>
      <c r="D2" s="148" t="s">
        <v>83</v>
      </c>
      <c r="E2" s="148" t="s">
        <v>84</v>
      </c>
      <c r="F2" s="148" t="s">
        <v>85</v>
      </c>
      <c r="H2" s="147" t="s">
        <v>58</v>
      </c>
      <c r="I2" s="149" t="s">
        <v>78</v>
      </c>
      <c r="J2" s="149" t="s">
        <v>79</v>
      </c>
      <c r="K2" s="149" t="s">
        <v>80</v>
      </c>
      <c r="L2" s="149" t="s">
        <v>81</v>
      </c>
      <c r="N2" s="147" t="s">
        <v>58</v>
      </c>
      <c r="O2" s="149" t="s">
        <v>146</v>
      </c>
      <c r="P2" s="149" t="s">
        <v>145</v>
      </c>
      <c r="R2" s="147" t="s">
        <v>58</v>
      </c>
      <c r="S2" s="149" t="s">
        <v>92</v>
      </c>
      <c r="T2" s="149" t="s">
        <v>93</v>
      </c>
      <c r="U2" s="150" t="s">
        <v>151</v>
      </c>
      <c r="V2" s="149" t="s">
        <v>95</v>
      </c>
    </row>
    <row r="3" spans="2:22" ht="15.75" thickTop="1" x14ac:dyDescent="0.25">
      <c r="B3" s="49">
        <v>1997</v>
      </c>
      <c r="C3" s="1">
        <v>79.995687000000004</v>
      </c>
      <c r="D3" s="1">
        <v>79.997158999999996</v>
      </c>
      <c r="E3" s="1">
        <v>80.762372999999997</v>
      </c>
      <c r="F3" s="1">
        <v>84.155242999999999</v>
      </c>
      <c r="H3" s="49">
        <v>1997</v>
      </c>
      <c r="I3" s="1">
        <v>81.948172</v>
      </c>
      <c r="J3" s="1">
        <v>80.97505000000001</v>
      </c>
      <c r="K3" s="1">
        <v>81.203034000000002</v>
      </c>
      <c r="L3" s="1">
        <v>77.871672000000004</v>
      </c>
      <c r="N3" s="49">
        <v>1997</v>
      </c>
      <c r="O3" s="1">
        <v>80.988665999999995</v>
      </c>
      <c r="P3" s="1">
        <v>79.773455999999996</v>
      </c>
      <c r="R3" s="49">
        <v>1997</v>
      </c>
      <c r="S3" s="1">
        <v>79.950642999999999</v>
      </c>
      <c r="T3" s="1">
        <v>80.601230000000001</v>
      </c>
      <c r="U3" s="1">
        <v>79.180558999999988</v>
      </c>
      <c r="V3" s="1">
        <v>82.256940999999998</v>
      </c>
    </row>
    <row r="4" spans="2:22" x14ac:dyDescent="0.25">
      <c r="B4" s="57"/>
      <c r="H4" s="57"/>
      <c r="I4" s="1"/>
      <c r="J4" s="1"/>
      <c r="K4" s="1"/>
      <c r="L4" s="1"/>
      <c r="N4" s="57"/>
      <c r="O4" s="1"/>
      <c r="P4" s="1"/>
      <c r="R4" s="57"/>
    </row>
    <row r="5" spans="2:22" x14ac:dyDescent="0.25">
      <c r="B5" s="57"/>
      <c r="H5" s="57"/>
      <c r="I5" s="1"/>
      <c r="J5" s="1"/>
      <c r="K5" s="1"/>
      <c r="L5" s="1"/>
      <c r="N5" s="57"/>
      <c r="O5" s="1"/>
      <c r="P5" s="1"/>
      <c r="R5" s="57"/>
    </row>
    <row r="6" spans="2:22" x14ac:dyDescent="0.25">
      <c r="B6" s="57">
        <v>2000</v>
      </c>
      <c r="H6" s="57">
        <v>2000</v>
      </c>
      <c r="I6" s="1"/>
      <c r="J6" s="1"/>
      <c r="K6" s="1"/>
      <c r="L6" s="1"/>
      <c r="N6" s="57">
        <v>2000</v>
      </c>
      <c r="O6" s="1"/>
      <c r="P6" s="1"/>
      <c r="R6" s="57">
        <v>2000</v>
      </c>
    </row>
    <row r="7" spans="2:22" x14ac:dyDescent="0.25">
      <c r="B7" s="57"/>
      <c r="C7" s="1">
        <v>86.419657000000001</v>
      </c>
      <c r="D7" s="1">
        <v>89.348585</v>
      </c>
      <c r="E7" s="1">
        <v>90.281579999999991</v>
      </c>
      <c r="F7" s="1">
        <v>89.193924999999993</v>
      </c>
      <c r="H7" s="57"/>
      <c r="I7" s="1">
        <v>88.411320000000003</v>
      </c>
      <c r="J7" s="1">
        <v>88.528540000000007</v>
      </c>
      <c r="K7" s="1">
        <v>90.402914999999993</v>
      </c>
      <c r="L7" s="1">
        <v>91.215444999999988</v>
      </c>
      <c r="N7" s="57"/>
      <c r="O7" s="1">
        <v>89.044743999999994</v>
      </c>
      <c r="P7" s="1">
        <v>88.706262000000009</v>
      </c>
      <c r="R7" s="57"/>
      <c r="S7" s="1">
        <v>89.322752000000008</v>
      </c>
      <c r="T7" s="1">
        <v>89.789024999999995</v>
      </c>
      <c r="U7" s="1">
        <v>88.611321000000004</v>
      </c>
      <c r="V7" s="1">
        <v>89.404089999999997</v>
      </c>
    </row>
    <row r="8" spans="2:22" x14ac:dyDescent="0.25">
      <c r="B8" s="57"/>
      <c r="C8" s="1">
        <v>83.822205000000011</v>
      </c>
      <c r="D8" s="1">
        <v>86.855999999999995</v>
      </c>
      <c r="E8" s="1">
        <v>88.557156000000006</v>
      </c>
      <c r="F8" s="1">
        <v>86.511872999999994</v>
      </c>
      <c r="H8" s="57"/>
      <c r="I8" s="1">
        <v>86.995268999999993</v>
      </c>
      <c r="J8" s="1">
        <v>85.999650000000003</v>
      </c>
      <c r="K8" s="1">
        <v>88.854792000000003</v>
      </c>
      <c r="L8" s="1">
        <v>89.395166000000003</v>
      </c>
      <c r="N8" s="57"/>
      <c r="O8" s="1">
        <v>86.515649999999994</v>
      </c>
      <c r="P8" s="1">
        <v>86.683240999999995</v>
      </c>
      <c r="R8" s="57"/>
      <c r="S8" s="1">
        <v>90.437393999999998</v>
      </c>
      <c r="T8" s="1">
        <v>87.210194000000001</v>
      </c>
      <c r="U8" s="1">
        <v>86.34030700000001</v>
      </c>
      <c r="V8" s="1">
        <v>85.695162999999994</v>
      </c>
    </row>
    <row r="9" spans="2:22" x14ac:dyDescent="0.25">
      <c r="B9" s="57"/>
      <c r="H9" s="57"/>
      <c r="I9" s="1"/>
      <c r="J9" s="1"/>
      <c r="K9" s="1"/>
      <c r="L9" s="1"/>
      <c r="N9" s="57"/>
      <c r="O9" s="1"/>
      <c r="P9" s="1"/>
      <c r="R9" s="57"/>
    </row>
    <row r="10" spans="2:22" x14ac:dyDescent="0.25">
      <c r="B10" s="57"/>
      <c r="H10" s="57"/>
      <c r="I10" s="1"/>
      <c r="J10" s="1"/>
      <c r="K10" s="1"/>
      <c r="L10" s="1"/>
      <c r="N10" s="57"/>
      <c r="O10" s="1"/>
      <c r="P10" s="1"/>
      <c r="R10" s="57"/>
    </row>
    <row r="11" spans="2:22" x14ac:dyDescent="0.25">
      <c r="B11" s="57">
        <v>2005</v>
      </c>
      <c r="H11" s="57">
        <v>2005</v>
      </c>
      <c r="I11" s="1"/>
      <c r="J11" s="1"/>
      <c r="K11" s="1"/>
      <c r="L11" s="1"/>
      <c r="N11" s="57">
        <v>2005</v>
      </c>
      <c r="O11" s="1"/>
      <c r="P11" s="1"/>
      <c r="R11" s="57">
        <v>2005</v>
      </c>
    </row>
    <row r="12" spans="2:22" x14ac:dyDescent="0.25">
      <c r="B12" s="57"/>
      <c r="H12" s="57"/>
      <c r="I12" s="1"/>
      <c r="J12" s="1"/>
      <c r="K12" s="1"/>
      <c r="L12" s="1"/>
      <c r="N12" s="57"/>
      <c r="O12" s="1"/>
      <c r="P12" s="1"/>
      <c r="R12" s="57"/>
    </row>
    <row r="13" spans="2:22" x14ac:dyDescent="0.25">
      <c r="B13" s="57"/>
      <c r="H13" s="57"/>
      <c r="I13" s="1"/>
      <c r="J13" s="1"/>
      <c r="K13" s="1"/>
      <c r="L13" s="1"/>
      <c r="N13" s="57"/>
      <c r="O13" s="1"/>
      <c r="P13" s="1"/>
      <c r="R13" s="57"/>
    </row>
    <row r="14" spans="2:22" x14ac:dyDescent="0.25">
      <c r="B14" s="57"/>
      <c r="C14" s="1">
        <v>75.642606999999998</v>
      </c>
      <c r="D14" s="1">
        <v>78.227128999999991</v>
      </c>
      <c r="E14" s="1">
        <v>78.987487000000002</v>
      </c>
      <c r="F14" s="1">
        <v>76.793695999999997</v>
      </c>
      <c r="H14" s="57"/>
      <c r="I14" s="1">
        <v>77.296756000000002</v>
      </c>
      <c r="J14" s="1">
        <v>77.584600000000009</v>
      </c>
      <c r="K14" s="1">
        <v>79.735293999999996</v>
      </c>
      <c r="L14" s="1">
        <v>80.606464000000003</v>
      </c>
      <c r="N14" s="57"/>
      <c r="O14" s="1">
        <v>78.116998000000009</v>
      </c>
      <c r="P14" s="1">
        <v>77.374377999999993</v>
      </c>
      <c r="R14" s="57"/>
      <c r="S14" s="1">
        <v>77.189726000000007</v>
      </c>
      <c r="T14" s="1">
        <v>77.837672999999995</v>
      </c>
      <c r="U14" s="1">
        <v>76.558554000000001</v>
      </c>
      <c r="V14" s="1">
        <v>80.766166999999996</v>
      </c>
    </row>
    <row r="15" spans="2:22" x14ac:dyDescent="0.25">
      <c r="B15" s="57"/>
      <c r="C15" s="1">
        <v>75.606471999999997</v>
      </c>
      <c r="D15" s="1">
        <v>78.149146999999999</v>
      </c>
      <c r="E15" s="1">
        <v>78.628555000000006</v>
      </c>
      <c r="F15" s="1">
        <v>78.659948</v>
      </c>
      <c r="H15" s="57"/>
      <c r="I15" s="1">
        <v>76.659176000000002</v>
      </c>
      <c r="J15" s="1">
        <v>78.354146999999998</v>
      </c>
      <c r="K15" s="1">
        <v>77.786152000000001</v>
      </c>
      <c r="L15" s="1">
        <v>80.252566999999999</v>
      </c>
      <c r="N15" s="57"/>
      <c r="O15" s="1">
        <v>78.517917999999995</v>
      </c>
      <c r="P15" s="1">
        <v>77.16372299999999</v>
      </c>
      <c r="R15" s="57"/>
      <c r="S15" s="1">
        <v>77.236523999999989</v>
      </c>
      <c r="T15" s="1">
        <v>77.589825000000005</v>
      </c>
      <c r="U15" s="1">
        <v>77.656452999999999</v>
      </c>
      <c r="V15" s="1">
        <v>78.972774000000001</v>
      </c>
    </row>
    <row r="16" spans="2:22" x14ac:dyDescent="0.25">
      <c r="B16" s="57">
        <v>2010</v>
      </c>
      <c r="C16" s="1">
        <v>75.345437000000004</v>
      </c>
      <c r="D16" s="1">
        <v>78.91923899999999</v>
      </c>
      <c r="E16" s="1">
        <v>78.079686999999993</v>
      </c>
      <c r="F16" s="1">
        <v>78.780118000000002</v>
      </c>
      <c r="H16" s="57">
        <v>2010</v>
      </c>
      <c r="I16" s="1">
        <v>78.338312000000002</v>
      </c>
      <c r="J16" s="1">
        <v>77.768523999999999</v>
      </c>
      <c r="K16" s="1">
        <v>77.013451000000003</v>
      </c>
      <c r="L16" s="1">
        <v>77.825896</v>
      </c>
      <c r="N16" s="57">
        <v>2010</v>
      </c>
      <c r="O16" s="1">
        <v>78.896540999999999</v>
      </c>
      <c r="P16" s="1">
        <v>76.977158000000003</v>
      </c>
      <c r="R16" s="57">
        <v>2010</v>
      </c>
      <c r="S16" s="1">
        <v>80.504812000000001</v>
      </c>
      <c r="T16" s="1">
        <v>77.629990000000006</v>
      </c>
      <c r="U16" s="1">
        <v>78.018067000000002</v>
      </c>
      <c r="V16" s="1">
        <v>80.298821000000004</v>
      </c>
    </row>
    <row r="17" spans="2:22" x14ac:dyDescent="0.25">
      <c r="B17" s="57"/>
      <c r="C17" s="1">
        <v>76.004722999999998</v>
      </c>
      <c r="D17" s="1">
        <v>80.145009999999999</v>
      </c>
      <c r="E17" s="1">
        <v>80.564804999999993</v>
      </c>
      <c r="F17" s="1">
        <v>79.880309000000011</v>
      </c>
      <c r="H17" s="57"/>
      <c r="I17" s="1">
        <v>80.809550999999999</v>
      </c>
      <c r="J17" s="1">
        <v>78.490051000000008</v>
      </c>
      <c r="K17" s="1">
        <v>78.744664</v>
      </c>
      <c r="L17" s="1">
        <v>80.874221000000006</v>
      </c>
      <c r="N17" s="57"/>
      <c r="O17" s="1">
        <v>80.604292999999998</v>
      </c>
      <c r="P17" s="1">
        <v>78.258538000000001</v>
      </c>
      <c r="R17" s="57"/>
      <c r="S17" s="1">
        <v>78.237469000000004</v>
      </c>
      <c r="T17" s="1">
        <v>78.902963999999997</v>
      </c>
      <c r="U17" s="1">
        <v>78.922623000000002</v>
      </c>
      <c r="V17" s="1">
        <v>80.676726000000002</v>
      </c>
    </row>
    <row r="18" spans="2:22" x14ac:dyDescent="0.25">
      <c r="B18" s="57"/>
      <c r="H18" s="57"/>
      <c r="I18" s="1"/>
      <c r="J18" s="1"/>
      <c r="K18" s="1"/>
      <c r="L18" s="1"/>
      <c r="N18" s="57"/>
      <c r="O18" s="1"/>
      <c r="P18" s="1"/>
      <c r="R18" s="57"/>
    </row>
    <row r="19" spans="2:22" x14ac:dyDescent="0.25">
      <c r="B19" s="57"/>
      <c r="C19" s="1">
        <v>69.700099999999992</v>
      </c>
      <c r="D19" s="1">
        <v>73.490540999999993</v>
      </c>
      <c r="E19" s="1">
        <v>74.402009000000007</v>
      </c>
      <c r="F19" s="1">
        <v>73.474797999999993</v>
      </c>
      <c r="H19" s="57"/>
      <c r="I19" s="1">
        <v>73.354649999999992</v>
      </c>
      <c r="J19" s="1">
        <v>72.724763999999993</v>
      </c>
      <c r="K19" s="1">
        <v>73.605366000000004</v>
      </c>
      <c r="L19" s="1">
        <v>75.466129000000009</v>
      </c>
      <c r="N19" s="57"/>
      <c r="O19" s="1">
        <v>73.854361999999995</v>
      </c>
      <c r="P19" s="1">
        <v>71.915323000000001</v>
      </c>
      <c r="R19" s="57"/>
      <c r="S19" s="1">
        <v>73.851133000000004</v>
      </c>
      <c r="T19" s="1">
        <v>72.020234000000002</v>
      </c>
      <c r="U19" s="1">
        <v>73.094014000000001</v>
      </c>
      <c r="V19" s="1">
        <v>73.663313000000002</v>
      </c>
    </row>
    <row r="20" spans="2:22" x14ac:dyDescent="0.25">
      <c r="B20" s="57"/>
      <c r="H20" s="57"/>
      <c r="I20" s="1"/>
      <c r="J20" s="1"/>
      <c r="K20" s="1"/>
      <c r="L20" s="1"/>
      <c r="N20" s="57"/>
      <c r="O20" s="1"/>
      <c r="P20" s="1"/>
      <c r="R20" s="57"/>
    </row>
    <row r="21" spans="2:22" x14ac:dyDescent="0.25">
      <c r="B21" s="49">
        <v>2015</v>
      </c>
      <c r="C21" s="1">
        <v>73.113595000000004</v>
      </c>
      <c r="D21" s="1">
        <v>74.614304000000004</v>
      </c>
      <c r="E21" s="1">
        <v>77.348819000000006</v>
      </c>
      <c r="F21" s="1">
        <v>75.369001999999995</v>
      </c>
      <c r="H21" s="49">
        <v>2015</v>
      </c>
      <c r="I21" s="1">
        <v>76.021299999999997</v>
      </c>
      <c r="J21" s="1">
        <v>74.643186999999998</v>
      </c>
      <c r="K21" s="1">
        <v>74.673173000000006</v>
      </c>
      <c r="L21" s="1">
        <v>76.811977999999996</v>
      </c>
      <c r="N21" s="49">
        <v>2015</v>
      </c>
      <c r="O21" s="1">
        <v>75.875060000000005</v>
      </c>
      <c r="P21" s="1">
        <v>74.269975000000002</v>
      </c>
      <c r="R21" s="49">
        <v>2015</v>
      </c>
      <c r="S21" s="1">
        <v>74.390512999999999</v>
      </c>
      <c r="T21" s="1">
        <v>74.377744000000007</v>
      </c>
      <c r="U21" s="1">
        <v>76.248154</v>
      </c>
      <c r="V21" s="1">
        <v>75.080169999999995</v>
      </c>
    </row>
    <row r="23" spans="2:22" x14ac:dyDescent="0.25">
      <c r="B23" s="197" t="s">
        <v>152</v>
      </c>
      <c r="C23" s="198">
        <f>+AVERAGE(C3:C21)</f>
        <v>77.29449811111111</v>
      </c>
      <c r="D23" s="198">
        <f t="shared" ref="D23:V23" si="0">+AVERAGE(D3:D21)</f>
        <v>79.971901555555561</v>
      </c>
      <c r="E23" s="198">
        <f t="shared" si="0"/>
        <v>80.845830111111113</v>
      </c>
      <c r="F23" s="198">
        <f t="shared" si="0"/>
        <v>80.313212444444446</v>
      </c>
      <c r="G23" s="1"/>
      <c r="H23" s="197" t="s">
        <v>152</v>
      </c>
      <c r="I23" s="198">
        <f t="shared" si="0"/>
        <v>79.981611777777786</v>
      </c>
      <c r="J23" s="198">
        <f t="shared" si="0"/>
        <v>79.452057000000011</v>
      </c>
      <c r="K23" s="198">
        <f t="shared" si="0"/>
        <v>80.224315666666655</v>
      </c>
      <c r="L23" s="198">
        <f t="shared" si="0"/>
        <v>81.14661533333333</v>
      </c>
      <c r="M23" s="1"/>
      <c r="N23" s="197" t="s">
        <v>152</v>
      </c>
      <c r="O23" s="198">
        <f t="shared" si="0"/>
        <v>80.268248000000014</v>
      </c>
      <c r="P23" s="198">
        <f t="shared" si="0"/>
        <v>79.013561555555555</v>
      </c>
      <c r="Q23" s="1"/>
      <c r="R23" s="197" t="s">
        <v>152</v>
      </c>
      <c r="S23" s="198">
        <f t="shared" si="0"/>
        <v>80.124551777777768</v>
      </c>
      <c r="T23" s="198">
        <f t="shared" si="0"/>
        <v>79.550986555555554</v>
      </c>
      <c r="U23" s="198">
        <f t="shared" si="0"/>
        <v>79.403339111111123</v>
      </c>
      <c r="V23" s="198">
        <f t="shared" si="0"/>
        <v>80.757129444444445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2:H45"/>
  <sheetViews>
    <sheetView showGridLines="0" zoomScaleNormal="100" workbookViewId="0">
      <selection activeCell="I43" sqref="I43"/>
    </sheetView>
  </sheetViews>
  <sheetFormatPr defaultColWidth="9.140625" defaultRowHeight="15" x14ac:dyDescent="0.25"/>
  <cols>
    <col min="1" max="1" width="4" customWidth="1"/>
    <col min="2" max="2" width="5" style="65" bestFit="1" customWidth="1"/>
    <col min="3" max="3" width="11.140625" style="49" bestFit="1" customWidth="1"/>
    <col min="4" max="4" width="6.5703125" style="49" bestFit="1" customWidth="1"/>
    <col min="5" max="5" width="5.5703125" style="49" bestFit="1" customWidth="1"/>
    <col min="6" max="6" width="8.85546875" style="65" customWidth="1"/>
    <col min="7" max="7" width="10.5703125" style="49" bestFit="1" customWidth="1"/>
    <col min="8" max="16384" width="9.140625" style="49"/>
  </cols>
  <sheetData>
    <row r="2" spans="2:8" ht="15.75" thickBot="1" x14ac:dyDescent="0.3">
      <c r="B2" s="147"/>
      <c r="C2" s="147" t="s">
        <v>139</v>
      </c>
      <c r="D2" s="147" t="s">
        <v>34</v>
      </c>
      <c r="E2" s="147" t="s">
        <v>35</v>
      </c>
      <c r="F2" s="147" t="s">
        <v>153</v>
      </c>
      <c r="H2" s="70"/>
    </row>
    <row r="3" spans="2:8" ht="15.75" thickTop="1" x14ac:dyDescent="0.25">
      <c r="B3" s="49">
        <v>1997</v>
      </c>
      <c r="C3" s="52">
        <v>28.757022857666016</v>
      </c>
      <c r="D3" s="52">
        <v>51.633045196533203</v>
      </c>
      <c r="E3" s="51">
        <v>14.324299999999999</v>
      </c>
      <c r="F3" s="71">
        <v>5.2856199999999998</v>
      </c>
      <c r="H3" s="71"/>
    </row>
    <row r="4" spans="2:8" x14ac:dyDescent="0.25">
      <c r="B4" s="57"/>
      <c r="F4" s="71"/>
      <c r="H4" s="68"/>
    </row>
    <row r="5" spans="2:8" x14ac:dyDescent="0.25">
      <c r="B5" s="57"/>
      <c r="F5" s="71"/>
      <c r="H5" s="68"/>
    </row>
    <row r="6" spans="2:8" x14ac:dyDescent="0.25">
      <c r="B6" s="57">
        <v>2000</v>
      </c>
      <c r="F6" s="71"/>
      <c r="H6" s="68"/>
    </row>
    <row r="7" spans="2:8" x14ac:dyDescent="0.25">
      <c r="B7" s="57"/>
      <c r="C7" s="52">
        <v>37.434867858886719</v>
      </c>
      <c r="D7" s="52">
        <v>51.434837341308594</v>
      </c>
      <c r="E7" s="51">
        <v>9.4469799999999999</v>
      </c>
      <c r="F7" s="71">
        <v>1.6833100000000005</v>
      </c>
      <c r="H7" s="71"/>
    </row>
    <row r="8" spans="2:8" x14ac:dyDescent="0.25">
      <c r="B8" s="57"/>
      <c r="C8" s="52">
        <v>33.083198547363281</v>
      </c>
      <c r="D8" s="52">
        <v>53.523593902587891</v>
      </c>
      <c r="E8" s="51">
        <v>11.283899999999999</v>
      </c>
      <c r="F8" s="71">
        <v>2.1093499999999992</v>
      </c>
      <c r="H8" s="71"/>
    </row>
    <row r="9" spans="2:8" x14ac:dyDescent="0.25">
      <c r="B9" s="57"/>
      <c r="F9" s="71"/>
      <c r="H9" s="68"/>
    </row>
    <row r="10" spans="2:8" x14ac:dyDescent="0.25">
      <c r="B10" s="57"/>
      <c r="E10" s="51"/>
      <c r="F10" s="71"/>
      <c r="H10" s="68"/>
    </row>
    <row r="11" spans="2:8" x14ac:dyDescent="0.25">
      <c r="B11" s="57">
        <v>2005</v>
      </c>
      <c r="E11" s="51"/>
      <c r="F11" s="71"/>
      <c r="H11" s="68"/>
    </row>
    <row r="12" spans="2:8" x14ac:dyDescent="0.25">
      <c r="B12" s="57"/>
      <c r="E12" s="51"/>
      <c r="F12" s="71"/>
      <c r="H12" s="68"/>
    </row>
    <row r="13" spans="2:8" x14ac:dyDescent="0.25">
      <c r="B13" s="57"/>
      <c r="C13" s="52">
        <v>27.591503143310547</v>
      </c>
      <c r="D13" s="52">
        <v>50.161735534667969</v>
      </c>
      <c r="E13" s="51">
        <v>17.914300000000001</v>
      </c>
      <c r="F13" s="71">
        <v>4.3324499999999979</v>
      </c>
      <c r="H13" s="71"/>
    </row>
    <row r="14" spans="2:8" x14ac:dyDescent="0.25">
      <c r="B14" s="57"/>
      <c r="F14" s="71"/>
      <c r="H14" s="68"/>
    </row>
    <row r="15" spans="2:8" x14ac:dyDescent="0.25">
      <c r="B15" s="57"/>
      <c r="C15" s="52">
        <v>24.425638198852539</v>
      </c>
      <c r="D15" s="52">
        <v>53.425437927246094</v>
      </c>
      <c r="E15" s="51">
        <v>19.534700000000001</v>
      </c>
      <c r="F15" s="71">
        <v>2.6141800000000011</v>
      </c>
      <c r="H15" s="71"/>
    </row>
    <row r="16" spans="2:8" x14ac:dyDescent="0.25">
      <c r="B16" s="57">
        <v>2010</v>
      </c>
      <c r="C16" s="52">
        <v>24.716573715209961</v>
      </c>
      <c r="D16" s="52">
        <v>53.232002258300781</v>
      </c>
      <c r="E16" s="51">
        <v>19.430800000000001</v>
      </c>
      <c r="F16" s="71">
        <v>2.6205800000000004</v>
      </c>
      <c r="H16" s="71"/>
    </row>
    <row r="17" spans="2:8" x14ac:dyDescent="0.25">
      <c r="B17" s="57"/>
      <c r="C17" s="52">
        <v>24.469806671142578</v>
      </c>
      <c r="D17" s="52">
        <v>54.985263824462891</v>
      </c>
      <c r="E17" s="51">
        <v>18.173999999999999</v>
      </c>
      <c r="F17" s="71">
        <v>2.3708999999999989</v>
      </c>
      <c r="H17" s="71"/>
    </row>
    <row r="18" spans="2:8" x14ac:dyDescent="0.25">
      <c r="B18" s="57"/>
      <c r="F18" s="71"/>
      <c r="H18" s="68"/>
    </row>
    <row r="19" spans="2:8" x14ac:dyDescent="0.25">
      <c r="B19" s="57"/>
      <c r="C19" s="52">
        <v>25.637388229370117</v>
      </c>
      <c r="D19" s="52">
        <v>47.272560119628906</v>
      </c>
      <c r="E19" s="51">
        <v>23.711400000000001</v>
      </c>
      <c r="F19" s="71">
        <v>3.3786500000000004</v>
      </c>
      <c r="H19" s="71"/>
    </row>
    <row r="20" spans="2:8" x14ac:dyDescent="0.25">
      <c r="B20" s="57"/>
      <c r="F20" s="71"/>
      <c r="H20" s="68"/>
    </row>
    <row r="21" spans="2:8" x14ac:dyDescent="0.25">
      <c r="B21" s="193">
        <v>2015</v>
      </c>
      <c r="C21" s="196">
        <v>25.82835578918457</v>
      </c>
      <c r="D21" s="196">
        <v>49.256275177001953</v>
      </c>
      <c r="E21" s="194">
        <v>22.657499999999999</v>
      </c>
      <c r="F21" s="195">
        <v>2.2578999999999994</v>
      </c>
      <c r="H21" s="71"/>
    </row>
    <row r="22" spans="2:8" x14ac:dyDescent="0.25">
      <c r="E22" s="51"/>
      <c r="F22" s="69"/>
      <c r="G22" s="71"/>
      <c r="H22" s="68"/>
    </row>
    <row r="23" spans="2:8" x14ac:dyDescent="0.25">
      <c r="E23" s="51"/>
      <c r="F23" s="69"/>
      <c r="G23" s="68"/>
      <c r="H23" s="68"/>
    </row>
    <row r="24" spans="2:8" s="55" customFormat="1" ht="15.75" x14ac:dyDescent="0.25">
      <c r="B24" s="66"/>
      <c r="E24" s="49"/>
      <c r="F24" s="72"/>
      <c r="G24" s="73"/>
      <c r="H24" s="73"/>
    </row>
    <row r="25" spans="2:8" ht="15.75" x14ac:dyDescent="0.25">
      <c r="E25" s="55"/>
    </row>
    <row r="45" spans="2:6" s="55" customFormat="1" ht="15.75" x14ac:dyDescent="0.25">
      <c r="B45" s="66"/>
      <c r="F45" s="66"/>
    </row>
  </sheetData>
  <pageMargins left="0.75" right="0.75" top="1" bottom="1" header="0.5" footer="0.5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8"/>
  <dimension ref="A1:W161"/>
  <sheetViews>
    <sheetView showGridLines="0" topLeftCell="E1" zoomScaleNormal="100" workbookViewId="0">
      <selection activeCell="M4" sqref="M4"/>
    </sheetView>
  </sheetViews>
  <sheetFormatPr defaultRowHeight="15" x14ac:dyDescent="0.25"/>
  <cols>
    <col min="2" max="2" width="8" bestFit="1" customWidth="1"/>
    <col min="3" max="3" width="9.42578125" style="88" bestFit="1" customWidth="1"/>
    <col min="4" max="4" width="13.28515625" style="180" bestFit="1" customWidth="1"/>
    <col min="5" max="5" width="19.7109375" style="181" bestFit="1" customWidth="1"/>
    <col min="6" max="6" width="7" style="181" bestFit="1" customWidth="1"/>
    <col min="7" max="7" width="11.140625" style="181" bestFit="1" customWidth="1"/>
    <col min="10" max="10" width="19.7109375" bestFit="1" customWidth="1"/>
    <col min="13" max="13" width="10.5703125" customWidth="1"/>
    <col min="18" max="18" width="9.140625" style="174"/>
    <col min="19" max="19" width="5" style="7" bestFit="1" customWidth="1"/>
    <col min="20" max="20" width="13.28515625" style="46" bestFit="1" customWidth="1"/>
    <col min="21" max="21" width="19.7109375" style="7" bestFit="1" customWidth="1"/>
    <col min="22" max="22" width="7" style="7" bestFit="1" customWidth="1"/>
    <col min="23" max="23" width="11.140625" style="7" bestFit="1" customWidth="1"/>
  </cols>
  <sheetData>
    <row r="1" spans="2:23" x14ac:dyDescent="0.25">
      <c r="B1" s="169"/>
      <c r="C1" s="177"/>
      <c r="D1" s="178"/>
      <c r="E1" s="179"/>
      <c r="F1" s="179"/>
      <c r="G1" s="179"/>
    </row>
    <row r="2" spans="2:23" ht="15.75" thickBot="1" x14ac:dyDescent="0.3">
      <c r="B2" s="148" t="s">
        <v>0</v>
      </c>
      <c r="C2" s="148" t="s">
        <v>58</v>
      </c>
      <c r="D2" s="147" t="s">
        <v>23</v>
      </c>
      <c r="E2" s="176" t="s">
        <v>149</v>
      </c>
      <c r="F2" s="176" t="s">
        <v>34</v>
      </c>
      <c r="G2" s="176" t="s">
        <v>139</v>
      </c>
      <c r="J2" s="182" t="s">
        <v>149</v>
      </c>
      <c r="R2" s="175" t="s">
        <v>0</v>
      </c>
      <c r="S2" s="148" t="s">
        <v>58</v>
      </c>
      <c r="T2" s="148" t="s">
        <v>23</v>
      </c>
      <c r="U2" s="148" t="s">
        <v>149</v>
      </c>
      <c r="V2" s="148" t="s">
        <v>34</v>
      </c>
      <c r="W2" s="148" t="s">
        <v>139</v>
      </c>
    </row>
    <row r="3" spans="2:23" ht="15.75" thickTop="1" x14ac:dyDescent="0.25">
      <c r="B3" t="s">
        <v>2</v>
      </c>
      <c r="C3" s="88">
        <v>2007</v>
      </c>
      <c r="D3" s="180">
        <v>97.203468000000001</v>
      </c>
      <c r="E3" s="180">
        <v>89.662819999999996</v>
      </c>
      <c r="F3" s="180">
        <v>58.186300000000003</v>
      </c>
      <c r="G3" s="180">
        <v>31.476500000000001</v>
      </c>
      <c r="J3" s="146" t="s">
        <v>247</v>
      </c>
      <c r="R3" s="174" t="s">
        <v>2</v>
      </c>
      <c r="S3" s="170">
        <v>2015</v>
      </c>
      <c r="T3" s="46">
        <v>93.101282999999995</v>
      </c>
      <c r="U3" s="173">
        <v>78.533159999999995</v>
      </c>
      <c r="V3" s="173">
        <v>59.286799999999999</v>
      </c>
      <c r="W3" s="173">
        <v>19.246400000000001</v>
      </c>
    </row>
    <row r="4" spans="2:23" x14ac:dyDescent="0.25">
      <c r="B4" t="s">
        <v>2</v>
      </c>
      <c r="C4" s="88">
        <v>2009</v>
      </c>
      <c r="D4" s="180">
        <v>100.84667</v>
      </c>
      <c r="E4" s="180">
        <v>95.546229999999994</v>
      </c>
      <c r="F4" s="180">
        <v>51.276000000000003</v>
      </c>
      <c r="G4" s="180">
        <v>44.270200000000003</v>
      </c>
      <c r="J4" s="146"/>
      <c r="R4" s="174" t="s">
        <v>3</v>
      </c>
      <c r="S4" s="170">
        <v>2015</v>
      </c>
      <c r="T4" s="46">
        <v>106.25109999999999</v>
      </c>
      <c r="U4" s="173">
        <v>52.990659999999998</v>
      </c>
      <c r="V4" s="173">
        <v>42.803699999999999</v>
      </c>
      <c r="W4" s="173">
        <v>10.1869</v>
      </c>
    </row>
    <row r="5" spans="2:23" x14ac:dyDescent="0.25">
      <c r="B5" t="s">
        <v>2</v>
      </c>
      <c r="C5" s="88">
        <v>2010</v>
      </c>
      <c r="D5" s="180">
        <v>100.82579</v>
      </c>
      <c r="E5" s="180">
        <v>87.601699999999994</v>
      </c>
      <c r="F5" s="180">
        <v>53.6248</v>
      </c>
      <c r="G5" s="180">
        <v>33.976900000000001</v>
      </c>
      <c r="R5" s="174" t="s">
        <v>4</v>
      </c>
      <c r="S5" s="170">
        <v>2015</v>
      </c>
      <c r="T5" s="46">
        <v>110.43559</v>
      </c>
      <c r="U5" s="173">
        <v>92.326530000000005</v>
      </c>
      <c r="V5" s="173">
        <v>46.448999999999998</v>
      </c>
      <c r="W5" s="173">
        <v>45.877600000000001</v>
      </c>
    </row>
    <row r="6" spans="2:23" x14ac:dyDescent="0.25">
      <c r="B6" t="s">
        <v>2</v>
      </c>
      <c r="C6" s="88">
        <v>2011</v>
      </c>
      <c r="D6" s="180">
        <v>106.47556</v>
      </c>
      <c r="E6" s="180">
        <v>83.662099999999995</v>
      </c>
      <c r="F6" s="180">
        <v>61.652000000000001</v>
      </c>
      <c r="G6" s="180">
        <v>22.010100000000001</v>
      </c>
      <c r="R6" s="174" t="s">
        <v>5</v>
      </c>
      <c r="S6" s="170">
        <v>2015</v>
      </c>
      <c r="T6" s="46">
        <v>123.73514</v>
      </c>
      <c r="U6" s="173">
        <v>94.941569999999999</v>
      </c>
      <c r="V6" s="173">
        <v>48.472499999999997</v>
      </c>
      <c r="W6" s="173">
        <v>46.469099999999997</v>
      </c>
    </row>
    <row r="7" spans="2:23" x14ac:dyDescent="0.25">
      <c r="B7" t="s">
        <v>2</v>
      </c>
      <c r="C7" s="88">
        <v>2013</v>
      </c>
      <c r="D7" s="180">
        <v>101.54722</v>
      </c>
      <c r="E7" s="180">
        <v>75.039439999999999</v>
      </c>
      <c r="F7" s="180">
        <v>55.790100000000002</v>
      </c>
      <c r="G7" s="180">
        <v>19.249300000000002</v>
      </c>
      <c r="R7" s="174" t="s">
        <v>6</v>
      </c>
      <c r="S7" s="170">
        <v>2015</v>
      </c>
      <c r="T7" s="46">
        <v>104.01599</v>
      </c>
      <c r="U7" s="173">
        <v>85.589370000000002</v>
      </c>
      <c r="V7" s="173">
        <v>50.418100000000003</v>
      </c>
      <c r="W7" s="173">
        <v>35.171300000000002</v>
      </c>
    </row>
    <row r="8" spans="2:23" x14ac:dyDescent="0.25">
      <c r="B8" t="s">
        <v>2</v>
      </c>
      <c r="C8" s="88">
        <v>2015</v>
      </c>
      <c r="D8" s="180">
        <v>93.101282999999995</v>
      </c>
      <c r="E8" s="180">
        <v>78.533159999999995</v>
      </c>
      <c r="F8" s="180">
        <v>59.286799999999999</v>
      </c>
      <c r="G8" s="180">
        <v>19.246400000000001</v>
      </c>
      <c r="R8" s="174" t="s">
        <v>7</v>
      </c>
      <c r="S8" s="170">
        <v>2015</v>
      </c>
      <c r="T8" s="46">
        <v>103.47058</v>
      </c>
      <c r="U8" s="173">
        <v>81.294970000000006</v>
      </c>
      <c r="V8" s="173">
        <v>51.490200000000002</v>
      </c>
      <c r="W8" s="173">
        <v>29.8047</v>
      </c>
    </row>
    <row r="9" spans="2:23" x14ac:dyDescent="0.25">
      <c r="B9" t="s">
        <v>3</v>
      </c>
      <c r="C9" s="88">
        <v>1997</v>
      </c>
      <c r="D9" s="180">
        <v>99.547072</v>
      </c>
      <c r="E9" s="180">
        <v>90.07732</v>
      </c>
      <c r="F9" s="180">
        <v>66.237099999999998</v>
      </c>
      <c r="G9" s="180">
        <v>23.840199999999999</v>
      </c>
      <c r="R9" s="174" t="s">
        <v>8</v>
      </c>
      <c r="S9" s="170">
        <v>2015</v>
      </c>
      <c r="T9" s="46">
        <v>105.34493999999999</v>
      </c>
      <c r="U9" s="173">
        <v>74.406750000000002</v>
      </c>
      <c r="V9" s="173">
        <v>52.008200000000002</v>
      </c>
      <c r="W9" s="173">
        <v>22.398599999999998</v>
      </c>
    </row>
    <row r="10" spans="2:23" x14ac:dyDescent="0.25">
      <c r="B10" t="s">
        <v>3</v>
      </c>
      <c r="C10" s="88">
        <v>2001</v>
      </c>
      <c r="D10" s="180">
        <v>88.436081000000001</v>
      </c>
      <c r="E10" s="180">
        <v>91.390730000000005</v>
      </c>
      <c r="F10" s="180">
        <v>57.142899999999997</v>
      </c>
      <c r="G10" s="180">
        <v>34.247900000000001</v>
      </c>
      <c r="R10" s="174" t="s">
        <v>9</v>
      </c>
      <c r="S10" s="170">
        <v>2015</v>
      </c>
      <c r="T10" s="46">
        <v>107.54549</v>
      </c>
      <c r="U10" s="173">
        <v>46.210039999999999</v>
      </c>
      <c r="V10" s="173">
        <v>33.515999999999998</v>
      </c>
      <c r="W10" s="173">
        <v>12.694100000000001</v>
      </c>
    </row>
    <row r="11" spans="2:23" x14ac:dyDescent="0.25">
      <c r="B11" t="s">
        <v>3</v>
      </c>
      <c r="C11" s="88">
        <v>2002</v>
      </c>
      <c r="D11" s="180">
        <v>89.836106000000001</v>
      </c>
      <c r="E11" s="180">
        <v>86.814019999999999</v>
      </c>
      <c r="F11" s="180">
        <v>63.166400000000003</v>
      </c>
      <c r="G11" s="180">
        <v>23.647600000000001</v>
      </c>
      <c r="R11" s="174" t="s">
        <v>10</v>
      </c>
      <c r="S11" s="170">
        <v>2015</v>
      </c>
      <c r="T11" s="46">
        <v>85.947304000000003</v>
      </c>
      <c r="U11" s="173">
        <v>78.605419999999995</v>
      </c>
      <c r="V11" s="173">
        <v>48.586199999999998</v>
      </c>
      <c r="W11" s="173">
        <v>30.019300000000001</v>
      </c>
    </row>
    <row r="12" spans="2:23" x14ac:dyDescent="0.25">
      <c r="B12" t="s">
        <v>3</v>
      </c>
      <c r="C12" s="88">
        <v>2007</v>
      </c>
      <c r="D12" s="180">
        <v>99.471558999999999</v>
      </c>
      <c r="E12" s="180">
        <v>68.598619999999997</v>
      </c>
      <c r="F12" s="180">
        <v>54.152299999999997</v>
      </c>
      <c r="G12" s="180">
        <v>14.446400000000001</v>
      </c>
      <c r="R12" s="174" t="s">
        <v>11</v>
      </c>
      <c r="S12" s="170">
        <v>2015</v>
      </c>
      <c r="T12" s="46">
        <v>83.739396999999997</v>
      </c>
      <c r="U12" s="173">
        <v>79.836330000000004</v>
      </c>
      <c r="V12" s="173">
        <v>49.472799999999999</v>
      </c>
      <c r="W12" s="173">
        <v>30.363499999999998</v>
      </c>
    </row>
    <row r="13" spans="2:23" x14ac:dyDescent="0.25">
      <c r="B13" t="s">
        <v>3</v>
      </c>
      <c r="C13" s="88">
        <v>2009</v>
      </c>
      <c r="D13" s="180">
        <v>98.062417999999994</v>
      </c>
      <c r="E13" s="180">
        <v>63.668430000000001</v>
      </c>
      <c r="F13" s="180">
        <v>48.8536</v>
      </c>
      <c r="G13" s="180">
        <v>14.8148</v>
      </c>
      <c r="R13" s="174" t="s">
        <v>12</v>
      </c>
      <c r="S13" s="170">
        <v>2015</v>
      </c>
      <c r="T13" s="46">
        <v>99.529844999999995</v>
      </c>
      <c r="U13" s="173">
        <v>82.423209999999997</v>
      </c>
      <c r="V13" s="173">
        <v>47.781599999999997</v>
      </c>
      <c r="W13" s="173">
        <v>34.641599999999997</v>
      </c>
    </row>
    <row r="14" spans="2:23" x14ac:dyDescent="0.25">
      <c r="B14" t="s">
        <v>3</v>
      </c>
      <c r="C14" s="88">
        <v>2011</v>
      </c>
      <c r="D14" s="180">
        <v>100.79937</v>
      </c>
      <c r="E14" s="180">
        <v>78.10284</v>
      </c>
      <c r="F14" s="180">
        <v>65.514200000000002</v>
      </c>
      <c r="G14" s="180">
        <v>12.588699999999999</v>
      </c>
      <c r="R14" s="174" t="s">
        <v>13</v>
      </c>
      <c r="S14" s="170">
        <v>2015</v>
      </c>
      <c r="T14" s="46">
        <v>127.55759</v>
      </c>
      <c r="U14" s="173">
        <v>57.824069999999999</v>
      </c>
      <c r="V14" s="173">
        <v>46.344499999999996</v>
      </c>
      <c r="W14" s="173">
        <v>11.4796</v>
      </c>
    </row>
    <row r="15" spans="2:23" x14ac:dyDescent="0.25">
      <c r="B15" t="s">
        <v>3</v>
      </c>
      <c r="C15" s="88">
        <v>2013</v>
      </c>
      <c r="D15" s="180">
        <v>117.5963</v>
      </c>
      <c r="E15" s="180">
        <v>63.432839999999999</v>
      </c>
      <c r="F15" s="180">
        <v>51.679099999999998</v>
      </c>
      <c r="G15" s="180">
        <v>11.7537</v>
      </c>
      <c r="R15" s="174" t="s">
        <v>14</v>
      </c>
      <c r="S15" s="170">
        <v>2015</v>
      </c>
      <c r="T15" s="46">
        <v>114.05432999999999</v>
      </c>
      <c r="U15" s="173">
        <v>62.108559999999997</v>
      </c>
      <c r="V15" s="173">
        <v>43.110599999999998</v>
      </c>
      <c r="W15" s="173">
        <v>18.997900000000001</v>
      </c>
    </row>
    <row r="16" spans="2:23" x14ac:dyDescent="0.25">
      <c r="B16" t="s">
        <v>3</v>
      </c>
      <c r="C16" s="88">
        <v>2015</v>
      </c>
      <c r="D16" s="180">
        <v>106.25109999999999</v>
      </c>
      <c r="E16" s="180">
        <v>52.990659999999998</v>
      </c>
      <c r="F16" s="180">
        <v>42.803699999999999</v>
      </c>
      <c r="G16" s="180">
        <v>10.1869</v>
      </c>
      <c r="R16" s="174" t="s">
        <v>15</v>
      </c>
      <c r="S16" s="170">
        <v>2015</v>
      </c>
      <c r="T16" s="46">
        <v>105.29304999999999</v>
      </c>
      <c r="U16" s="173">
        <v>82.273949999999999</v>
      </c>
      <c r="V16" s="173">
        <v>61.235500000000002</v>
      </c>
      <c r="W16" s="173">
        <v>21.038499999999999</v>
      </c>
    </row>
    <row r="17" spans="2:23" x14ac:dyDescent="0.25">
      <c r="B17" t="s">
        <v>4</v>
      </c>
      <c r="C17" s="88">
        <v>1997</v>
      </c>
      <c r="D17" s="180">
        <v>90.969897000000003</v>
      </c>
      <c r="E17" s="180">
        <v>92.622960000000006</v>
      </c>
      <c r="F17" s="180">
        <v>54.098399999999998</v>
      </c>
      <c r="G17" s="180">
        <v>38.5246</v>
      </c>
      <c r="R17" s="174" t="s">
        <v>16</v>
      </c>
      <c r="S17" s="170">
        <v>2015</v>
      </c>
      <c r="T17" s="46">
        <v>116.94574</v>
      </c>
      <c r="U17" s="173">
        <v>85.678319999999999</v>
      </c>
      <c r="V17" s="173">
        <v>52.214100000000002</v>
      </c>
      <c r="W17" s="173">
        <v>33.464199999999998</v>
      </c>
    </row>
    <row r="18" spans="2:23" x14ac:dyDescent="0.25">
      <c r="B18" t="s">
        <v>4</v>
      </c>
      <c r="C18" s="88">
        <v>2001</v>
      </c>
      <c r="D18" s="180">
        <v>88.580033</v>
      </c>
      <c r="E18" s="180">
        <v>86.378039999999999</v>
      </c>
      <c r="F18" s="180">
        <v>50.686399999999999</v>
      </c>
      <c r="G18" s="180">
        <v>35.691699999999997</v>
      </c>
      <c r="R18" s="174" t="s">
        <v>17</v>
      </c>
      <c r="S18" s="170">
        <v>2015</v>
      </c>
      <c r="T18" s="46">
        <v>95.495216999999997</v>
      </c>
      <c r="U18" s="173">
        <v>76.740939999999995</v>
      </c>
      <c r="V18" s="173">
        <v>56.643099999999997</v>
      </c>
      <c r="W18" s="173">
        <v>20.097899999999999</v>
      </c>
    </row>
    <row r="19" spans="2:23" x14ac:dyDescent="0.25">
      <c r="B19" t="s">
        <v>4</v>
      </c>
      <c r="C19" s="88">
        <v>2002</v>
      </c>
      <c r="D19" s="180">
        <v>88.953266999999997</v>
      </c>
      <c r="E19" s="180">
        <v>85.964910000000003</v>
      </c>
      <c r="F19" s="180">
        <v>53.044400000000003</v>
      </c>
      <c r="G19" s="180">
        <v>32.920499999999997</v>
      </c>
      <c r="R19" s="174" t="s">
        <v>18</v>
      </c>
      <c r="S19" s="170">
        <v>2015</v>
      </c>
      <c r="T19" s="46">
        <v>110.99782999999999</v>
      </c>
      <c r="U19" s="173">
        <v>65.706810000000004</v>
      </c>
      <c r="V19" s="173">
        <v>56.195500000000003</v>
      </c>
      <c r="W19" s="173">
        <v>9.5113400000000006</v>
      </c>
    </row>
    <row r="20" spans="2:23" x14ac:dyDescent="0.25">
      <c r="B20" t="s">
        <v>4</v>
      </c>
      <c r="C20" s="88">
        <v>2007</v>
      </c>
      <c r="D20" s="180">
        <v>95.331945000000005</v>
      </c>
      <c r="E20" s="180">
        <v>86.277869999999993</v>
      </c>
      <c r="F20" s="180">
        <v>53.173200000000001</v>
      </c>
      <c r="G20" s="180">
        <v>33.104599999999998</v>
      </c>
      <c r="S20" s="170"/>
    </row>
    <row r="21" spans="2:23" x14ac:dyDescent="0.25">
      <c r="B21" t="s">
        <v>4</v>
      </c>
      <c r="C21" s="88">
        <v>2009</v>
      </c>
      <c r="D21" s="180">
        <v>100.76626</v>
      </c>
      <c r="E21" s="180">
        <v>83.375960000000006</v>
      </c>
      <c r="F21" s="180">
        <v>58.397300000000001</v>
      </c>
      <c r="G21" s="180">
        <v>24.9787</v>
      </c>
      <c r="S21" s="170"/>
      <c r="U21" s="171"/>
      <c r="V21" s="172"/>
      <c r="W21" s="172"/>
    </row>
    <row r="22" spans="2:23" ht="15.75" thickBot="1" x14ac:dyDescent="0.3">
      <c r="B22" t="s">
        <v>4</v>
      </c>
      <c r="C22" s="88">
        <v>2011</v>
      </c>
      <c r="D22" s="180">
        <v>105.93178</v>
      </c>
      <c r="E22" s="180">
        <v>85.135140000000007</v>
      </c>
      <c r="F22" s="180">
        <v>58.445900000000002</v>
      </c>
      <c r="G22" s="180">
        <v>26.6892</v>
      </c>
      <c r="J22" s="192" t="s">
        <v>238</v>
      </c>
      <c r="K22" s="192" t="s">
        <v>239</v>
      </c>
      <c r="L22" s="192" t="s">
        <v>34</v>
      </c>
      <c r="M22" s="192" t="s">
        <v>139</v>
      </c>
      <c r="S22" s="170"/>
    </row>
    <row r="23" spans="2:23" ht="15.75" thickTop="1" x14ac:dyDescent="0.25">
      <c r="B23" t="s">
        <v>4</v>
      </c>
      <c r="C23" s="88">
        <v>2013</v>
      </c>
      <c r="D23" s="180">
        <v>119.03122</v>
      </c>
      <c r="E23" s="180">
        <v>80.952380000000005</v>
      </c>
      <c r="F23" s="180">
        <v>47.878799999999998</v>
      </c>
      <c r="G23" s="180">
        <v>33.073599999999999</v>
      </c>
      <c r="J23" s="146" t="s">
        <v>200</v>
      </c>
      <c r="K23" s="31">
        <f>+PEARSON($D$3:$D$126,E3:E126)</f>
        <v>-0.20974710552072687</v>
      </c>
      <c r="L23" s="31">
        <f>+PEARSON($D$3:$D$126,F3:F126)</f>
        <v>-0.17864989043795368</v>
      </c>
      <c r="M23" s="31">
        <f>+PEARSON($D$3:$D$126,G3:G126)</f>
        <v>-0.10212758161754708</v>
      </c>
      <c r="N23" s="31"/>
      <c r="S23" s="170"/>
    </row>
    <row r="24" spans="2:23" x14ac:dyDescent="0.25">
      <c r="B24" t="s">
        <v>4</v>
      </c>
      <c r="C24" s="88">
        <v>2015</v>
      </c>
      <c r="D24" s="180">
        <v>110.43559</v>
      </c>
      <c r="E24" s="180">
        <v>92.326530000000005</v>
      </c>
      <c r="F24" s="180">
        <v>46.448999999999998</v>
      </c>
      <c r="G24" s="180">
        <v>45.877600000000001</v>
      </c>
      <c r="J24" s="146" t="s">
        <v>237</v>
      </c>
      <c r="K24" s="67">
        <f>+PEARSON($T$3:$T$19,U3:U19)</f>
        <v>-0.13765279715236117</v>
      </c>
      <c r="L24" s="67">
        <f t="shared" ref="L24:M24" si="0">+PEARSON($T$3:$T$19,V3:V19)</f>
        <v>-0.23803805110105569</v>
      </c>
      <c r="M24" s="67">
        <f t="shared" si="0"/>
        <v>-2.5216308131500203E-2</v>
      </c>
      <c r="S24" s="170"/>
    </row>
    <row r="25" spans="2:23" x14ac:dyDescent="0.25">
      <c r="B25" t="s">
        <v>5</v>
      </c>
      <c r="C25" s="88">
        <v>1997</v>
      </c>
      <c r="D25" s="180">
        <v>110.38593</v>
      </c>
      <c r="E25" s="180">
        <v>88.393770000000004</v>
      </c>
      <c r="F25" s="180">
        <v>53.936999999999998</v>
      </c>
      <c r="G25" s="180">
        <v>34.456800000000001</v>
      </c>
      <c r="S25" s="170"/>
      <c r="U25" s="171"/>
      <c r="V25" s="172"/>
      <c r="W25" s="172"/>
    </row>
    <row r="26" spans="2:23" x14ac:dyDescent="0.25">
      <c r="B26" t="s">
        <v>5</v>
      </c>
      <c r="C26" s="88">
        <v>2001</v>
      </c>
      <c r="D26" s="180">
        <v>89.578145000000006</v>
      </c>
      <c r="E26" s="180">
        <v>90.204470000000001</v>
      </c>
      <c r="F26" s="180">
        <v>52.036499999999997</v>
      </c>
      <c r="G26" s="180">
        <v>38.167999999999999</v>
      </c>
      <c r="S26" s="170"/>
    </row>
    <row r="27" spans="2:23" x14ac:dyDescent="0.25">
      <c r="B27" t="s">
        <v>5</v>
      </c>
      <c r="C27" s="88">
        <v>2002</v>
      </c>
      <c r="D27" s="180">
        <v>85.647926999999996</v>
      </c>
      <c r="E27" s="180">
        <v>90.867090000000005</v>
      </c>
      <c r="F27" s="180">
        <v>60.406500000000001</v>
      </c>
      <c r="G27" s="180">
        <v>30.4605</v>
      </c>
      <c r="S27" s="170"/>
    </row>
    <row r="28" spans="2:23" ht="15.75" thickBot="1" x14ac:dyDescent="0.3">
      <c r="B28" t="s">
        <v>5</v>
      </c>
      <c r="C28" s="88">
        <v>2007</v>
      </c>
      <c r="D28" s="180">
        <v>86.534575000000004</v>
      </c>
      <c r="E28" s="180">
        <v>90.230310000000003</v>
      </c>
      <c r="F28" s="180">
        <v>45.3934</v>
      </c>
      <c r="G28" s="180">
        <v>44.8369</v>
      </c>
      <c r="J28" s="192" t="s">
        <v>236</v>
      </c>
      <c r="K28" s="192" t="s">
        <v>239</v>
      </c>
      <c r="L28" s="192" t="s">
        <v>34</v>
      </c>
      <c r="M28" s="192" t="s">
        <v>139</v>
      </c>
      <c r="S28" s="170"/>
    </row>
    <row r="29" spans="2:23" ht="15.75" thickTop="1" x14ac:dyDescent="0.25">
      <c r="B29" t="s">
        <v>5</v>
      </c>
      <c r="C29" s="88">
        <v>2009</v>
      </c>
      <c r="D29" s="180">
        <v>92.362655000000004</v>
      </c>
      <c r="E29" s="180">
        <v>85.074929999999995</v>
      </c>
      <c r="F29" s="180">
        <v>57.388800000000003</v>
      </c>
      <c r="G29" s="180">
        <v>27.6861</v>
      </c>
      <c r="J29" s="146" t="s">
        <v>200</v>
      </c>
      <c r="K29" s="67">
        <v>-0.18720000000000001</v>
      </c>
      <c r="L29" s="67">
        <v>-0.17630000000000001</v>
      </c>
      <c r="M29" s="67">
        <v>-0.1153</v>
      </c>
    </row>
    <row r="30" spans="2:23" x14ac:dyDescent="0.25">
      <c r="B30" t="s">
        <v>5</v>
      </c>
      <c r="C30" s="88">
        <v>2011</v>
      </c>
      <c r="D30" s="180">
        <v>96.760579000000007</v>
      </c>
      <c r="E30" s="180">
        <v>94.086110000000005</v>
      </c>
      <c r="F30" s="180">
        <v>45.089300000000001</v>
      </c>
      <c r="G30" s="180">
        <v>48.9968</v>
      </c>
      <c r="J30" s="146" t="s">
        <v>237</v>
      </c>
      <c r="K30" s="67">
        <v>-6.3700000000000007E-2</v>
      </c>
      <c r="L30" s="67">
        <v>-0.35289999999999999</v>
      </c>
      <c r="M30" s="67">
        <v>-0.14710000000000001</v>
      </c>
    </row>
    <row r="31" spans="2:23" x14ac:dyDescent="0.25">
      <c r="B31" t="s">
        <v>5</v>
      </c>
      <c r="C31" s="88">
        <v>2013</v>
      </c>
      <c r="D31" s="180">
        <v>114.99505000000001</v>
      </c>
      <c r="E31" s="180">
        <v>89.508210000000005</v>
      </c>
      <c r="F31" s="180">
        <v>36.036499999999997</v>
      </c>
      <c r="G31" s="180">
        <v>53.471699999999998</v>
      </c>
    </row>
    <row r="32" spans="2:23" x14ac:dyDescent="0.25">
      <c r="B32" t="s">
        <v>5</v>
      </c>
      <c r="C32" s="88">
        <v>2015</v>
      </c>
      <c r="D32" s="180">
        <v>123.73514</v>
      </c>
      <c r="E32" s="180">
        <v>94.941569999999999</v>
      </c>
      <c r="F32" s="180">
        <v>48.472499999999997</v>
      </c>
      <c r="G32" s="180">
        <v>46.469099999999997</v>
      </c>
    </row>
    <row r="33" spans="2:7" x14ac:dyDescent="0.25">
      <c r="B33" t="s">
        <v>6</v>
      </c>
      <c r="C33" s="88">
        <v>2002</v>
      </c>
      <c r="D33" s="180">
        <v>85.624814999999998</v>
      </c>
      <c r="E33" s="180">
        <v>90.709680000000006</v>
      </c>
      <c r="F33" s="180">
        <v>49.211599999999997</v>
      </c>
      <c r="G33" s="180">
        <v>41.498100000000001</v>
      </c>
    </row>
    <row r="34" spans="2:7" x14ac:dyDescent="0.25">
      <c r="B34" t="s">
        <v>6</v>
      </c>
      <c r="C34" s="88">
        <v>2007</v>
      </c>
      <c r="D34" s="180">
        <v>92.772654000000003</v>
      </c>
      <c r="E34" s="180">
        <v>81.378489999999999</v>
      </c>
      <c r="F34" s="180">
        <v>52.586300000000001</v>
      </c>
      <c r="G34" s="180">
        <v>28.792200000000001</v>
      </c>
    </row>
    <row r="35" spans="2:7" x14ac:dyDescent="0.25">
      <c r="B35" t="s">
        <v>6</v>
      </c>
      <c r="C35" s="88">
        <v>2009</v>
      </c>
      <c r="D35" s="180">
        <v>97.917850000000001</v>
      </c>
      <c r="E35" s="180">
        <v>80.838480000000004</v>
      </c>
      <c r="F35" s="180">
        <v>53.262</v>
      </c>
      <c r="G35" s="180">
        <v>27.576499999999999</v>
      </c>
    </row>
    <row r="36" spans="2:7" x14ac:dyDescent="0.25">
      <c r="B36" t="s">
        <v>6</v>
      </c>
      <c r="C36" s="88">
        <v>2010</v>
      </c>
      <c r="D36" s="180">
        <v>103.26976999999999</v>
      </c>
      <c r="E36" s="180">
        <v>84.779049999999998</v>
      </c>
      <c r="F36" s="180">
        <v>52.542400000000001</v>
      </c>
      <c r="G36" s="180">
        <v>32.236699999999999</v>
      </c>
    </row>
    <row r="37" spans="2:7" x14ac:dyDescent="0.25">
      <c r="B37" t="s">
        <v>6</v>
      </c>
      <c r="C37" s="88">
        <v>2011</v>
      </c>
      <c r="D37" s="180">
        <v>106.2166</v>
      </c>
      <c r="E37" s="180">
        <v>87.821979999999996</v>
      </c>
      <c r="F37" s="180">
        <v>58.690199999999997</v>
      </c>
      <c r="G37" s="180">
        <v>29.131799999999998</v>
      </c>
    </row>
    <row r="38" spans="2:7" x14ac:dyDescent="0.25">
      <c r="B38" t="s">
        <v>6</v>
      </c>
      <c r="C38" s="88">
        <v>2013</v>
      </c>
      <c r="D38" s="180">
        <v>110.1823</v>
      </c>
      <c r="E38" s="180">
        <v>85.383899999999997</v>
      </c>
      <c r="F38" s="180">
        <v>49.3001</v>
      </c>
      <c r="G38" s="180">
        <v>36.083799999999997</v>
      </c>
    </row>
    <row r="39" spans="2:7" x14ac:dyDescent="0.25">
      <c r="B39" t="s">
        <v>6</v>
      </c>
      <c r="C39" s="88">
        <v>2015</v>
      </c>
      <c r="D39" s="180">
        <v>104.01599</v>
      </c>
      <c r="E39" s="180">
        <v>85.589370000000002</v>
      </c>
      <c r="F39" s="180">
        <v>50.418100000000003</v>
      </c>
      <c r="G39" s="180">
        <v>35.171300000000002</v>
      </c>
    </row>
    <row r="40" spans="2:7" x14ac:dyDescent="0.25">
      <c r="B40" t="s">
        <v>7</v>
      </c>
      <c r="C40" s="88">
        <v>2010</v>
      </c>
      <c r="D40" s="180">
        <v>93.91592</v>
      </c>
      <c r="E40" s="180">
        <v>73.084879999999998</v>
      </c>
      <c r="F40" s="180">
        <v>53.209099999999999</v>
      </c>
      <c r="G40" s="180">
        <v>19.875800000000002</v>
      </c>
    </row>
    <row r="41" spans="2:7" x14ac:dyDescent="0.25">
      <c r="B41" t="s">
        <v>7</v>
      </c>
      <c r="C41" s="88">
        <v>2011</v>
      </c>
      <c r="D41" s="180">
        <v>97.070368000000002</v>
      </c>
      <c r="E41" s="180">
        <v>75.436800000000005</v>
      </c>
      <c r="F41" s="180">
        <v>50.976399999999998</v>
      </c>
      <c r="G41" s="180">
        <v>24.4604</v>
      </c>
    </row>
    <row r="42" spans="2:7" x14ac:dyDescent="0.25">
      <c r="B42" t="s">
        <v>7</v>
      </c>
      <c r="C42" s="88">
        <v>2013</v>
      </c>
      <c r="D42" s="180">
        <v>105.54313999999999</v>
      </c>
      <c r="E42" s="180">
        <v>84.137190000000004</v>
      </c>
      <c r="F42" s="180">
        <v>47.695599999999999</v>
      </c>
      <c r="G42" s="180">
        <v>36.441600000000001</v>
      </c>
    </row>
    <row r="43" spans="2:7" x14ac:dyDescent="0.25">
      <c r="B43" t="s">
        <v>7</v>
      </c>
      <c r="C43" s="88">
        <v>2015</v>
      </c>
      <c r="D43" s="180">
        <v>103.47058</v>
      </c>
      <c r="E43" s="180">
        <v>81.294970000000006</v>
      </c>
      <c r="F43" s="180">
        <v>51.490200000000002</v>
      </c>
      <c r="G43" s="180">
        <v>29.8047</v>
      </c>
    </row>
    <row r="44" spans="2:7" x14ac:dyDescent="0.25">
      <c r="B44" t="s">
        <v>8</v>
      </c>
      <c r="C44" s="88">
        <v>2007</v>
      </c>
      <c r="D44" s="180">
        <v>97.043296999999995</v>
      </c>
      <c r="E44" s="180">
        <v>74.32978</v>
      </c>
      <c r="F44" s="180">
        <v>46.616999999999997</v>
      </c>
      <c r="G44" s="180">
        <v>27.712700000000002</v>
      </c>
    </row>
    <row r="45" spans="2:7" x14ac:dyDescent="0.25">
      <c r="B45" t="s">
        <v>8</v>
      </c>
      <c r="C45" s="88">
        <v>2009</v>
      </c>
      <c r="D45" s="180">
        <v>101.49663</v>
      </c>
      <c r="E45" s="180">
        <v>71.554130000000001</v>
      </c>
      <c r="F45" s="180">
        <v>48.830300000000001</v>
      </c>
      <c r="G45" s="180">
        <v>22.723800000000001</v>
      </c>
    </row>
    <row r="46" spans="2:7" x14ac:dyDescent="0.25">
      <c r="B46" t="s">
        <v>8</v>
      </c>
      <c r="C46" s="88">
        <v>2011</v>
      </c>
      <c r="D46" s="180">
        <v>98.606707</v>
      </c>
      <c r="E46" s="180">
        <v>92.418300000000002</v>
      </c>
      <c r="F46" s="180">
        <v>38.4026</v>
      </c>
      <c r="G46" s="180">
        <v>54.015700000000002</v>
      </c>
    </row>
    <row r="47" spans="2:7" x14ac:dyDescent="0.25">
      <c r="B47" t="s">
        <v>8</v>
      </c>
      <c r="C47" s="88">
        <v>2013</v>
      </c>
      <c r="D47" s="180">
        <v>97.508427999999995</v>
      </c>
      <c r="E47" s="180">
        <v>72.611469999999997</v>
      </c>
      <c r="F47" s="180">
        <v>47.906500000000001</v>
      </c>
      <c r="G47" s="180">
        <v>24.704899999999999</v>
      </c>
    </row>
    <row r="48" spans="2:7" x14ac:dyDescent="0.25">
      <c r="B48" t="s">
        <v>8</v>
      </c>
      <c r="C48" s="88">
        <v>2015</v>
      </c>
      <c r="D48" s="180">
        <v>105.34493999999999</v>
      </c>
      <c r="E48" s="180">
        <v>74.406750000000002</v>
      </c>
      <c r="F48" s="180">
        <v>52.008200000000002</v>
      </c>
      <c r="G48" s="180">
        <v>22.398599999999998</v>
      </c>
    </row>
    <row r="49" spans="2:7" x14ac:dyDescent="0.25">
      <c r="B49" t="s">
        <v>9</v>
      </c>
      <c r="C49" s="88">
        <v>2002</v>
      </c>
      <c r="D49" s="180">
        <v>84.896395999999996</v>
      </c>
      <c r="E49" s="180">
        <v>88.320390000000003</v>
      </c>
      <c r="F49" s="180">
        <v>51.988700000000001</v>
      </c>
      <c r="G49" s="180">
        <v>36.331699999999998</v>
      </c>
    </row>
    <row r="50" spans="2:7" x14ac:dyDescent="0.25">
      <c r="B50" t="s">
        <v>9</v>
      </c>
      <c r="C50" s="88">
        <v>2007</v>
      </c>
      <c r="D50" s="180">
        <v>112.75785</v>
      </c>
      <c r="E50" s="180">
        <v>77.392039999999994</v>
      </c>
      <c r="F50" s="180">
        <v>53.429299999999998</v>
      </c>
      <c r="G50" s="180">
        <v>23.962700000000002</v>
      </c>
    </row>
    <row r="51" spans="2:7" x14ac:dyDescent="0.25">
      <c r="B51" t="s">
        <v>9</v>
      </c>
      <c r="C51" s="88">
        <v>2009</v>
      </c>
      <c r="D51" s="180">
        <v>90.941399000000004</v>
      </c>
      <c r="E51" s="180">
        <v>71.041120000000006</v>
      </c>
      <c r="F51" s="180">
        <v>52.5809</v>
      </c>
      <c r="G51" s="180">
        <v>18.4602</v>
      </c>
    </row>
    <row r="52" spans="2:7" x14ac:dyDescent="0.25">
      <c r="B52" t="s">
        <v>9</v>
      </c>
      <c r="C52" s="88">
        <v>2010</v>
      </c>
      <c r="D52" s="180">
        <v>99.440752000000003</v>
      </c>
      <c r="E52" s="180">
        <v>65.532290000000003</v>
      </c>
      <c r="F52" s="180">
        <v>48.167499999999997</v>
      </c>
      <c r="G52" s="180">
        <v>17.364699999999999</v>
      </c>
    </row>
    <row r="53" spans="2:7" x14ac:dyDescent="0.25">
      <c r="B53" t="s">
        <v>9</v>
      </c>
      <c r="C53" s="88">
        <v>2011</v>
      </c>
      <c r="D53" s="180">
        <v>95.882574000000005</v>
      </c>
      <c r="E53" s="180">
        <v>55.584409999999998</v>
      </c>
      <c r="F53" s="180">
        <v>44.6753</v>
      </c>
      <c r="G53" s="180">
        <v>10.9091</v>
      </c>
    </row>
    <row r="54" spans="2:7" x14ac:dyDescent="0.25">
      <c r="B54" t="s">
        <v>9</v>
      </c>
      <c r="C54" s="88">
        <v>2013</v>
      </c>
      <c r="D54" s="180">
        <v>108.53556</v>
      </c>
      <c r="E54" s="180">
        <v>38.67841</v>
      </c>
      <c r="F54" s="180">
        <v>30.3965</v>
      </c>
      <c r="G54" s="180">
        <v>8.2819400000000005</v>
      </c>
    </row>
    <row r="55" spans="2:7" x14ac:dyDescent="0.25">
      <c r="B55" t="s">
        <v>9</v>
      </c>
      <c r="C55" s="88">
        <v>2015</v>
      </c>
      <c r="D55" s="180">
        <v>107.54549</v>
      </c>
      <c r="E55" s="180">
        <v>46.210039999999999</v>
      </c>
      <c r="F55" s="180">
        <v>33.515999999999998</v>
      </c>
      <c r="G55" s="180">
        <v>12.694100000000001</v>
      </c>
    </row>
    <row r="56" spans="2:7" x14ac:dyDescent="0.25">
      <c r="B56" t="s">
        <v>10</v>
      </c>
      <c r="C56" s="88">
        <v>2001</v>
      </c>
      <c r="D56" s="180">
        <v>122.38585</v>
      </c>
      <c r="E56" s="180">
        <v>85.035960000000003</v>
      </c>
      <c r="F56" s="180">
        <v>54.286200000000001</v>
      </c>
      <c r="G56" s="180">
        <v>30.749700000000001</v>
      </c>
    </row>
    <row r="57" spans="2:7" x14ac:dyDescent="0.25">
      <c r="B57" t="s">
        <v>10</v>
      </c>
      <c r="C57" s="88">
        <v>2011</v>
      </c>
      <c r="D57" s="180">
        <v>91.666838999999996</v>
      </c>
      <c r="E57" s="180">
        <v>83.17747</v>
      </c>
      <c r="F57" s="180">
        <v>58.176400000000001</v>
      </c>
      <c r="G57" s="180">
        <v>25.001100000000001</v>
      </c>
    </row>
    <row r="58" spans="2:7" x14ac:dyDescent="0.25">
      <c r="B58" t="s">
        <v>10</v>
      </c>
      <c r="C58" s="88">
        <v>2015</v>
      </c>
      <c r="D58" s="180">
        <v>85.947304000000003</v>
      </c>
      <c r="E58" s="180">
        <v>78.605419999999995</v>
      </c>
      <c r="F58" s="180">
        <v>48.586199999999998</v>
      </c>
      <c r="G58" s="180">
        <v>30.019300000000001</v>
      </c>
    </row>
    <row r="59" spans="2:7" x14ac:dyDescent="0.25">
      <c r="B59" t="s">
        <v>11</v>
      </c>
      <c r="C59" s="88">
        <v>1997</v>
      </c>
      <c r="D59" s="180">
        <v>80.547578999999999</v>
      </c>
      <c r="E59" s="180">
        <v>75.644999999999996</v>
      </c>
      <c r="F59" s="180">
        <v>59.9587</v>
      </c>
      <c r="G59" s="180">
        <v>15.686299999999999</v>
      </c>
    </row>
    <row r="60" spans="2:7" x14ac:dyDescent="0.25">
      <c r="B60" t="s">
        <v>11</v>
      </c>
      <c r="C60" s="88">
        <v>2001</v>
      </c>
      <c r="D60" s="180">
        <v>103.11606999999999</v>
      </c>
      <c r="E60" s="180">
        <v>91.724000000000004</v>
      </c>
      <c r="F60" s="180">
        <v>63.453299999999999</v>
      </c>
      <c r="G60" s="180">
        <v>28.270700000000001</v>
      </c>
    </row>
    <row r="61" spans="2:7" x14ac:dyDescent="0.25">
      <c r="B61" t="s">
        <v>11</v>
      </c>
      <c r="C61" s="88">
        <v>2002</v>
      </c>
      <c r="D61" s="180">
        <v>92.253657000000004</v>
      </c>
      <c r="E61" s="180">
        <v>81.613979999999998</v>
      </c>
      <c r="F61" s="180">
        <v>62.497</v>
      </c>
      <c r="G61" s="180">
        <v>19.117000000000001</v>
      </c>
    </row>
    <row r="62" spans="2:7" x14ac:dyDescent="0.25">
      <c r="B62" t="s">
        <v>11</v>
      </c>
      <c r="C62" s="88">
        <v>2007</v>
      </c>
      <c r="D62" s="180">
        <v>115.09672999999999</v>
      </c>
      <c r="E62" s="180">
        <v>78.85266</v>
      </c>
      <c r="F62" s="180">
        <v>50.442100000000003</v>
      </c>
      <c r="G62" s="180">
        <v>28.410599999999999</v>
      </c>
    </row>
    <row r="63" spans="2:7" x14ac:dyDescent="0.25">
      <c r="B63" t="s">
        <v>11</v>
      </c>
      <c r="C63" s="88">
        <v>2009</v>
      </c>
      <c r="D63" s="180">
        <v>108.05403</v>
      </c>
      <c r="E63" s="180">
        <v>79.390820000000005</v>
      </c>
      <c r="F63" s="180">
        <v>50.151600000000002</v>
      </c>
      <c r="G63" s="180">
        <v>29.2392</v>
      </c>
    </row>
    <row r="64" spans="2:7" x14ac:dyDescent="0.25">
      <c r="B64" t="s">
        <v>11</v>
      </c>
      <c r="C64" s="88">
        <v>2010</v>
      </c>
      <c r="D64" s="180">
        <v>110.62183</v>
      </c>
      <c r="E64" s="180">
        <v>78.82235</v>
      </c>
      <c r="F64" s="180">
        <v>43.304000000000002</v>
      </c>
      <c r="G64" s="180">
        <v>35.5184</v>
      </c>
    </row>
    <row r="65" spans="2:7" x14ac:dyDescent="0.25">
      <c r="B65" t="s">
        <v>11</v>
      </c>
      <c r="C65" s="88">
        <v>2011</v>
      </c>
      <c r="D65" s="180">
        <v>113.19783</v>
      </c>
      <c r="E65" s="180">
        <v>87.641959999999997</v>
      </c>
      <c r="F65" s="180">
        <v>51.226799999999997</v>
      </c>
      <c r="G65" s="180">
        <v>36.415199999999999</v>
      </c>
    </row>
    <row r="66" spans="2:7" x14ac:dyDescent="0.25">
      <c r="B66" t="s">
        <v>11</v>
      </c>
      <c r="C66" s="88">
        <v>2013</v>
      </c>
      <c r="D66" s="180">
        <v>93.372885999999994</v>
      </c>
      <c r="E66" s="180">
        <v>87.051810000000003</v>
      </c>
      <c r="F66" s="180">
        <v>50.264299999999999</v>
      </c>
      <c r="G66" s="180">
        <v>36.787500000000001</v>
      </c>
    </row>
    <row r="67" spans="2:7" x14ac:dyDescent="0.25">
      <c r="B67" t="s">
        <v>11</v>
      </c>
      <c r="C67" s="88">
        <v>2015</v>
      </c>
      <c r="D67" s="180">
        <v>83.739396999999997</v>
      </c>
      <c r="E67" s="180">
        <v>79.836330000000004</v>
      </c>
      <c r="F67" s="180">
        <v>49.472799999999999</v>
      </c>
      <c r="G67" s="180">
        <v>30.363499999999998</v>
      </c>
    </row>
    <row r="68" spans="2:7" x14ac:dyDescent="0.25">
      <c r="B68" t="s">
        <v>12</v>
      </c>
      <c r="C68" s="88">
        <v>1997</v>
      </c>
      <c r="D68" s="180">
        <v>85.741529999999997</v>
      </c>
      <c r="E68" s="180">
        <v>71.216340000000002</v>
      </c>
      <c r="F68" s="180">
        <v>39.182899999999997</v>
      </c>
      <c r="G68" s="180">
        <v>32.0334</v>
      </c>
    </row>
    <row r="69" spans="2:7" x14ac:dyDescent="0.25">
      <c r="B69" t="s">
        <v>12</v>
      </c>
      <c r="C69" s="88">
        <v>2001</v>
      </c>
      <c r="D69" s="180">
        <v>104.03166</v>
      </c>
      <c r="E69" s="180">
        <v>82.625609999999995</v>
      </c>
      <c r="F69" s="180">
        <v>52.930999999999997</v>
      </c>
      <c r="G69" s="180">
        <v>29.694600000000001</v>
      </c>
    </row>
    <row r="70" spans="2:7" x14ac:dyDescent="0.25">
      <c r="B70" t="s">
        <v>12</v>
      </c>
      <c r="C70" s="88">
        <v>2002</v>
      </c>
      <c r="D70" s="180">
        <v>98.056796000000006</v>
      </c>
      <c r="E70" s="180">
        <v>92.273700000000005</v>
      </c>
      <c r="F70" s="180">
        <v>44.352200000000003</v>
      </c>
      <c r="G70" s="180">
        <v>47.921500000000002</v>
      </c>
    </row>
    <row r="71" spans="2:7" x14ac:dyDescent="0.25">
      <c r="B71" t="s">
        <v>12</v>
      </c>
      <c r="C71" s="88">
        <v>2007</v>
      </c>
      <c r="D71" s="180">
        <v>107.76916</v>
      </c>
      <c r="E71" s="180">
        <v>74.957120000000003</v>
      </c>
      <c r="F71" s="180">
        <v>50.514600000000002</v>
      </c>
      <c r="G71" s="180">
        <v>24.442499999999999</v>
      </c>
    </row>
    <row r="72" spans="2:7" x14ac:dyDescent="0.25">
      <c r="B72" t="s">
        <v>12</v>
      </c>
      <c r="C72" s="88">
        <v>2009</v>
      </c>
      <c r="D72" s="180">
        <v>107.37224000000001</v>
      </c>
      <c r="E72" s="180">
        <v>84.364260000000002</v>
      </c>
      <c r="F72" s="180">
        <v>52.233699999999999</v>
      </c>
      <c r="G72" s="180">
        <v>32.130600000000001</v>
      </c>
    </row>
    <row r="73" spans="2:7" x14ac:dyDescent="0.25">
      <c r="B73" t="s">
        <v>12</v>
      </c>
      <c r="C73" s="88">
        <v>2010</v>
      </c>
      <c r="D73" s="180">
        <v>92.990557999999993</v>
      </c>
      <c r="E73" s="180">
        <v>84.563190000000006</v>
      </c>
      <c r="F73" s="180">
        <v>53.859200000000001</v>
      </c>
      <c r="G73" s="180">
        <v>30.704000000000001</v>
      </c>
    </row>
    <row r="74" spans="2:7" x14ac:dyDescent="0.25">
      <c r="B74" t="s">
        <v>12</v>
      </c>
      <c r="C74" s="88">
        <v>2011</v>
      </c>
      <c r="D74" s="180">
        <v>104.50823</v>
      </c>
      <c r="E74" s="180">
        <v>84.721029999999999</v>
      </c>
      <c r="F74" s="180">
        <v>61.373399999999997</v>
      </c>
      <c r="G74" s="180">
        <v>23.3476</v>
      </c>
    </row>
    <row r="75" spans="2:7" x14ac:dyDescent="0.25">
      <c r="B75" t="s">
        <v>12</v>
      </c>
      <c r="C75" s="88">
        <v>2015</v>
      </c>
      <c r="D75" s="180">
        <v>99.529844999999995</v>
      </c>
      <c r="E75" s="180">
        <v>82.423209999999997</v>
      </c>
      <c r="F75" s="180">
        <v>47.781599999999997</v>
      </c>
      <c r="G75" s="180">
        <v>34.641599999999997</v>
      </c>
    </row>
    <row r="76" spans="2:7" x14ac:dyDescent="0.25">
      <c r="B76" t="s">
        <v>13</v>
      </c>
      <c r="C76" s="88">
        <v>1997</v>
      </c>
      <c r="D76" s="180">
        <v>85.238924999999995</v>
      </c>
      <c r="E76" s="180">
        <v>62.538069999999998</v>
      </c>
      <c r="F76" s="180">
        <v>43.248699999999999</v>
      </c>
      <c r="G76" s="180">
        <v>19.289300000000001</v>
      </c>
    </row>
    <row r="77" spans="2:7" x14ac:dyDescent="0.25">
      <c r="B77" t="s">
        <v>13</v>
      </c>
      <c r="C77" s="88">
        <v>2001</v>
      </c>
      <c r="D77" s="180">
        <v>94.033325000000005</v>
      </c>
      <c r="E77" s="180">
        <v>84.591520000000003</v>
      </c>
      <c r="F77" s="180">
        <v>54.705300000000001</v>
      </c>
      <c r="G77" s="180">
        <v>29.886199999999999</v>
      </c>
    </row>
    <row r="78" spans="2:7" x14ac:dyDescent="0.25">
      <c r="B78" t="s">
        <v>13</v>
      </c>
      <c r="C78" s="88">
        <v>2007</v>
      </c>
      <c r="D78" s="180">
        <v>102.75623</v>
      </c>
      <c r="E78" s="180">
        <v>69.577060000000003</v>
      </c>
      <c r="F78" s="180">
        <v>46.386899999999997</v>
      </c>
      <c r="G78" s="180">
        <v>23.190100000000001</v>
      </c>
    </row>
    <row r="79" spans="2:7" x14ac:dyDescent="0.25">
      <c r="B79" t="s">
        <v>13</v>
      </c>
      <c r="C79" s="88">
        <v>2009</v>
      </c>
      <c r="D79" s="180">
        <v>90.413933999999998</v>
      </c>
      <c r="E79" s="180">
        <v>80.7119</v>
      </c>
      <c r="F79" s="180">
        <v>54.959099999999999</v>
      </c>
      <c r="G79" s="180">
        <v>25.752800000000001</v>
      </c>
    </row>
    <row r="80" spans="2:7" x14ac:dyDescent="0.25">
      <c r="B80" t="s">
        <v>13</v>
      </c>
      <c r="C80" s="88">
        <v>2015</v>
      </c>
      <c r="D80" s="180">
        <v>127.55759</v>
      </c>
      <c r="E80" s="180">
        <v>57.824069999999999</v>
      </c>
      <c r="F80" s="180">
        <v>46.344499999999996</v>
      </c>
      <c r="G80" s="180">
        <v>11.4796</v>
      </c>
    </row>
    <row r="81" spans="2:7" x14ac:dyDescent="0.25">
      <c r="B81" t="s">
        <v>14</v>
      </c>
      <c r="C81" s="88">
        <v>2009</v>
      </c>
      <c r="D81" s="180">
        <v>89.384133000000006</v>
      </c>
      <c r="E81" s="180">
        <v>73.024240000000006</v>
      </c>
      <c r="F81" s="180">
        <v>54.899900000000002</v>
      </c>
      <c r="G81" s="180">
        <v>18.124300000000002</v>
      </c>
    </row>
    <row r="82" spans="2:7" x14ac:dyDescent="0.25">
      <c r="B82" t="s">
        <v>14</v>
      </c>
      <c r="C82" s="88">
        <v>2010</v>
      </c>
      <c r="D82" s="180">
        <v>91.397105999999994</v>
      </c>
      <c r="E82" s="180">
        <v>66.701350000000005</v>
      </c>
      <c r="F82" s="180">
        <v>48.387099999999997</v>
      </c>
      <c r="G82" s="180">
        <v>18.314299999999999</v>
      </c>
    </row>
    <row r="83" spans="2:7" x14ac:dyDescent="0.25">
      <c r="B83" t="s">
        <v>14</v>
      </c>
      <c r="C83" s="88">
        <v>2011</v>
      </c>
      <c r="D83" s="180">
        <v>99.835403999999997</v>
      </c>
      <c r="E83" s="180">
        <v>66.145830000000004</v>
      </c>
      <c r="F83" s="180">
        <v>50.520800000000001</v>
      </c>
      <c r="G83" s="180">
        <v>15.625</v>
      </c>
    </row>
    <row r="84" spans="2:7" x14ac:dyDescent="0.25">
      <c r="B84" t="s">
        <v>14</v>
      </c>
      <c r="C84" s="88">
        <v>2013</v>
      </c>
      <c r="D84" s="180">
        <v>105.32901</v>
      </c>
      <c r="E84" s="180">
        <v>63.213529999999999</v>
      </c>
      <c r="F84" s="180">
        <v>41.543300000000002</v>
      </c>
      <c r="G84" s="180">
        <v>21.670200000000001</v>
      </c>
    </row>
    <row r="85" spans="2:7" x14ac:dyDescent="0.25">
      <c r="B85" t="s">
        <v>14</v>
      </c>
      <c r="C85" s="88">
        <v>2015</v>
      </c>
      <c r="D85" s="180">
        <v>114.05432999999999</v>
      </c>
      <c r="E85" s="180">
        <v>62.108559999999997</v>
      </c>
      <c r="F85" s="180">
        <v>43.110599999999998</v>
      </c>
      <c r="G85" s="180">
        <v>18.997900000000001</v>
      </c>
    </row>
    <row r="86" spans="2:7" x14ac:dyDescent="0.25">
      <c r="B86" t="s">
        <v>15</v>
      </c>
      <c r="C86" s="88">
        <v>2007</v>
      </c>
      <c r="D86" s="180">
        <v>97.129284999999996</v>
      </c>
      <c r="E86" s="180">
        <v>91.262979999999999</v>
      </c>
      <c r="F86" s="180">
        <v>65.397900000000007</v>
      </c>
      <c r="G86" s="180">
        <v>25.865100000000002</v>
      </c>
    </row>
    <row r="87" spans="2:7" x14ac:dyDescent="0.25">
      <c r="B87" t="s">
        <v>15</v>
      </c>
      <c r="C87" s="88">
        <v>2009</v>
      </c>
      <c r="D87" s="180">
        <v>96.984949</v>
      </c>
      <c r="E87" s="180">
        <v>88.849559999999997</v>
      </c>
      <c r="F87" s="180">
        <v>67.522099999999995</v>
      </c>
      <c r="G87" s="180">
        <v>21.327400000000001</v>
      </c>
    </row>
    <row r="88" spans="2:7" x14ac:dyDescent="0.25">
      <c r="B88" t="s">
        <v>15</v>
      </c>
      <c r="C88" s="88">
        <v>2010</v>
      </c>
      <c r="D88" s="180">
        <v>97.018345999999994</v>
      </c>
      <c r="E88" s="180">
        <v>85.548609999999996</v>
      </c>
      <c r="F88" s="180">
        <v>65.566500000000005</v>
      </c>
      <c r="G88" s="180">
        <v>19.982199999999999</v>
      </c>
    </row>
    <row r="89" spans="2:7" x14ac:dyDescent="0.25">
      <c r="B89" t="s">
        <v>15</v>
      </c>
      <c r="C89" s="88">
        <v>2011</v>
      </c>
      <c r="D89" s="180">
        <v>99.347838999999993</v>
      </c>
      <c r="E89" s="180">
        <v>85.826089999999994</v>
      </c>
      <c r="F89" s="180">
        <v>62.347799999999999</v>
      </c>
      <c r="G89" s="180">
        <v>23.478300000000001</v>
      </c>
    </row>
    <row r="90" spans="2:7" x14ac:dyDescent="0.25">
      <c r="B90" t="s">
        <v>15</v>
      </c>
      <c r="C90" s="88">
        <v>2013</v>
      </c>
      <c r="D90" s="180">
        <v>104.22654</v>
      </c>
      <c r="E90" s="180">
        <v>82.005369999999999</v>
      </c>
      <c r="F90" s="180">
        <v>63.294499999999999</v>
      </c>
      <c r="G90" s="180">
        <v>18.710799999999999</v>
      </c>
    </row>
    <row r="91" spans="2:7" x14ac:dyDescent="0.25">
      <c r="B91" t="s">
        <v>15</v>
      </c>
      <c r="C91" s="88">
        <v>2015</v>
      </c>
      <c r="D91" s="180">
        <v>105.29304999999999</v>
      </c>
      <c r="E91" s="180">
        <v>82.273949999999999</v>
      </c>
      <c r="F91" s="180">
        <v>61.235500000000002</v>
      </c>
      <c r="G91" s="180">
        <v>21.038499999999999</v>
      </c>
    </row>
    <row r="92" spans="2:7" x14ac:dyDescent="0.25">
      <c r="B92" t="s">
        <v>16</v>
      </c>
      <c r="C92" s="88">
        <v>1997</v>
      </c>
      <c r="D92" s="180">
        <v>108.55651</v>
      </c>
      <c r="E92" s="180">
        <v>88.026820000000001</v>
      </c>
      <c r="F92" s="180">
        <v>52.356200000000001</v>
      </c>
      <c r="G92" s="180">
        <v>35.6706</v>
      </c>
    </row>
    <row r="93" spans="2:7" x14ac:dyDescent="0.25">
      <c r="B93" t="s">
        <v>16</v>
      </c>
      <c r="C93" s="88">
        <v>2001</v>
      </c>
      <c r="D93" s="180">
        <v>98.509833999999998</v>
      </c>
      <c r="E93" s="180">
        <v>94.464699999999993</v>
      </c>
      <c r="F93" s="180">
        <v>39.770000000000003</v>
      </c>
      <c r="G93" s="180">
        <v>54.694699999999997</v>
      </c>
    </row>
    <row r="94" spans="2:7" x14ac:dyDescent="0.25">
      <c r="B94" t="s">
        <v>16</v>
      </c>
      <c r="C94" s="88">
        <v>2002</v>
      </c>
      <c r="D94" s="180">
        <v>78.826409999999996</v>
      </c>
      <c r="E94" s="180">
        <v>92.275170000000003</v>
      </c>
      <c r="F94" s="180">
        <v>52.241500000000002</v>
      </c>
      <c r="G94" s="180">
        <v>40.033700000000003</v>
      </c>
    </row>
    <row r="95" spans="2:7" x14ac:dyDescent="0.25">
      <c r="B95" t="s">
        <v>16</v>
      </c>
      <c r="C95" s="88">
        <v>2007</v>
      </c>
      <c r="D95" s="180">
        <v>81.368748999999994</v>
      </c>
      <c r="E95" s="180">
        <v>93.774919999999995</v>
      </c>
      <c r="F95" s="180">
        <v>39.078400000000002</v>
      </c>
      <c r="G95" s="180">
        <v>54.6965</v>
      </c>
    </row>
    <row r="96" spans="2:7" x14ac:dyDescent="0.25">
      <c r="B96" t="s">
        <v>16</v>
      </c>
      <c r="C96" s="88">
        <v>2009</v>
      </c>
      <c r="D96" s="180">
        <v>87.955355999999995</v>
      </c>
      <c r="E96" s="180">
        <v>82.643550000000005</v>
      </c>
      <c r="F96" s="180">
        <v>52.415999999999997</v>
      </c>
      <c r="G96" s="180">
        <v>30.227499999999999</v>
      </c>
    </row>
    <row r="97" spans="2:7" x14ac:dyDescent="0.25">
      <c r="B97" t="s">
        <v>16</v>
      </c>
      <c r="C97" s="88">
        <v>2010</v>
      </c>
      <c r="D97" s="180">
        <v>97.916708999999997</v>
      </c>
      <c r="E97" s="180">
        <v>79.688190000000006</v>
      </c>
      <c r="F97" s="180">
        <v>48.396999999999998</v>
      </c>
      <c r="G97" s="180">
        <v>31.2912</v>
      </c>
    </row>
    <row r="98" spans="2:7" x14ac:dyDescent="0.25">
      <c r="B98" t="s">
        <v>16</v>
      </c>
      <c r="C98" s="88">
        <v>2011</v>
      </c>
      <c r="D98" s="180">
        <v>114.55126</v>
      </c>
      <c r="E98" s="180">
        <v>77.247990000000001</v>
      </c>
      <c r="F98" s="180">
        <v>55.649900000000002</v>
      </c>
      <c r="G98" s="180">
        <v>21.598099999999999</v>
      </c>
    </row>
    <row r="99" spans="2:7" x14ac:dyDescent="0.25">
      <c r="B99" t="s">
        <v>16</v>
      </c>
      <c r="C99" s="88">
        <v>2013</v>
      </c>
      <c r="D99" s="180">
        <v>115.36944</v>
      </c>
      <c r="E99" s="180">
        <v>90.216220000000007</v>
      </c>
      <c r="F99" s="180">
        <v>47.0777</v>
      </c>
      <c r="G99" s="180">
        <v>43.138500000000001</v>
      </c>
    </row>
    <row r="100" spans="2:7" x14ac:dyDescent="0.25">
      <c r="B100" t="s">
        <v>16</v>
      </c>
      <c r="C100" s="88">
        <v>2015</v>
      </c>
      <c r="D100" s="180">
        <v>116.94574</v>
      </c>
      <c r="E100" s="180">
        <v>85.678319999999999</v>
      </c>
      <c r="F100" s="180">
        <v>52.214100000000002</v>
      </c>
      <c r="G100" s="180">
        <v>33.464199999999998</v>
      </c>
    </row>
    <row r="101" spans="2:7" x14ac:dyDescent="0.25">
      <c r="B101" t="s">
        <v>17</v>
      </c>
      <c r="C101" s="88">
        <v>1997</v>
      </c>
      <c r="D101" s="180">
        <v>102.05569</v>
      </c>
      <c r="E101" s="180">
        <v>60.909089999999999</v>
      </c>
      <c r="F101" s="180">
        <v>44.343400000000003</v>
      </c>
      <c r="G101" s="180">
        <v>16.5657</v>
      </c>
    </row>
    <row r="102" spans="2:7" x14ac:dyDescent="0.25">
      <c r="B102" t="s">
        <v>17</v>
      </c>
      <c r="C102" s="88">
        <v>2001</v>
      </c>
      <c r="D102" s="180">
        <v>111.68770000000001</v>
      </c>
      <c r="E102" s="180">
        <v>83.627110000000002</v>
      </c>
      <c r="F102" s="180">
        <v>49.069699999999997</v>
      </c>
      <c r="G102" s="180">
        <v>34.557400000000001</v>
      </c>
    </row>
    <row r="103" spans="2:7" x14ac:dyDescent="0.25">
      <c r="B103" t="s">
        <v>17</v>
      </c>
      <c r="C103" s="88">
        <v>2002</v>
      </c>
      <c r="D103" s="180">
        <v>114.24684999999999</v>
      </c>
      <c r="E103" s="180">
        <v>81.354699999999994</v>
      </c>
      <c r="F103" s="180">
        <v>59.146799999999999</v>
      </c>
      <c r="G103" s="180">
        <v>22.207899999999999</v>
      </c>
    </row>
    <row r="104" spans="2:7" x14ac:dyDescent="0.25">
      <c r="B104" t="s">
        <v>17</v>
      </c>
      <c r="C104" s="88">
        <v>2007</v>
      </c>
      <c r="D104" s="180">
        <v>101.88834</v>
      </c>
      <c r="E104" s="180">
        <v>72.958439999999996</v>
      </c>
      <c r="F104" s="180">
        <v>46.386600000000001</v>
      </c>
      <c r="G104" s="180">
        <v>26.571899999999999</v>
      </c>
    </row>
    <row r="105" spans="2:7" x14ac:dyDescent="0.25">
      <c r="B105" t="s">
        <v>17</v>
      </c>
      <c r="C105" s="88">
        <v>2009</v>
      </c>
      <c r="D105" s="180">
        <v>98.086489</v>
      </c>
      <c r="E105" s="180">
        <v>73.908580000000001</v>
      </c>
      <c r="F105" s="180">
        <v>48.043399999999998</v>
      </c>
      <c r="G105" s="180">
        <v>25.865200000000002</v>
      </c>
    </row>
    <row r="106" spans="2:7" x14ac:dyDescent="0.25">
      <c r="B106" t="s">
        <v>17</v>
      </c>
      <c r="C106" s="88">
        <v>2010</v>
      </c>
      <c r="D106" s="180">
        <v>91.587800000000001</v>
      </c>
      <c r="E106" s="180">
        <v>82.044470000000004</v>
      </c>
      <c r="F106" s="180">
        <v>61.5565</v>
      </c>
      <c r="G106" s="180">
        <v>20.488</v>
      </c>
    </row>
    <row r="107" spans="2:7" x14ac:dyDescent="0.25">
      <c r="B107" t="s">
        <v>17</v>
      </c>
      <c r="C107" s="88">
        <v>2011</v>
      </c>
      <c r="D107" s="180">
        <v>86.358491000000001</v>
      </c>
      <c r="E107" s="180">
        <v>81.586429999999993</v>
      </c>
      <c r="F107" s="180">
        <v>54.414999999999999</v>
      </c>
      <c r="G107" s="180">
        <v>27.171500000000002</v>
      </c>
    </row>
    <row r="108" spans="2:7" x14ac:dyDescent="0.25">
      <c r="B108" t="s">
        <v>17</v>
      </c>
      <c r="C108" s="88">
        <v>2013</v>
      </c>
      <c r="D108" s="180">
        <v>98.593442999999994</v>
      </c>
      <c r="E108" s="180">
        <v>69.912880000000001</v>
      </c>
      <c r="F108" s="180">
        <v>58.877099999999999</v>
      </c>
      <c r="G108" s="180">
        <v>11.0357</v>
      </c>
    </row>
    <row r="109" spans="2:7" x14ac:dyDescent="0.25">
      <c r="B109" t="s">
        <v>17</v>
      </c>
      <c r="C109" s="88">
        <v>2015</v>
      </c>
      <c r="D109" s="180">
        <v>95.495216999999997</v>
      </c>
      <c r="E109" s="180">
        <v>76.740939999999995</v>
      </c>
      <c r="F109" s="180">
        <v>56.643099999999997</v>
      </c>
      <c r="G109" s="180">
        <v>20.097899999999999</v>
      </c>
    </row>
    <row r="110" spans="2:7" x14ac:dyDescent="0.25">
      <c r="B110" t="s">
        <v>18</v>
      </c>
      <c r="C110" s="88">
        <v>1997</v>
      </c>
      <c r="D110" s="180">
        <v>93.121898999999999</v>
      </c>
      <c r="E110" s="180">
        <v>78.871799999999993</v>
      </c>
      <c r="F110" s="180">
        <v>52.386299999999999</v>
      </c>
      <c r="G110" s="180">
        <v>26.485499999999998</v>
      </c>
    </row>
    <row r="111" spans="2:7" x14ac:dyDescent="0.25">
      <c r="B111" t="s">
        <v>18</v>
      </c>
      <c r="C111" s="88">
        <v>2001</v>
      </c>
      <c r="D111" s="180">
        <v>97.836039999999997</v>
      </c>
      <c r="E111" s="180">
        <v>91.863259999999997</v>
      </c>
      <c r="F111" s="180">
        <v>60.5364</v>
      </c>
      <c r="G111" s="180">
        <v>31.326899999999998</v>
      </c>
    </row>
    <row r="112" spans="2:7" x14ac:dyDescent="0.25">
      <c r="B112" t="s">
        <v>18</v>
      </c>
      <c r="C112" s="88">
        <v>2002</v>
      </c>
      <c r="D112" s="180">
        <v>88.194996000000003</v>
      </c>
      <c r="E112" s="180">
        <v>91.61054</v>
      </c>
      <c r="F112" s="180">
        <v>61.196399999999997</v>
      </c>
      <c r="G112" s="180">
        <v>30.414200000000001</v>
      </c>
    </row>
    <row r="113" spans="2:7" x14ac:dyDescent="0.25">
      <c r="B113" t="s">
        <v>18</v>
      </c>
      <c r="C113" s="88">
        <v>2007</v>
      </c>
      <c r="D113" s="180">
        <v>91.959834999999998</v>
      </c>
      <c r="E113" s="180">
        <v>79.505300000000005</v>
      </c>
      <c r="F113" s="180">
        <v>58.745600000000003</v>
      </c>
      <c r="G113" s="180">
        <v>20.759699999999999</v>
      </c>
    </row>
    <row r="114" spans="2:7" x14ac:dyDescent="0.25">
      <c r="B114" t="s">
        <v>18</v>
      </c>
      <c r="C114" s="88">
        <v>2009</v>
      </c>
      <c r="D114" s="180">
        <v>104.38672</v>
      </c>
      <c r="E114" s="180">
        <v>66.188339999999997</v>
      </c>
      <c r="F114" s="180">
        <v>56.681600000000003</v>
      </c>
      <c r="G114" s="180">
        <v>9.5067299999999992</v>
      </c>
    </row>
    <row r="115" spans="2:7" x14ac:dyDescent="0.25">
      <c r="B115" t="s">
        <v>18</v>
      </c>
      <c r="C115" s="88">
        <v>2010</v>
      </c>
      <c r="D115" s="180">
        <v>104.05292</v>
      </c>
      <c r="E115" s="180">
        <v>72.783690000000007</v>
      </c>
      <c r="F115" s="180">
        <v>59.485799999999998</v>
      </c>
      <c r="G115" s="180">
        <v>13.2979</v>
      </c>
    </row>
    <row r="116" spans="2:7" x14ac:dyDescent="0.25">
      <c r="B116" t="s">
        <v>18</v>
      </c>
      <c r="C116" s="88">
        <v>2011</v>
      </c>
      <c r="D116" s="180">
        <v>104.28457</v>
      </c>
      <c r="E116" s="180">
        <v>71.543270000000007</v>
      </c>
      <c r="F116" s="180">
        <v>60.392499999999998</v>
      </c>
      <c r="G116" s="180">
        <v>11.1508</v>
      </c>
    </row>
    <row r="117" spans="2:7" x14ac:dyDescent="0.25">
      <c r="B117" t="s">
        <v>18</v>
      </c>
      <c r="C117" s="88">
        <v>2013</v>
      </c>
      <c r="D117" s="180">
        <v>105.16518000000001</v>
      </c>
      <c r="E117" s="180">
        <v>63.44464</v>
      </c>
      <c r="F117" s="180">
        <v>51.933199999999999</v>
      </c>
      <c r="G117" s="180">
        <v>11.5114</v>
      </c>
    </row>
    <row r="118" spans="2:7" x14ac:dyDescent="0.25">
      <c r="B118" t="s">
        <v>18</v>
      </c>
      <c r="C118" s="88">
        <v>2015</v>
      </c>
      <c r="D118" s="180">
        <v>110.99782999999999</v>
      </c>
      <c r="E118" s="180">
        <v>65.706810000000004</v>
      </c>
      <c r="F118" s="180">
        <v>56.195500000000003</v>
      </c>
      <c r="G118" s="180">
        <v>9.5113400000000006</v>
      </c>
    </row>
    <row r="119" spans="2:7" x14ac:dyDescent="0.25">
      <c r="B119" t="s">
        <v>19</v>
      </c>
      <c r="C119" s="88">
        <v>1997</v>
      </c>
      <c r="D119" s="180">
        <v>98.452039999999997</v>
      </c>
      <c r="E119" s="180">
        <v>85.227270000000004</v>
      </c>
      <c r="F119" s="180">
        <v>48.164299999999997</v>
      </c>
      <c r="G119" s="180">
        <v>37.062899999999999</v>
      </c>
    </row>
    <row r="120" spans="2:7" x14ac:dyDescent="0.25">
      <c r="B120" t="s">
        <v>19</v>
      </c>
      <c r="C120" s="88">
        <v>2001</v>
      </c>
      <c r="D120" s="180">
        <v>91.727093999999994</v>
      </c>
      <c r="E120" s="180">
        <v>72.188540000000003</v>
      </c>
      <c r="F120" s="180">
        <v>47.398699999999998</v>
      </c>
      <c r="G120" s="180">
        <v>24.789899999999999</v>
      </c>
    </row>
    <row r="121" spans="2:7" x14ac:dyDescent="0.25">
      <c r="B121" t="s">
        <v>19</v>
      </c>
      <c r="C121" s="88">
        <v>2002</v>
      </c>
      <c r="D121" s="180">
        <v>78.084498999999994</v>
      </c>
      <c r="E121" s="180">
        <v>74.600369999999998</v>
      </c>
      <c r="F121" s="180">
        <v>50.312600000000003</v>
      </c>
      <c r="G121" s="180">
        <v>24.287800000000001</v>
      </c>
    </row>
    <row r="122" spans="2:7" x14ac:dyDescent="0.25">
      <c r="B122" t="s">
        <v>19</v>
      </c>
      <c r="C122" s="88">
        <v>2007</v>
      </c>
      <c r="D122" s="180">
        <v>110.79361</v>
      </c>
      <c r="E122" s="180">
        <v>43.096890000000002</v>
      </c>
      <c r="F122" s="180">
        <v>32.354100000000003</v>
      </c>
      <c r="G122" s="180">
        <v>10.742800000000001</v>
      </c>
    </row>
    <row r="123" spans="2:7" x14ac:dyDescent="0.25">
      <c r="B123" t="s">
        <v>19</v>
      </c>
      <c r="C123" s="88">
        <v>2009</v>
      </c>
      <c r="D123" s="180">
        <v>106.87178</v>
      </c>
      <c r="E123" s="180">
        <v>66.365520000000004</v>
      </c>
      <c r="F123" s="180">
        <v>44.297800000000002</v>
      </c>
      <c r="G123" s="180">
        <v>22.067699999999999</v>
      </c>
    </row>
    <row r="124" spans="2:7" x14ac:dyDescent="0.25">
      <c r="B124" t="s">
        <v>19</v>
      </c>
      <c r="C124" s="88">
        <v>2010</v>
      </c>
      <c r="D124" s="180">
        <v>98.440719999999999</v>
      </c>
      <c r="E124" s="180">
        <v>59.727310000000003</v>
      </c>
      <c r="F124" s="180">
        <v>40.582900000000002</v>
      </c>
      <c r="G124" s="180">
        <v>19.144500000000001</v>
      </c>
    </row>
    <row r="125" spans="2:7" x14ac:dyDescent="0.25">
      <c r="B125" t="s">
        <v>19</v>
      </c>
      <c r="C125" s="88">
        <v>2011</v>
      </c>
      <c r="D125" s="180">
        <v>99.570924000000005</v>
      </c>
      <c r="E125" s="180">
        <v>67.350399999999993</v>
      </c>
      <c r="F125" s="180">
        <v>50.146999999999998</v>
      </c>
      <c r="G125" s="180">
        <v>17.203399999999998</v>
      </c>
    </row>
    <row r="126" spans="2:7" x14ac:dyDescent="0.25">
      <c r="B126" t="s">
        <v>19</v>
      </c>
      <c r="C126" s="88">
        <v>2013</v>
      </c>
      <c r="D126" s="180">
        <v>116.05934000000001</v>
      </c>
      <c r="E126" s="180">
        <v>55.622309999999999</v>
      </c>
      <c r="F126" s="180">
        <v>32.789700000000003</v>
      </c>
      <c r="G126" s="180">
        <v>22.832599999999999</v>
      </c>
    </row>
    <row r="127" spans="2:7" x14ac:dyDescent="0.25">
      <c r="E127" s="180"/>
      <c r="F127" s="180"/>
      <c r="G127" s="180"/>
    </row>
    <row r="128" spans="2:7" x14ac:dyDescent="0.25">
      <c r="E128" s="180"/>
      <c r="F128" s="180"/>
      <c r="G128" s="180"/>
    </row>
    <row r="129" spans="5:7" x14ac:dyDescent="0.25">
      <c r="E129" s="180"/>
      <c r="F129" s="180"/>
      <c r="G129" s="180"/>
    </row>
    <row r="130" spans="5:7" x14ac:dyDescent="0.25">
      <c r="E130" s="180"/>
      <c r="F130" s="180"/>
      <c r="G130" s="180"/>
    </row>
    <row r="131" spans="5:7" x14ac:dyDescent="0.25">
      <c r="E131" s="180"/>
      <c r="F131" s="180"/>
      <c r="G131" s="180"/>
    </row>
    <row r="132" spans="5:7" x14ac:dyDescent="0.25">
      <c r="E132" s="180"/>
      <c r="F132" s="180"/>
      <c r="G132" s="180"/>
    </row>
    <row r="133" spans="5:7" x14ac:dyDescent="0.25">
      <c r="E133" s="180"/>
      <c r="F133" s="180"/>
      <c r="G133" s="180"/>
    </row>
    <row r="134" spans="5:7" x14ac:dyDescent="0.25">
      <c r="E134" s="180"/>
      <c r="F134" s="180"/>
      <c r="G134" s="180"/>
    </row>
    <row r="135" spans="5:7" x14ac:dyDescent="0.25">
      <c r="E135" s="180"/>
      <c r="F135" s="180"/>
      <c r="G135" s="180"/>
    </row>
    <row r="136" spans="5:7" x14ac:dyDescent="0.25">
      <c r="E136" s="180"/>
      <c r="F136" s="180"/>
      <c r="G136" s="180"/>
    </row>
    <row r="137" spans="5:7" x14ac:dyDescent="0.25">
      <c r="E137" s="180"/>
      <c r="F137" s="180"/>
      <c r="G137" s="180"/>
    </row>
    <row r="138" spans="5:7" x14ac:dyDescent="0.25">
      <c r="E138" s="180"/>
      <c r="F138" s="180"/>
      <c r="G138" s="180"/>
    </row>
    <row r="139" spans="5:7" x14ac:dyDescent="0.25">
      <c r="E139" s="180"/>
      <c r="F139" s="180"/>
      <c r="G139" s="180"/>
    </row>
    <row r="140" spans="5:7" x14ac:dyDescent="0.25">
      <c r="E140" s="180"/>
      <c r="F140" s="180"/>
      <c r="G140" s="180"/>
    </row>
    <row r="141" spans="5:7" x14ac:dyDescent="0.25">
      <c r="E141" s="180"/>
      <c r="F141" s="180"/>
      <c r="G141" s="180"/>
    </row>
    <row r="142" spans="5:7" x14ac:dyDescent="0.25">
      <c r="E142" s="180"/>
      <c r="F142" s="180"/>
      <c r="G142" s="180"/>
    </row>
    <row r="143" spans="5:7" x14ac:dyDescent="0.25">
      <c r="E143" s="180"/>
      <c r="F143" s="180"/>
      <c r="G143" s="180"/>
    </row>
    <row r="144" spans="5:7" x14ac:dyDescent="0.25">
      <c r="E144" s="180"/>
      <c r="F144" s="180"/>
      <c r="G144" s="180"/>
    </row>
    <row r="145" spans="1:7" x14ac:dyDescent="0.25">
      <c r="E145" s="180"/>
      <c r="F145" s="180"/>
      <c r="G145" s="180"/>
    </row>
    <row r="146" spans="1:7" x14ac:dyDescent="0.25">
      <c r="E146" s="180"/>
      <c r="F146" s="180"/>
      <c r="G146" s="180"/>
    </row>
    <row r="147" spans="1:7" x14ac:dyDescent="0.25">
      <c r="E147" s="180"/>
      <c r="F147" s="180"/>
      <c r="G147" s="180"/>
    </row>
    <row r="148" spans="1:7" x14ac:dyDescent="0.25">
      <c r="E148" s="180"/>
      <c r="F148" s="180"/>
      <c r="G148" s="180"/>
    </row>
    <row r="149" spans="1:7" x14ac:dyDescent="0.25">
      <c r="A149" s="2"/>
      <c r="E149" s="180"/>
      <c r="F149" s="180"/>
      <c r="G149" s="180"/>
    </row>
    <row r="150" spans="1:7" x14ac:dyDescent="0.25">
      <c r="A150" s="2"/>
      <c r="E150" s="180"/>
      <c r="F150" s="180"/>
      <c r="G150" s="180"/>
    </row>
    <row r="151" spans="1:7" x14ac:dyDescent="0.25">
      <c r="A151" s="2"/>
      <c r="E151" s="180"/>
      <c r="F151" s="180"/>
      <c r="G151" s="180"/>
    </row>
    <row r="152" spans="1:7" x14ac:dyDescent="0.25">
      <c r="A152" s="2"/>
      <c r="E152" s="180"/>
      <c r="F152" s="180"/>
      <c r="G152" s="180"/>
    </row>
    <row r="153" spans="1:7" x14ac:dyDescent="0.25">
      <c r="A153" s="2"/>
      <c r="E153" s="180"/>
      <c r="F153" s="180"/>
      <c r="G153" s="180"/>
    </row>
    <row r="154" spans="1:7" x14ac:dyDescent="0.25">
      <c r="A154" s="2"/>
      <c r="E154" s="180"/>
      <c r="F154" s="180"/>
      <c r="G154" s="180"/>
    </row>
    <row r="155" spans="1:7" x14ac:dyDescent="0.25">
      <c r="A155" s="2"/>
      <c r="E155" s="180"/>
      <c r="F155" s="180"/>
      <c r="G155" s="180"/>
    </row>
    <row r="156" spans="1:7" x14ac:dyDescent="0.25">
      <c r="E156" s="180"/>
      <c r="F156" s="180"/>
      <c r="G156" s="180"/>
    </row>
    <row r="157" spans="1:7" x14ac:dyDescent="0.25">
      <c r="E157" s="180"/>
      <c r="F157" s="180"/>
      <c r="G157" s="180"/>
    </row>
    <row r="158" spans="1:7" x14ac:dyDescent="0.25">
      <c r="E158" s="180"/>
      <c r="F158" s="180"/>
      <c r="G158" s="180"/>
    </row>
    <row r="159" spans="1:7" x14ac:dyDescent="0.25">
      <c r="E159" s="180"/>
      <c r="F159" s="180"/>
      <c r="G159" s="180"/>
    </row>
    <row r="160" spans="1:7" x14ac:dyDescent="0.25">
      <c r="E160" s="180"/>
      <c r="F160" s="180"/>
      <c r="G160" s="180"/>
    </row>
    <row r="161" spans="5:7" x14ac:dyDescent="0.25">
      <c r="E161" s="180"/>
      <c r="F161" s="180"/>
      <c r="G161" s="180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B2:X74"/>
  <sheetViews>
    <sheetView showGridLines="0" zoomScaleNormal="100" workbookViewId="0">
      <selection activeCell="D37" sqref="D37"/>
    </sheetView>
  </sheetViews>
  <sheetFormatPr defaultColWidth="9.140625" defaultRowHeight="12.75" x14ac:dyDescent="0.2"/>
  <cols>
    <col min="1" max="1" width="9.140625" style="49"/>
    <col min="2" max="2" width="5" style="56" customWidth="1"/>
    <col min="3" max="3" width="12.5703125" style="49" bestFit="1" customWidth="1"/>
    <col min="4" max="4" width="8" style="49" bestFit="1" customWidth="1"/>
    <col min="5" max="5" width="21.140625" style="49" bestFit="1" customWidth="1"/>
    <col min="6" max="6" width="14.7109375" style="49" bestFit="1" customWidth="1"/>
    <col min="7" max="16384" width="9.140625" style="49"/>
  </cols>
  <sheetData>
    <row r="2" spans="2:24" ht="15.75" thickBot="1" x14ac:dyDescent="0.25">
      <c r="B2" s="148" t="s">
        <v>58</v>
      </c>
      <c r="C2" s="148" t="s">
        <v>139</v>
      </c>
      <c r="D2" s="148" t="s">
        <v>34</v>
      </c>
      <c r="E2" s="148" t="s">
        <v>149</v>
      </c>
      <c r="F2" s="148" t="s">
        <v>23</v>
      </c>
      <c r="G2" s="50"/>
      <c r="H2" s="50"/>
      <c r="I2" s="50"/>
      <c r="J2" s="50"/>
      <c r="K2" s="50"/>
      <c r="L2" s="50"/>
    </row>
    <row r="3" spans="2:24" ht="13.5" thickTop="1" x14ac:dyDescent="0.2">
      <c r="B3" s="49">
        <v>1997</v>
      </c>
      <c r="C3" s="51">
        <v>28.874246597290039</v>
      </c>
      <c r="D3" s="51">
        <v>51.551040649414063</v>
      </c>
      <c r="E3" s="51">
        <v>80.425285339355469</v>
      </c>
      <c r="F3" s="51">
        <v>89.398669999999996</v>
      </c>
      <c r="G3" s="50"/>
      <c r="H3" s="50"/>
      <c r="I3" s="52"/>
      <c r="J3" s="52"/>
      <c r="K3" s="53"/>
      <c r="L3" s="53"/>
    </row>
    <row r="4" spans="2:24" x14ac:dyDescent="0.2">
      <c r="B4" s="57"/>
      <c r="C4" s="51"/>
      <c r="D4" s="51"/>
      <c r="E4" s="71"/>
      <c r="F4" s="51"/>
      <c r="G4" s="50"/>
      <c r="H4" s="50"/>
      <c r="I4" s="52"/>
      <c r="J4" s="52"/>
      <c r="K4" s="53"/>
      <c r="L4" s="53"/>
    </row>
    <row r="5" spans="2:24" ht="15.75" x14ac:dyDescent="0.25">
      <c r="B5" s="57"/>
      <c r="C5" s="51"/>
      <c r="D5" s="51"/>
      <c r="E5" s="71"/>
      <c r="F5" s="51"/>
      <c r="G5" s="50"/>
      <c r="H5" s="50"/>
      <c r="I5" s="52"/>
      <c r="J5" s="52"/>
      <c r="K5" s="53"/>
      <c r="L5" s="53"/>
      <c r="T5" s="55"/>
      <c r="U5" s="55"/>
      <c r="V5" s="55"/>
      <c r="W5" s="55"/>
      <c r="X5" s="55"/>
    </row>
    <row r="6" spans="2:24" x14ac:dyDescent="0.2">
      <c r="B6" s="57">
        <v>2000</v>
      </c>
      <c r="C6" s="51"/>
      <c r="D6" s="51"/>
      <c r="E6" s="71"/>
      <c r="F6" s="51"/>
      <c r="G6" s="50"/>
      <c r="H6" s="50"/>
      <c r="I6" s="52"/>
      <c r="J6" s="52"/>
      <c r="K6" s="53"/>
      <c r="L6" s="53"/>
    </row>
    <row r="7" spans="2:24" x14ac:dyDescent="0.2">
      <c r="B7" s="57"/>
      <c r="C7" s="51">
        <v>37.61529541015625</v>
      </c>
      <c r="D7" s="51">
        <v>51.500446319580078</v>
      </c>
      <c r="E7" s="71">
        <v>89.115745544433594</v>
      </c>
      <c r="F7" s="51">
        <v>92.710797999999997</v>
      </c>
      <c r="G7" s="50"/>
      <c r="H7" s="50"/>
      <c r="I7" s="52"/>
      <c r="J7" s="52"/>
      <c r="K7" s="53"/>
      <c r="L7" s="53"/>
    </row>
    <row r="8" spans="2:24" x14ac:dyDescent="0.2">
      <c r="B8" s="57"/>
      <c r="C8" s="51">
        <v>33.000434875488281</v>
      </c>
      <c r="D8" s="51">
        <v>53.61114501953125</v>
      </c>
      <c r="E8" s="71">
        <v>86.611579895019531</v>
      </c>
      <c r="F8" s="51">
        <v>89.940119999999993</v>
      </c>
      <c r="G8" s="50"/>
      <c r="H8" s="50"/>
      <c r="I8" s="52"/>
      <c r="J8" s="52"/>
      <c r="K8" s="53"/>
      <c r="L8" s="53"/>
    </row>
    <row r="9" spans="2:24" x14ac:dyDescent="0.2">
      <c r="B9" s="57"/>
      <c r="C9" s="51"/>
      <c r="D9" s="51"/>
      <c r="E9" s="71"/>
      <c r="F9" s="51"/>
      <c r="G9" s="50"/>
      <c r="H9" s="50"/>
      <c r="I9" s="52"/>
      <c r="J9" s="52"/>
      <c r="K9" s="53"/>
      <c r="L9" s="53"/>
    </row>
    <row r="10" spans="2:24" x14ac:dyDescent="0.2">
      <c r="B10" s="57"/>
      <c r="C10" s="51"/>
      <c r="D10" s="51"/>
      <c r="E10" s="71"/>
      <c r="F10" s="51"/>
      <c r="G10" s="50"/>
      <c r="H10" s="50"/>
      <c r="I10" s="52"/>
      <c r="J10" s="52"/>
      <c r="K10" s="53"/>
      <c r="L10" s="53"/>
    </row>
    <row r="11" spans="2:24" x14ac:dyDescent="0.2">
      <c r="B11" s="57">
        <v>2005</v>
      </c>
      <c r="C11" s="51"/>
      <c r="D11" s="51"/>
      <c r="E11" s="71"/>
      <c r="F11" s="51"/>
      <c r="G11" s="50"/>
      <c r="H11" s="50"/>
      <c r="I11" s="52"/>
      <c r="J11" s="52"/>
      <c r="K11" s="53"/>
      <c r="L11" s="53"/>
      <c r="V11" s="91"/>
    </row>
    <row r="12" spans="2:24" x14ac:dyDescent="0.2">
      <c r="B12" s="57"/>
      <c r="C12" s="51"/>
      <c r="D12" s="51"/>
      <c r="E12" s="71"/>
      <c r="F12" s="51"/>
      <c r="G12" s="50"/>
      <c r="H12" s="50"/>
      <c r="I12" s="50"/>
      <c r="J12" s="50"/>
      <c r="K12" s="50"/>
    </row>
    <row r="13" spans="2:24" x14ac:dyDescent="0.2">
      <c r="B13" s="57"/>
      <c r="C13" s="51">
        <v>27.63191032409668</v>
      </c>
      <c r="D13" s="51">
        <v>50.164409637451172</v>
      </c>
      <c r="E13" s="71">
        <v>77.796318054199219</v>
      </c>
      <c r="F13" s="51">
        <v>97.980137999999997</v>
      </c>
      <c r="G13" s="50"/>
      <c r="H13" s="50"/>
      <c r="I13" s="50"/>
      <c r="J13" s="50"/>
      <c r="K13" s="50"/>
    </row>
    <row r="14" spans="2:24" x14ac:dyDescent="0.2">
      <c r="B14" s="57"/>
      <c r="C14" s="51"/>
      <c r="D14" s="51"/>
      <c r="E14" s="71"/>
      <c r="F14" s="51"/>
      <c r="G14" s="50"/>
      <c r="H14" s="50"/>
      <c r="I14" s="50"/>
      <c r="J14" s="50"/>
      <c r="K14" s="50"/>
    </row>
    <row r="15" spans="2:24" x14ac:dyDescent="0.2">
      <c r="B15" s="57"/>
      <c r="C15" s="51">
        <v>24.493249893188477</v>
      </c>
      <c r="D15" s="51">
        <v>53.453693389892578</v>
      </c>
      <c r="E15" s="71">
        <v>77.946945190429688</v>
      </c>
      <c r="F15" s="51">
        <v>97.804201000000006</v>
      </c>
    </row>
    <row r="16" spans="2:24" x14ac:dyDescent="0.2">
      <c r="B16" s="57">
        <v>2010</v>
      </c>
      <c r="C16" s="51">
        <v>24.621641159057617</v>
      </c>
      <c r="D16" s="51">
        <v>53.396575927734375</v>
      </c>
      <c r="E16" s="71">
        <v>78.018218994140625</v>
      </c>
      <c r="F16" s="51">
        <v>98.345262000000005</v>
      </c>
    </row>
    <row r="17" spans="2:9" x14ac:dyDescent="0.2">
      <c r="B17" s="57"/>
      <c r="C17" s="51">
        <v>24.18956184387207</v>
      </c>
      <c r="D17" s="51">
        <v>55.221973419189453</v>
      </c>
      <c r="E17" s="71">
        <v>79.411537170410156</v>
      </c>
      <c r="F17" s="51">
        <v>101.32556</v>
      </c>
    </row>
    <row r="18" spans="2:9" x14ac:dyDescent="0.2">
      <c r="B18" s="57"/>
      <c r="C18" s="51"/>
      <c r="D18" s="51"/>
      <c r="E18" s="71"/>
      <c r="F18" s="51"/>
    </row>
    <row r="19" spans="2:9" x14ac:dyDescent="0.2">
      <c r="B19" s="57"/>
      <c r="C19" s="51">
        <v>25.101715087890625</v>
      </c>
      <c r="D19" s="51">
        <v>47.690685272216797</v>
      </c>
      <c r="E19" s="71">
        <v>72.792404174804688</v>
      </c>
      <c r="F19" s="51">
        <v>106.61431</v>
      </c>
    </row>
    <row r="20" spans="2:9" x14ac:dyDescent="0.2">
      <c r="B20" s="57"/>
      <c r="C20" s="51"/>
      <c r="D20" s="51"/>
      <c r="E20" s="71"/>
      <c r="F20" s="51"/>
    </row>
    <row r="21" spans="2:9" x14ac:dyDescent="0.2">
      <c r="B21" s="193">
        <v>2015</v>
      </c>
      <c r="C21" s="194">
        <v>25.50933837890625</v>
      </c>
      <c r="D21" s="194">
        <v>49.247291564941406</v>
      </c>
      <c r="E21" s="195">
        <v>74.756629943847656</v>
      </c>
      <c r="F21" s="194">
        <v>107.00045</v>
      </c>
    </row>
    <row r="22" spans="2:9" x14ac:dyDescent="0.2">
      <c r="E22" s="68"/>
    </row>
    <row r="23" spans="2:9" x14ac:dyDescent="0.2">
      <c r="E23" s="68"/>
    </row>
    <row r="24" spans="2:9" s="55" customFormat="1" ht="16.5" thickBot="1" x14ac:dyDescent="0.3">
      <c r="B24" s="54"/>
      <c r="C24" s="148"/>
      <c r="D24" s="148" t="s">
        <v>248</v>
      </c>
      <c r="E24" s="68"/>
    </row>
    <row r="25" spans="2:9" ht="13.5" thickTop="1" x14ac:dyDescent="0.2">
      <c r="C25" s="49" t="s">
        <v>142</v>
      </c>
      <c r="D25" s="91">
        <f>+CORREL(C3:C21,F3:F21)</f>
        <v>-0.66713803796510895</v>
      </c>
      <c r="E25" s="68"/>
    </row>
    <row r="26" spans="2:9" x14ac:dyDescent="0.2">
      <c r="C26" s="49" t="s">
        <v>141</v>
      </c>
      <c r="D26" s="91">
        <f>+CORREL(E3:E21,F3:F21)</f>
        <v>-0.80359085470593783</v>
      </c>
      <c r="E26" s="68"/>
    </row>
    <row r="27" spans="2:9" x14ac:dyDescent="0.2">
      <c r="C27" s="49" t="s">
        <v>143</v>
      </c>
      <c r="D27" s="91">
        <f>+CORREL(D3:D21,F3:F21)</f>
        <v>-0.46309241641883941</v>
      </c>
      <c r="E27" s="68"/>
    </row>
    <row r="28" spans="2:9" x14ac:dyDescent="0.2">
      <c r="E28" s="68"/>
    </row>
    <row r="29" spans="2:9" x14ac:dyDescent="0.2">
      <c r="E29" s="68"/>
    </row>
    <row r="31" spans="2:9" x14ac:dyDescent="0.2">
      <c r="I31" s="56"/>
    </row>
    <row r="45" spans="2:9" s="55" customFormat="1" ht="15.75" x14ac:dyDescent="0.25">
      <c r="B45" s="54"/>
      <c r="I45" s="49"/>
    </row>
    <row r="46" spans="2:9" ht="15.75" x14ac:dyDescent="0.25">
      <c r="D46" s="55"/>
    </row>
    <row r="58" spans="2:2" x14ac:dyDescent="0.2">
      <c r="B58" s="49"/>
    </row>
    <row r="66" spans="5:5" x14ac:dyDescent="0.2">
      <c r="E66" s="51"/>
    </row>
    <row r="67" spans="5:5" x14ac:dyDescent="0.2">
      <c r="E67" s="51"/>
    </row>
    <row r="68" spans="5:5" x14ac:dyDescent="0.2">
      <c r="E68" s="51"/>
    </row>
    <row r="69" spans="5:5" x14ac:dyDescent="0.2">
      <c r="E69" s="51"/>
    </row>
    <row r="70" spans="5:5" x14ac:dyDescent="0.2">
      <c r="E70" s="51"/>
    </row>
    <row r="71" spans="5:5" x14ac:dyDescent="0.2">
      <c r="E71" s="51"/>
    </row>
    <row r="72" spans="5:5" x14ac:dyDescent="0.2">
      <c r="E72" s="51"/>
    </row>
    <row r="73" spans="5:5" x14ac:dyDescent="0.2">
      <c r="E73" s="51"/>
    </row>
    <row r="74" spans="5:5" x14ac:dyDescent="0.2">
      <c r="E74" s="51"/>
    </row>
  </sheetData>
  <pageMargins left="0.75" right="0.75" top="1" bottom="1" header="0.5" footer="0.5"/>
  <headerFooter alignWithMargins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B2:N52"/>
  <sheetViews>
    <sheetView showGridLines="0" tabSelected="1" topLeftCell="B2" zoomScale="101" workbookViewId="0">
      <selection activeCell="D16" sqref="D16"/>
    </sheetView>
  </sheetViews>
  <sheetFormatPr defaultRowHeight="15" x14ac:dyDescent="0.25"/>
  <cols>
    <col min="2" max="2" width="37" bestFit="1" customWidth="1"/>
    <col min="3" max="3" width="21.140625" bestFit="1" customWidth="1"/>
    <col min="4" max="4" width="12.140625" bestFit="1" customWidth="1"/>
    <col min="10" max="11" width="10.42578125" customWidth="1"/>
    <col min="12" max="12" width="19.5703125" bestFit="1" customWidth="1"/>
  </cols>
  <sheetData>
    <row r="2" spans="2:14" ht="15.75" thickBot="1" x14ac:dyDescent="0.3">
      <c r="B2" s="148"/>
      <c r="C2" s="148" t="s">
        <v>149</v>
      </c>
      <c r="D2" s="148"/>
    </row>
    <row r="3" spans="2:14" ht="16.5" thickTop="1" thickBot="1" x14ac:dyDescent="0.3">
      <c r="B3" s="76">
        <v>2002</v>
      </c>
      <c r="C3" s="81">
        <v>86.868610000000004</v>
      </c>
      <c r="D3" s="81"/>
      <c r="F3" s="80"/>
      <c r="H3" s="207">
        <v>2002</v>
      </c>
      <c r="I3" s="207">
        <v>2013</v>
      </c>
      <c r="J3" s="150" t="s">
        <v>156</v>
      </c>
      <c r="K3" s="150"/>
      <c r="L3" s="208" t="s">
        <v>155</v>
      </c>
      <c r="M3" s="78"/>
      <c r="N3" s="78"/>
    </row>
    <row r="4" spans="2:14" ht="15.75" thickTop="1" x14ac:dyDescent="0.25">
      <c r="B4" s="76">
        <v>2013</v>
      </c>
      <c r="C4" s="81">
        <v>73.010000000000005</v>
      </c>
      <c r="D4" s="81"/>
      <c r="F4" s="80"/>
      <c r="G4" s="83"/>
      <c r="H4" s="81">
        <f>+C3</f>
        <v>86.868610000000004</v>
      </c>
      <c r="I4" s="81">
        <f>+C4</f>
        <v>73.010000000000005</v>
      </c>
      <c r="J4" s="81">
        <f>+C4</f>
        <v>73.010000000000005</v>
      </c>
      <c r="K4" s="81"/>
      <c r="L4" s="81">
        <f>+C4</f>
        <v>73.010000000000005</v>
      </c>
      <c r="M4" s="81"/>
    </row>
    <row r="5" spans="2:14" x14ac:dyDescent="0.25">
      <c r="B5" s="77" t="s">
        <v>147</v>
      </c>
      <c r="C5" s="81">
        <f>+C3-C4</f>
        <v>13.858609999999999</v>
      </c>
      <c r="D5" s="81"/>
      <c r="F5" s="80"/>
      <c r="G5" s="80"/>
      <c r="H5" s="81"/>
      <c r="I5" s="81">
        <f>+C5</f>
        <v>13.858609999999999</v>
      </c>
      <c r="J5" s="81">
        <f>+C6</f>
        <v>9.3360500000000002</v>
      </c>
      <c r="K5" s="81"/>
      <c r="L5" s="81">
        <f>+C9</f>
        <v>4.5225599999999986</v>
      </c>
      <c r="M5" s="81"/>
      <c r="N5" s="79"/>
    </row>
    <row r="6" spans="2:14" x14ac:dyDescent="0.25">
      <c r="B6" s="85" t="s">
        <v>157</v>
      </c>
      <c r="C6" s="82">
        <v>9.3360500000000002</v>
      </c>
      <c r="D6" s="87">
        <f>+C6/C5</f>
        <v>0.67366424194056984</v>
      </c>
      <c r="F6" s="80"/>
      <c r="G6" s="80"/>
      <c r="H6" s="84"/>
      <c r="I6" s="81"/>
      <c r="J6" s="81">
        <f>+C9</f>
        <v>4.5225599999999986</v>
      </c>
      <c r="K6" s="81"/>
      <c r="L6" s="81">
        <f>+D7</f>
        <v>-0.18086999999999875</v>
      </c>
    </row>
    <row r="7" spans="2:14" x14ac:dyDescent="0.25">
      <c r="B7" s="78" t="s">
        <v>154</v>
      </c>
      <c r="C7" s="81"/>
      <c r="D7" s="81">
        <f>+C6-D8</f>
        <v>-0.18086999999999875</v>
      </c>
      <c r="F7" s="80"/>
      <c r="G7" s="80"/>
      <c r="H7" s="84"/>
      <c r="I7" s="84"/>
      <c r="J7" s="84"/>
      <c r="K7" s="84"/>
      <c r="L7" s="81">
        <f>+D8</f>
        <v>9.5169199999999989</v>
      </c>
    </row>
    <row r="8" spans="2:14" x14ac:dyDescent="0.25">
      <c r="B8" s="78" t="s">
        <v>29</v>
      </c>
      <c r="C8" s="81"/>
      <c r="D8" s="81">
        <v>9.5169199999999989</v>
      </c>
      <c r="F8" s="80"/>
      <c r="G8" s="80"/>
      <c r="H8" s="75"/>
      <c r="I8" s="75"/>
    </row>
    <row r="9" spans="2:14" x14ac:dyDescent="0.25">
      <c r="B9" s="211" t="s">
        <v>158</v>
      </c>
      <c r="C9" s="212">
        <f>+C5-C6</f>
        <v>4.5225599999999986</v>
      </c>
      <c r="D9" s="213">
        <f>+C9/C5</f>
        <v>0.3263357580594301</v>
      </c>
      <c r="F9" s="80"/>
      <c r="G9" s="80"/>
    </row>
    <row r="17" spans="2:4" x14ac:dyDescent="0.25">
      <c r="B17" s="88" t="s">
        <v>273</v>
      </c>
      <c r="C17" s="88" t="s">
        <v>274</v>
      </c>
      <c r="D17" s="88" t="s">
        <v>275</v>
      </c>
    </row>
    <row r="18" spans="2:4" x14ac:dyDescent="0.25">
      <c r="B18" s="88">
        <v>1</v>
      </c>
      <c r="C18" s="88">
        <v>86.9</v>
      </c>
      <c r="D18" s="88" t="s">
        <v>279</v>
      </c>
    </row>
    <row r="19" spans="2:4" x14ac:dyDescent="0.25">
      <c r="B19" s="88">
        <v>2</v>
      </c>
      <c r="C19" s="88">
        <v>73</v>
      </c>
      <c r="D19" s="88" t="s">
        <v>280</v>
      </c>
    </row>
    <row r="20" spans="2:4" x14ac:dyDescent="0.25">
      <c r="B20" s="88">
        <v>2</v>
      </c>
      <c r="C20" s="88">
        <f>+C18-C19</f>
        <v>13.900000000000006</v>
      </c>
      <c r="D20" s="88" t="s">
        <v>278</v>
      </c>
    </row>
    <row r="21" spans="2:4" x14ac:dyDescent="0.25">
      <c r="B21" s="88">
        <v>3</v>
      </c>
      <c r="C21" s="88">
        <v>73</v>
      </c>
      <c r="D21" s="88" t="s">
        <v>281</v>
      </c>
    </row>
    <row r="22" spans="2:4" x14ac:dyDescent="0.25">
      <c r="B22" s="88">
        <v>3</v>
      </c>
      <c r="C22" s="88">
        <v>9.3000000000000007</v>
      </c>
      <c r="D22" s="88" t="s">
        <v>276</v>
      </c>
    </row>
    <row r="23" spans="2:4" x14ac:dyDescent="0.25">
      <c r="B23" s="88">
        <v>3</v>
      </c>
      <c r="C23" s="88">
        <v>4.5</v>
      </c>
      <c r="D23" s="88" t="s">
        <v>277</v>
      </c>
    </row>
    <row r="24" spans="2:4" x14ac:dyDescent="0.25">
      <c r="B24" s="88">
        <v>4</v>
      </c>
      <c r="C24" s="88">
        <v>86.9</v>
      </c>
      <c r="D24" s="88" t="s">
        <v>281</v>
      </c>
    </row>
    <row r="41" spans="2:4" x14ac:dyDescent="0.25">
      <c r="B41" s="2"/>
      <c r="C41" s="1"/>
    </row>
    <row r="42" spans="2:4" x14ac:dyDescent="0.25">
      <c r="C42" s="1"/>
      <c r="D42" s="74"/>
    </row>
    <row r="43" spans="2:4" x14ac:dyDescent="0.25">
      <c r="C43" s="1"/>
      <c r="D43" s="74"/>
    </row>
    <row r="44" spans="2:4" x14ac:dyDescent="0.25">
      <c r="C44" s="1"/>
      <c r="D44" s="74"/>
    </row>
    <row r="45" spans="2:4" x14ac:dyDescent="0.25">
      <c r="C45" s="1"/>
      <c r="D45" s="74"/>
    </row>
    <row r="46" spans="2:4" x14ac:dyDescent="0.25">
      <c r="C46" s="1"/>
      <c r="D46" s="74"/>
    </row>
    <row r="47" spans="2:4" x14ac:dyDescent="0.25">
      <c r="C47" s="1"/>
      <c r="D47" s="74"/>
    </row>
    <row r="48" spans="2:4" x14ac:dyDescent="0.25">
      <c r="C48" s="1"/>
      <c r="D48" s="74"/>
    </row>
    <row r="49" spans="3:4" x14ac:dyDescent="0.25">
      <c r="C49" s="1"/>
      <c r="D49" s="74"/>
    </row>
    <row r="50" spans="3:4" x14ac:dyDescent="0.25">
      <c r="C50" s="1"/>
      <c r="D50" s="74"/>
    </row>
    <row r="51" spans="3:4" x14ac:dyDescent="0.25">
      <c r="C51" s="1"/>
      <c r="D51" s="74"/>
    </row>
    <row r="52" spans="3:4" x14ac:dyDescent="0.25">
      <c r="C52" s="1"/>
      <c r="D52" s="74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2:N24"/>
  <sheetViews>
    <sheetView showGridLines="0" workbookViewId="0">
      <selection activeCell="M17" sqref="M17"/>
    </sheetView>
  </sheetViews>
  <sheetFormatPr defaultColWidth="9.140625" defaultRowHeight="15" x14ac:dyDescent="0.25"/>
  <cols>
    <col min="1" max="1" width="3" style="126" customWidth="1"/>
    <col min="2" max="16384" width="9.140625" style="126"/>
  </cols>
  <sheetData>
    <row r="2" spans="1:14" ht="15.75" thickBot="1" x14ac:dyDescent="0.3">
      <c r="B2" s="148"/>
      <c r="C2" s="148" t="s">
        <v>139</v>
      </c>
      <c r="D2" s="148" t="s">
        <v>34</v>
      </c>
      <c r="E2" s="148" t="s">
        <v>192</v>
      </c>
      <c r="F2" s="148" t="s">
        <v>193</v>
      </c>
      <c r="G2" s="148" t="s">
        <v>194</v>
      </c>
      <c r="H2" s="148" t="s">
        <v>195</v>
      </c>
      <c r="J2" s="148"/>
      <c r="K2" s="148" t="s">
        <v>192</v>
      </c>
      <c r="L2" s="148" t="s">
        <v>193</v>
      </c>
      <c r="M2" s="148" t="s">
        <v>194</v>
      </c>
      <c r="N2" s="148" t="s">
        <v>195</v>
      </c>
    </row>
    <row r="3" spans="1:14" ht="15.75" thickTop="1" x14ac:dyDescent="0.25">
      <c r="A3" s="136"/>
      <c r="B3" s="126" t="s">
        <v>2</v>
      </c>
      <c r="C3" s="136">
        <v>19.246400000000001</v>
      </c>
      <c r="D3" s="136">
        <v>78.533159999999995</v>
      </c>
      <c r="E3" s="136">
        <v>5.61076</v>
      </c>
      <c r="F3" s="136">
        <v>6.1751209999999999</v>
      </c>
      <c r="G3" s="136">
        <v>6.507479</v>
      </c>
      <c r="H3" s="136">
        <v>5.6626329999999996</v>
      </c>
      <c r="J3" s="209" t="s">
        <v>139</v>
      </c>
      <c r="K3" s="210">
        <f>+CORREL($C$3:$C$20,E3:E20)</f>
        <v>0.25451740397280548</v>
      </c>
      <c r="L3" s="210">
        <f t="shared" ref="L3:N3" si="0">+CORREL($C$3:$C$20,F3:F20)</f>
        <v>5.4840898324491051E-2</v>
      </c>
      <c r="M3" s="210">
        <f t="shared" si="0"/>
        <v>0.28078351183929251</v>
      </c>
      <c r="N3" s="210">
        <f t="shared" si="0"/>
        <v>0.41695222191630338</v>
      </c>
    </row>
    <row r="4" spans="1:14" x14ac:dyDescent="0.25">
      <c r="A4" s="136"/>
      <c r="B4" s="126" t="s">
        <v>3</v>
      </c>
      <c r="C4" s="136">
        <v>10.1869</v>
      </c>
      <c r="D4" s="136">
        <v>52.990659999999998</v>
      </c>
      <c r="E4" s="136">
        <v>6.8454110000000004</v>
      </c>
      <c r="F4" s="136">
        <v>6.7131780000000001</v>
      </c>
      <c r="G4" s="136">
        <v>7.5190840000000003</v>
      </c>
      <c r="H4" s="136">
        <v>6.3222659999999999</v>
      </c>
      <c r="J4" s="209" t="s">
        <v>34</v>
      </c>
      <c r="K4" s="210">
        <f>+CORREL($D$3:$D$20,E3:E20)</f>
        <v>0.28126637628588946</v>
      </c>
      <c r="L4" s="210">
        <f t="shared" ref="L4:N4" si="1">+CORREL($D$3:$D$20,F3:F20)</f>
        <v>0.17815940512923992</v>
      </c>
      <c r="M4" s="210">
        <f t="shared" si="1"/>
        <v>0.35311871514690424</v>
      </c>
      <c r="N4" s="210">
        <f t="shared" si="1"/>
        <v>0.4957179554435906</v>
      </c>
    </row>
    <row r="5" spans="1:14" x14ac:dyDescent="0.25">
      <c r="A5" s="136"/>
      <c r="B5" s="126" t="s">
        <v>4</v>
      </c>
      <c r="C5" s="136">
        <v>45.877600000000001</v>
      </c>
      <c r="D5" s="136">
        <v>92.326530000000005</v>
      </c>
      <c r="E5" s="136">
        <v>6.50176</v>
      </c>
      <c r="F5" s="136">
        <v>6.0580759999999998</v>
      </c>
      <c r="G5" s="136">
        <v>7.1560589999999999</v>
      </c>
      <c r="H5" s="136">
        <v>5.9084380000000003</v>
      </c>
    </row>
    <row r="6" spans="1:14" x14ac:dyDescent="0.25">
      <c r="A6" s="136"/>
      <c r="B6" s="126" t="s">
        <v>5</v>
      </c>
      <c r="C6" s="136">
        <v>46.469100000000005</v>
      </c>
      <c r="D6" s="136">
        <v>94.941569999999999</v>
      </c>
      <c r="E6" s="136">
        <v>6.9144119999999996</v>
      </c>
      <c r="F6" s="136">
        <v>6.1945079999999999</v>
      </c>
      <c r="G6" s="136">
        <v>7.2219559999999996</v>
      </c>
      <c r="H6" s="136">
        <v>6.5979450000000002</v>
      </c>
    </row>
    <row r="7" spans="1:14" x14ac:dyDescent="0.25">
      <c r="A7" s="136"/>
      <c r="B7" s="126" t="s">
        <v>6</v>
      </c>
      <c r="C7" s="136">
        <v>35.171300000000002</v>
      </c>
      <c r="D7" s="136">
        <v>85.589370000000002</v>
      </c>
      <c r="E7" s="136">
        <v>7.2174129999999996</v>
      </c>
      <c r="F7" s="136">
        <v>6.5935790000000001</v>
      </c>
      <c r="G7" s="136">
        <v>8.0036129999999996</v>
      </c>
      <c r="H7" s="136">
        <v>6.9337369999999998</v>
      </c>
    </row>
    <row r="8" spans="1:14" x14ac:dyDescent="0.25">
      <c r="A8" s="136"/>
      <c r="B8" s="126" t="s">
        <v>7</v>
      </c>
      <c r="C8" s="136">
        <v>29.8047</v>
      </c>
      <c r="D8" s="136">
        <v>81.294970000000006</v>
      </c>
      <c r="E8" s="136">
        <v>6.3558789999999998</v>
      </c>
      <c r="F8" s="136">
        <v>6.9269309999999997</v>
      </c>
      <c r="G8" s="136">
        <v>7.2168049999999999</v>
      </c>
      <c r="H8" s="136">
        <v>6.4309630000000002</v>
      </c>
    </row>
    <row r="9" spans="1:14" x14ac:dyDescent="0.25">
      <c r="A9" s="136"/>
      <c r="B9" s="126" t="s">
        <v>8</v>
      </c>
      <c r="C9" s="136">
        <v>22.398599999999998</v>
      </c>
      <c r="D9" s="136">
        <v>74.406750000000002</v>
      </c>
      <c r="E9" s="136">
        <v>7.6212999999999997</v>
      </c>
      <c r="F9" s="136">
        <v>7.5247719999999996</v>
      </c>
      <c r="G9" s="136">
        <v>8.3178040000000006</v>
      </c>
      <c r="H9" s="136">
        <v>6.174728</v>
      </c>
    </row>
    <row r="10" spans="1:14" x14ac:dyDescent="0.25">
      <c r="A10" s="136"/>
      <c r="B10" s="126" t="s">
        <v>9</v>
      </c>
      <c r="C10" s="136">
        <v>12.694100000000001</v>
      </c>
      <c r="D10" s="136">
        <v>46.210039999999999</v>
      </c>
      <c r="E10" s="136">
        <v>4.641527</v>
      </c>
      <c r="F10" s="136">
        <v>4.475746</v>
      </c>
      <c r="G10" s="136">
        <v>5.0893860000000002</v>
      </c>
      <c r="H10" s="136">
        <v>4.2663549999999999</v>
      </c>
    </row>
    <row r="11" spans="1:14" x14ac:dyDescent="0.25">
      <c r="A11" s="136"/>
      <c r="B11" s="126" t="s">
        <v>10</v>
      </c>
      <c r="C11" s="136">
        <v>30.019299999999998</v>
      </c>
      <c r="D11" s="136">
        <v>78.605419999999995</v>
      </c>
      <c r="E11" s="136">
        <v>6.2086620000000003</v>
      </c>
      <c r="F11" s="136">
        <v>6.0113519999999996</v>
      </c>
      <c r="G11" s="136">
        <v>7.6101400000000003</v>
      </c>
      <c r="H11" s="136">
        <v>6.0843959999999999</v>
      </c>
    </row>
    <row r="12" spans="1:14" x14ac:dyDescent="0.25">
      <c r="A12" s="136"/>
      <c r="B12" s="126" t="s">
        <v>11</v>
      </c>
      <c r="C12" s="136">
        <v>30.363499999999998</v>
      </c>
      <c r="D12" s="136">
        <v>79.836330000000004</v>
      </c>
      <c r="E12" s="136">
        <v>6.9609059999999996</v>
      </c>
      <c r="F12" s="136">
        <v>6.3611620000000002</v>
      </c>
      <c r="G12" s="136">
        <v>7.9361439999999996</v>
      </c>
      <c r="H12" s="136">
        <v>6.2091329999999996</v>
      </c>
    </row>
    <row r="13" spans="1:14" x14ac:dyDescent="0.25">
      <c r="A13" s="136"/>
      <c r="B13" s="126" t="s">
        <v>12</v>
      </c>
      <c r="C13" s="136">
        <v>34.641599999999997</v>
      </c>
      <c r="D13" s="136">
        <v>82.423209999999997</v>
      </c>
      <c r="E13" s="136">
        <v>6.5917310000000002</v>
      </c>
      <c r="F13" s="136">
        <v>6.4776119999999997</v>
      </c>
      <c r="G13" s="136">
        <v>7.3330450000000003</v>
      </c>
      <c r="H13" s="136">
        <v>6.133451</v>
      </c>
    </row>
    <row r="14" spans="1:14" x14ac:dyDescent="0.25">
      <c r="A14" s="136"/>
      <c r="B14" s="126" t="s">
        <v>13</v>
      </c>
      <c r="C14" s="136">
        <v>11.4796</v>
      </c>
      <c r="D14" s="136">
        <v>57.824069999999999</v>
      </c>
      <c r="E14" s="136">
        <v>7.2365589999999997</v>
      </c>
      <c r="F14" s="136">
        <v>6.8761799999999997</v>
      </c>
      <c r="G14" s="136">
        <v>7.3698170000000003</v>
      </c>
      <c r="H14" s="136">
        <v>6.2470280000000002</v>
      </c>
    </row>
    <row r="15" spans="1:14" x14ac:dyDescent="0.25">
      <c r="A15" s="136"/>
      <c r="B15" s="126" t="s">
        <v>14</v>
      </c>
      <c r="C15" s="136">
        <v>18.997900000000001</v>
      </c>
      <c r="D15" s="136">
        <v>62.108559999999997</v>
      </c>
      <c r="E15" s="136">
        <v>6.4299359999999997</v>
      </c>
      <c r="F15" s="136">
        <v>6.3822270000000003</v>
      </c>
      <c r="G15" s="136">
        <v>7.0274549999999998</v>
      </c>
      <c r="H15" s="136">
        <v>5.8433479999999998</v>
      </c>
    </row>
    <row r="16" spans="1:14" x14ac:dyDescent="0.25">
      <c r="A16" s="136"/>
      <c r="B16" s="126" t="s">
        <v>15</v>
      </c>
      <c r="C16" s="136">
        <v>21.038499999999999</v>
      </c>
      <c r="D16" s="136">
        <v>82.273949999999999</v>
      </c>
      <c r="E16" s="136">
        <v>6.1950770000000004</v>
      </c>
      <c r="F16" s="136">
        <v>6.2173910000000001</v>
      </c>
      <c r="G16" s="136">
        <v>6.7123290000000004</v>
      </c>
      <c r="H16" s="136">
        <v>6.0027679999999997</v>
      </c>
    </row>
    <row r="17" spans="1:14" x14ac:dyDescent="0.25">
      <c r="A17" s="136"/>
      <c r="B17" s="126" t="s">
        <v>16</v>
      </c>
      <c r="C17" s="136">
        <v>33.464199999999998</v>
      </c>
      <c r="D17" s="136">
        <v>85.678319999999999</v>
      </c>
      <c r="E17" s="136">
        <v>6.4953209999999997</v>
      </c>
      <c r="F17" s="136">
        <v>5.9458000000000002</v>
      </c>
      <c r="G17" s="136">
        <v>7.0395079999999997</v>
      </c>
      <c r="H17" s="136">
        <v>5.8325709999999997</v>
      </c>
    </row>
    <row r="18" spans="1:14" x14ac:dyDescent="0.25">
      <c r="A18" s="136"/>
      <c r="B18" s="126" t="s">
        <v>17</v>
      </c>
      <c r="C18" s="136">
        <v>20.097899999999999</v>
      </c>
      <c r="D18" s="136">
        <v>76.740939999999995</v>
      </c>
      <c r="E18" s="136">
        <v>5.078354</v>
      </c>
      <c r="F18" s="136">
        <v>5.0082779999999998</v>
      </c>
      <c r="G18" s="136">
        <v>5.9766000000000004</v>
      </c>
      <c r="H18" s="136">
        <v>5.2733220000000003</v>
      </c>
    </row>
    <row r="19" spans="1:14" x14ac:dyDescent="0.25">
      <c r="A19" s="136"/>
      <c r="B19" s="126" t="s">
        <v>18</v>
      </c>
      <c r="C19" s="136">
        <v>9.5113000000000003</v>
      </c>
      <c r="D19" s="136">
        <v>65.706810000000004</v>
      </c>
      <c r="E19" s="136">
        <v>5.8181010000000004</v>
      </c>
      <c r="F19" s="136">
        <v>6.2090740000000002</v>
      </c>
      <c r="G19" s="136">
        <v>6.4487629999999996</v>
      </c>
      <c r="H19" s="136">
        <v>5.0350400000000004</v>
      </c>
    </row>
    <row r="20" spans="1:14" x14ac:dyDescent="0.25">
      <c r="A20" s="136"/>
      <c r="B20" s="126" t="s">
        <v>19</v>
      </c>
      <c r="C20" s="136">
        <v>33.448</v>
      </c>
      <c r="D20" s="136">
        <v>74.032679999999999</v>
      </c>
      <c r="E20" s="136">
        <v>5.32463</v>
      </c>
      <c r="F20" s="136">
        <v>5.8472949999999999</v>
      </c>
      <c r="G20" s="136">
        <v>5.7417389999999999</v>
      </c>
      <c r="H20" s="136">
        <v>5.0635329999999996</v>
      </c>
    </row>
    <row r="23" spans="1:14" ht="15.75" thickBot="1" x14ac:dyDescent="0.3">
      <c r="B23" s="148" t="s">
        <v>139</v>
      </c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48" t="s">
        <v>34</v>
      </c>
      <c r="N23" s="127"/>
    </row>
    <row r="24" spans="1:14" ht="15.75" thickTop="1" x14ac:dyDescent="0.25"/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/>
  <dimension ref="B2:M47"/>
  <sheetViews>
    <sheetView showGridLines="0" workbookViewId="0">
      <selection activeCell="C33" sqref="C33"/>
    </sheetView>
  </sheetViews>
  <sheetFormatPr defaultColWidth="9.140625" defaultRowHeight="15.75" x14ac:dyDescent="0.25"/>
  <cols>
    <col min="1" max="1" width="9.140625" style="227"/>
    <col min="2" max="2" width="27.7109375" style="219" bestFit="1" customWidth="1"/>
    <col min="3" max="3" width="12.28515625" style="218" bestFit="1" customWidth="1"/>
    <col min="4" max="4" width="7.5703125" style="217" bestFit="1" customWidth="1"/>
    <col min="5" max="5" width="9.42578125" style="217" customWidth="1"/>
    <col min="6" max="6" width="1.42578125" style="227" customWidth="1"/>
    <col min="7" max="7" width="12.28515625" style="231" bestFit="1" customWidth="1"/>
    <col min="8" max="8" width="7.5703125" style="231" bestFit="1" customWidth="1"/>
    <col min="9" max="9" width="9.42578125" style="227" customWidth="1"/>
    <col min="10" max="10" width="1.42578125" style="227" customWidth="1"/>
    <col min="11" max="11" width="12.28515625" style="227" bestFit="1" customWidth="1"/>
    <col min="12" max="12" width="7.5703125" style="227" bestFit="1" customWidth="1"/>
    <col min="13" max="13" width="9.140625" style="227" customWidth="1"/>
    <col min="14" max="15" width="9.140625" style="227"/>
    <col min="16" max="16" width="1.42578125" style="227" customWidth="1"/>
    <col min="17" max="16384" width="9.140625" style="227"/>
  </cols>
  <sheetData>
    <row r="2" spans="2:13" x14ac:dyDescent="0.25">
      <c r="B2" s="259" t="s">
        <v>144</v>
      </c>
      <c r="C2" s="257" t="s">
        <v>207</v>
      </c>
      <c r="D2" s="257"/>
      <c r="E2" s="257"/>
      <c r="F2" s="226"/>
      <c r="G2" s="258" t="s">
        <v>208</v>
      </c>
      <c r="H2" s="258"/>
      <c r="I2" s="258"/>
      <c r="J2" s="226"/>
      <c r="K2" s="258" t="s">
        <v>209</v>
      </c>
      <c r="L2" s="258"/>
      <c r="M2" s="258"/>
    </row>
    <row r="3" spans="2:13" x14ac:dyDescent="0.25">
      <c r="B3" s="260"/>
      <c r="C3" s="221" t="s">
        <v>205</v>
      </c>
      <c r="D3" s="220" t="s">
        <v>204</v>
      </c>
      <c r="E3" s="220" t="s">
        <v>206</v>
      </c>
      <c r="F3" s="228"/>
      <c r="G3" s="221" t="s">
        <v>205</v>
      </c>
      <c r="H3" s="220" t="s">
        <v>204</v>
      </c>
      <c r="I3" s="220" t="s">
        <v>206</v>
      </c>
      <c r="J3" s="228"/>
      <c r="K3" s="221" t="s">
        <v>205</v>
      </c>
      <c r="L3" s="220" t="s">
        <v>204</v>
      </c>
      <c r="M3" s="220" t="s">
        <v>206</v>
      </c>
    </row>
    <row r="4" spans="2:13" ht="16.5" thickBot="1" x14ac:dyDescent="0.3">
      <c r="B4" s="261"/>
      <c r="C4" s="224" t="s">
        <v>159</v>
      </c>
      <c r="D4" s="225" t="s">
        <v>160</v>
      </c>
      <c r="E4" s="225" t="s">
        <v>161</v>
      </c>
      <c r="F4" s="229"/>
      <c r="G4" s="224" t="s">
        <v>210</v>
      </c>
      <c r="H4" s="225" t="s">
        <v>211</v>
      </c>
      <c r="I4" s="225" t="s">
        <v>212</v>
      </c>
      <c r="J4" s="229"/>
      <c r="K4" s="224" t="s">
        <v>213</v>
      </c>
      <c r="L4" s="225" t="s">
        <v>214</v>
      </c>
      <c r="M4" s="225" t="s">
        <v>215</v>
      </c>
    </row>
    <row r="5" spans="2:13" ht="16.5" thickTop="1" x14ac:dyDescent="0.25">
      <c r="B5" s="222" t="s">
        <v>131</v>
      </c>
      <c r="C5" s="233">
        <v>0.38810865999999999</v>
      </c>
      <c r="D5" s="233">
        <v>0.35589334</v>
      </c>
      <c r="E5" s="233">
        <v>9.6111249999999995E-2</v>
      </c>
      <c r="F5" s="233"/>
      <c r="G5" s="233">
        <v>0.84136040000000001</v>
      </c>
      <c r="H5" s="233">
        <v>0.82218541000000001</v>
      </c>
      <c r="I5" s="233">
        <v>0.25119079999999999</v>
      </c>
      <c r="J5" s="233"/>
      <c r="K5" s="233">
        <v>0.39156120166666664</v>
      </c>
      <c r="L5" s="233">
        <v>0.27793982500000003</v>
      </c>
      <c r="M5" s="233">
        <v>0.14657071555555556</v>
      </c>
    </row>
    <row r="6" spans="2:13" x14ac:dyDescent="0.25">
      <c r="B6" s="223"/>
      <c r="C6" s="234" t="s">
        <v>216</v>
      </c>
      <c r="D6" s="234" t="s">
        <v>216</v>
      </c>
      <c r="E6" s="234" t="s">
        <v>203</v>
      </c>
      <c r="F6" s="234"/>
      <c r="G6" s="237" t="s">
        <v>232</v>
      </c>
      <c r="H6" s="234" t="s">
        <v>217</v>
      </c>
      <c r="I6" s="234" t="s">
        <v>218</v>
      </c>
      <c r="J6" s="234"/>
      <c r="K6" s="234" t="s">
        <v>216</v>
      </c>
      <c r="L6" s="234" t="s">
        <v>216</v>
      </c>
      <c r="M6" s="234" t="s">
        <v>203</v>
      </c>
    </row>
    <row r="7" spans="2:13" x14ac:dyDescent="0.25">
      <c r="B7" s="222" t="s">
        <v>133</v>
      </c>
      <c r="C7" s="233">
        <v>0.38533682000000002</v>
      </c>
      <c r="D7" s="233">
        <v>0.38459631</v>
      </c>
      <c r="E7" s="233">
        <v>5.1538550000000002E-2</v>
      </c>
      <c r="F7" s="233"/>
      <c r="G7" s="233">
        <v>0.84988395000000005</v>
      </c>
      <c r="H7" s="233">
        <v>0.82283023</v>
      </c>
      <c r="I7" s="233">
        <v>0.26793176000000002</v>
      </c>
      <c r="J7" s="233"/>
      <c r="K7" s="233">
        <v>0.32585760166666666</v>
      </c>
      <c r="L7" s="233">
        <v>0.19587608833333331</v>
      </c>
      <c r="M7" s="233">
        <v>0.18094955111111111</v>
      </c>
    </row>
    <row r="8" spans="2:13" x14ac:dyDescent="0.25">
      <c r="B8" s="223"/>
      <c r="C8" s="234" t="s">
        <v>216</v>
      </c>
      <c r="D8" s="234" t="s">
        <v>216</v>
      </c>
      <c r="E8" s="234" t="s">
        <v>203</v>
      </c>
      <c r="F8" s="234"/>
      <c r="G8" s="234" t="s">
        <v>203</v>
      </c>
      <c r="H8" s="234" t="s">
        <v>217</v>
      </c>
      <c r="I8" s="234" t="s">
        <v>218</v>
      </c>
      <c r="J8" s="234"/>
      <c r="K8" s="234" t="s">
        <v>216</v>
      </c>
      <c r="L8" s="234" t="s">
        <v>216</v>
      </c>
      <c r="M8" s="234" t="s">
        <v>203</v>
      </c>
    </row>
    <row r="9" spans="2:13" x14ac:dyDescent="0.25">
      <c r="B9" s="222" t="s">
        <v>135</v>
      </c>
      <c r="C9" s="233">
        <v>0.38286938999999998</v>
      </c>
      <c r="D9" s="233">
        <v>0.35060788999999998</v>
      </c>
      <c r="E9" s="233">
        <v>9.5489519999999994E-2</v>
      </c>
      <c r="F9" s="233"/>
      <c r="G9" s="233">
        <v>0.84291282999999995</v>
      </c>
      <c r="H9" s="233">
        <v>0.82277429999999996</v>
      </c>
      <c r="I9" s="233">
        <v>0.25336893999999999</v>
      </c>
      <c r="J9" s="233"/>
      <c r="K9" s="233">
        <v>0.37413652166666667</v>
      </c>
      <c r="L9" s="233">
        <v>0.25562001333333328</v>
      </c>
      <c r="M9" s="233">
        <v>0.14988997444444443</v>
      </c>
    </row>
    <row r="10" spans="2:13" x14ac:dyDescent="0.25">
      <c r="B10" s="223"/>
      <c r="C10" s="234" t="s">
        <v>216</v>
      </c>
      <c r="D10" s="234" t="s">
        <v>216</v>
      </c>
      <c r="E10" s="234" t="s">
        <v>203</v>
      </c>
      <c r="F10" s="234"/>
      <c r="G10" s="237" t="s">
        <v>232</v>
      </c>
      <c r="H10" s="234" t="s">
        <v>217</v>
      </c>
      <c r="I10" s="234" t="s">
        <v>218</v>
      </c>
      <c r="J10" s="234"/>
      <c r="K10" s="234" t="s">
        <v>216</v>
      </c>
      <c r="L10" s="234" t="s">
        <v>216</v>
      </c>
      <c r="M10" s="234" t="s">
        <v>203</v>
      </c>
    </row>
    <row r="11" spans="2:13" x14ac:dyDescent="0.25">
      <c r="B11" s="222" t="s">
        <v>136</v>
      </c>
      <c r="C11" s="233">
        <v>0.35827509000000002</v>
      </c>
      <c r="D11" s="233">
        <v>0.30070954</v>
      </c>
      <c r="E11" s="233">
        <v>0.12780847000000001</v>
      </c>
      <c r="F11" s="233"/>
      <c r="G11" s="233">
        <v>0.83698362000000004</v>
      </c>
      <c r="H11" s="233">
        <v>0.81862546999999997</v>
      </c>
      <c r="I11" s="233">
        <v>0.24855932</v>
      </c>
      <c r="J11" s="233"/>
      <c r="K11" s="233">
        <v>0.38038920444444441</v>
      </c>
      <c r="L11" s="233">
        <v>0.27993893777777779</v>
      </c>
      <c r="M11" s="233">
        <v>0.12715948444444447</v>
      </c>
    </row>
    <row r="12" spans="2:13" x14ac:dyDescent="0.25">
      <c r="B12" s="223"/>
      <c r="C12" s="234" t="s">
        <v>216</v>
      </c>
      <c r="D12" s="234" t="s">
        <v>202</v>
      </c>
      <c r="E12" s="234" t="s">
        <v>203</v>
      </c>
      <c r="F12" s="234"/>
      <c r="G12" s="237" t="s">
        <v>232</v>
      </c>
      <c r="H12" s="234" t="s">
        <v>217</v>
      </c>
      <c r="I12" s="234" t="s">
        <v>219</v>
      </c>
      <c r="J12" s="234"/>
      <c r="K12" s="234" t="s">
        <v>216</v>
      </c>
      <c r="L12" s="234" t="s">
        <v>202</v>
      </c>
      <c r="M12" s="234" t="s">
        <v>203</v>
      </c>
    </row>
    <row r="13" spans="2:13" x14ac:dyDescent="0.25">
      <c r="B13" s="222" t="s">
        <v>132</v>
      </c>
      <c r="C13" s="233">
        <v>0.35203810000000002</v>
      </c>
      <c r="D13" s="233">
        <v>0.28817439</v>
      </c>
      <c r="E13" s="233">
        <v>0.1358375</v>
      </c>
      <c r="F13" s="233"/>
      <c r="G13" s="233">
        <v>0.83719288000000003</v>
      </c>
      <c r="H13" s="233">
        <v>0.81801193000000005</v>
      </c>
      <c r="I13" s="233">
        <v>0.25013299999999999</v>
      </c>
      <c r="J13" s="233"/>
      <c r="K13" s="233">
        <v>0.37997319500000004</v>
      </c>
      <c r="L13" s="233">
        <v>0.28152541333333336</v>
      </c>
      <c r="M13" s="233">
        <v>0.1250616033333333</v>
      </c>
    </row>
    <row r="14" spans="2:13" x14ac:dyDescent="0.25">
      <c r="B14" s="223"/>
      <c r="C14" s="234" t="s">
        <v>216</v>
      </c>
      <c r="D14" s="234" t="s">
        <v>202</v>
      </c>
      <c r="E14" s="234" t="s">
        <v>203</v>
      </c>
      <c r="F14" s="234"/>
      <c r="G14" s="237" t="s">
        <v>232</v>
      </c>
      <c r="H14" s="234" t="s">
        <v>217</v>
      </c>
      <c r="I14" s="234" t="s">
        <v>219</v>
      </c>
      <c r="J14" s="234"/>
      <c r="K14" s="234" t="s">
        <v>216</v>
      </c>
      <c r="L14" s="234" t="s">
        <v>202</v>
      </c>
      <c r="M14" s="234" t="s">
        <v>203</v>
      </c>
    </row>
    <row r="15" spans="2:13" x14ac:dyDescent="0.25">
      <c r="B15" s="222" t="s">
        <v>22</v>
      </c>
      <c r="C15" s="233">
        <v>0.32955287</v>
      </c>
      <c r="D15" s="233">
        <v>0.36321207</v>
      </c>
      <c r="E15" s="233">
        <v>-4.0897299999999998E-3</v>
      </c>
      <c r="F15" s="233"/>
      <c r="G15" s="233">
        <v>0.77963404000000003</v>
      </c>
      <c r="H15" s="233">
        <v>0.78343591999999995</v>
      </c>
      <c r="I15" s="233">
        <v>0.19291391999999999</v>
      </c>
      <c r="J15" s="233"/>
      <c r="K15" s="233">
        <v>0.18410750944444448</v>
      </c>
      <c r="L15" s="233">
        <v>0.19662595055555557</v>
      </c>
      <c r="M15" s="233">
        <v>9.7643888888888891E-2</v>
      </c>
    </row>
    <row r="16" spans="2:13" x14ac:dyDescent="0.25">
      <c r="B16" s="223"/>
      <c r="C16" s="234" t="s">
        <v>202</v>
      </c>
      <c r="D16" s="234" t="s">
        <v>202</v>
      </c>
      <c r="E16" s="234" t="s">
        <v>203</v>
      </c>
      <c r="F16" s="234"/>
      <c r="G16" s="234" t="s">
        <v>220</v>
      </c>
      <c r="H16" s="234" t="s">
        <v>217</v>
      </c>
      <c r="I16" s="234" t="s">
        <v>221</v>
      </c>
      <c r="J16" s="234"/>
      <c r="K16" s="234" t="s">
        <v>202</v>
      </c>
      <c r="L16" s="234" t="s">
        <v>202</v>
      </c>
      <c r="M16" s="234" t="s">
        <v>203</v>
      </c>
    </row>
    <row r="17" spans="2:13" x14ac:dyDescent="0.25">
      <c r="B17" s="222" t="s">
        <v>24</v>
      </c>
      <c r="C17" s="233">
        <v>0.29344055000000002</v>
      </c>
      <c r="D17" s="233">
        <v>0.14715250999999999</v>
      </c>
      <c r="E17" s="233">
        <v>0.24393139</v>
      </c>
      <c r="F17" s="233"/>
      <c r="G17" s="233">
        <v>0.80430502999999998</v>
      </c>
      <c r="H17" s="233">
        <v>0.77615308999999999</v>
      </c>
      <c r="I17" s="233">
        <v>0.25827178000000001</v>
      </c>
      <c r="J17" s="233"/>
      <c r="K17" s="233">
        <v>0.35801551722222225</v>
      </c>
      <c r="L17" s="233">
        <v>0.29120725944444448</v>
      </c>
      <c r="M17" s="233">
        <v>0.12068013166666668</v>
      </c>
    </row>
    <row r="18" spans="2:13" x14ac:dyDescent="0.25">
      <c r="B18" s="223"/>
      <c r="C18" s="234" t="s">
        <v>216</v>
      </c>
      <c r="D18" s="234" t="s">
        <v>203</v>
      </c>
      <c r="E18" s="234" t="s">
        <v>202</v>
      </c>
      <c r="F18" s="234"/>
      <c r="G18" s="234" t="s">
        <v>201</v>
      </c>
      <c r="H18" s="234" t="s">
        <v>222</v>
      </c>
      <c r="I18" s="234" t="s">
        <v>226</v>
      </c>
      <c r="J18" s="234"/>
      <c r="K18" s="234" t="s">
        <v>216</v>
      </c>
      <c r="L18" s="234" t="s">
        <v>203</v>
      </c>
      <c r="M18" s="234" t="s">
        <v>202</v>
      </c>
    </row>
    <row r="19" spans="2:13" x14ac:dyDescent="0.25">
      <c r="B19" s="222" t="s">
        <v>134</v>
      </c>
      <c r="C19" s="233">
        <v>0.29202813999999999</v>
      </c>
      <c r="D19" s="233">
        <v>0.34977174999999999</v>
      </c>
      <c r="E19" s="233">
        <v>-4.2836180000000001E-2</v>
      </c>
      <c r="F19" s="233"/>
      <c r="G19" s="233">
        <v>0.79842088</v>
      </c>
      <c r="H19" s="233">
        <v>0.71990381000000003</v>
      </c>
      <c r="I19" s="233">
        <v>0.34980666999999999</v>
      </c>
      <c r="J19" s="233"/>
      <c r="K19" s="233">
        <v>0.17752865388888886</v>
      </c>
      <c r="L19" s="233">
        <v>9.4932472777777804E-2</v>
      </c>
      <c r="M19" s="233">
        <v>0.19226702444444449</v>
      </c>
    </row>
    <row r="20" spans="2:13" x14ac:dyDescent="0.25">
      <c r="B20" s="223"/>
      <c r="C20" s="234" t="s">
        <v>223</v>
      </c>
      <c r="D20" s="234" t="s">
        <v>202</v>
      </c>
      <c r="E20" s="234" t="s">
        <v>202</v>
      </c>
      <c r="F20" s="234"/>
      <c r="G20" s="234" t="s">
        <v>201</v>
      </c>
      <c r="H20" s="234" t="s">
        <v>225</v>
      </c>
      <c r="I20" s="234" t="s">
        <v>219</v>
      </c>
      <c r="J20" s="234"/>
      <c r="K20" s="234" t="s">
        <v>223</v>
      </c>
      <c r="L20" s="234" t="s">
        <v>202</v>
      </c>
      <c r="M20" s="234" t="s">
        <v>202</v>
      </c>
    </row>
    <row r="21" spans="2:13" x14ac:dyDescent="0.25">
      <c r="B21" s="222" t="s">
        <v>25</v>
      </c>
      <c r="C21" s="233">
        <v>0.23151631</v>
      </c>
      <c r="D21" s="233">
        <v>0.10325586</v>
      </c>
      <c r="E21" s="233">
        <v>0.21049470000000001</v>
      </c>
      <c r="F21" s="233"/>
      <c r="G21" s="233">
        <v>0.81185481000000004</v>
      </c>
      <c r="H21" s="233">
        <v>0.78842643999999995</v>
      </c>
      <c r="I21" s="233">
        <v>0.25148158999999998</v>
      </c>
      <c r="J21" s="233"/>
      <c r="K21" s="233">
        <v>0.30272834055555559</v>
      </c>
      <c r="L21" s="233">
        <v>0.29751996166666667</v>
      </c>
      <c r="M21" s="233">
        <v>7.167801111111112E-2</v>
      </c>
    </row>
    <row r="22" spans="2:13" x14ac:dyDescent="0.25">
      <c r="B22" s="223"/>
      <c r="C22" s="234" t="s">
        <v>216</v>
      </c>
      <c r="D22" s="234" t="s">
        <v>202</v>
      </c>
      <c r="E22" s="234" t="s">
        <v>202</v>
      </c>
      <c r="F22" s="234"/>
      <c r="G22" s="234" t="s">
        <v>201</v>
      </c>
      <c r="H22" s="234" t="s">
        <v>222</v>
      </c>
      <c r="I22" s="234" t="s">
        <v>230</v>
      </c>
      <c r="J22" s="234"/>
      <c r="K22" s="234" t="s">
        <v>216</v>
      </c>
      <c r="L22" s="234" t="s">
        <v>202</v>
      </c>
      <c r="M22" s="234" t="s">
        <v>202</v>
      </c>
    </row>
    <row r="23" spans="2:13" x14ac:dyDescent="0.25">
      <c r="B23" s="222" t="s">
        <v>26</v>
      </c>
      <c r="C23" s="233">
        <v>-8.321199E-2</v>
      </c>
      <c r="D23" s="233">
        <v>-5.1663300000000002E-3</v>
      </c>
      <c r="E23" s="233">
        <v>-0.12052778</v>
      </c>
      <c r="F23" s="233"/>
      <c r="G23" s="233">
        <v>-0.24735825</v>
      </c>
      <c r="H23" s="233">
        <v>0.10016944999999999</v>
      </c>
      <c r="I23" s="233">
        <v>-0.70545360999999995</v>
      </c>
      <c r="J23" s="233"/>
      <c r="K23" s="233">
        <v>-5.9462841111111095E-2</v>
      </c>
      <c r="L23" s="233">
        <v>4.0251902777777772E-2</v>
      </c>
      <c r="M23" s="233">
        <v>-0.11892652166666667</v>
      </c>
    </row>
    <row r="24" spans="2:13" x14ac:dyDescent="0.25">
      <c r="B24" s="223"/>
      <c r="C24" s="234" t="s">
        <v>216</v>
      </c>
      <c r="D24" s="234" t="s">
        <v>202</v>
      </c>
      <c r="E24" s="234" t="s">
        <v>202</v>
      </c>
      <c r="F24" s="234"/>
      <c r="G24" s="234" t="s">
        <v>249</v>
      </c>
      <c r="H24" s="234" t="s">
        <v>227</v>
      </c>
      <c r="I24" s="234" t="s">
        <v>250</v>
      </c>
      <c r="J24" s="234"/>
      <c r="K24" s="234" t="s">
        <v>216</v>
      </c>
      <c r="L24" s="234" t="s">
        <v>202</v>
      </c>
      <c r="M24" s="234" t="s">
        <v>202</v>
      </c>
    </row>
    <row r="25" spans="2:13" x14ac:dyDescent="0.25">
      <c r="B25" s="222" t="s">
        <v>23</v>
      </c>
      <c r="C25" s="233">
        <v>-0.20974709</v>
      </c>
      <c r="D25" s="233">
        <v>-0.10212758</v>
      </c>
      <c r="E25" s="233">
        <v>-0.17864959</v>
      </c>
      <c r="F25" s="233"/>
      <c r="G25" s="233">
        <v>-0.71187060000000002</v>
      </c>
      <c r="H25" s="233">
        <v>-0.46338112999999997</v>
      </c>
      <c r="I25" s="233">
        <v>-0.64161614</v>
      </c>
      <c r="J25" s="233"/>
      <c r="K25" s="233">
        <v>-0.17873519722222225</v>
      </c>
      <c r="L25" s="233">
        <v>-0.10050412277777777</v>
      </c>
      <c r="M25" s="233">
        <v>-0.21770696944444445</v>
      </c>
    </row>
    <row r="26" spans="2:13" x14ac:dyDescent="0.25">
      <c r="B26" s="223"/>
      <c r="C26" s="234" t="s">
        <v>203</v>
      </c>
      <c r="D26" s="237" t="s">
        <v>232</v>
      </c>
      <c r="E26" s="234" t="s">
        <v>202</v>
      </c>
      <c r="F26" s="234"/>
      <c r="G26" s="234" t="s">
        <v>228</v>
      </c>
      <c r="H26" s="234" t="s">
        <v>229</v>
      </c>
      <c r="I26" s="234" t="s">
        <v>251</v>
      </c>
      <c r="J26" s="234"/>
      <c r="K26" s="234" t="s">
        <v>203</v>
      </c>
      <c r="L26" s="237" t="s">
        <v>232</v>
      </c>
      <c r="M26" s="234" t="s">
        <v>202</v>
      </c>
    </row>
    <row r="27" spans="2:13" x14ac:dyDescent="0.25">
      <c r="B27" s="222" t="s">
        <v>199</v>
      </c>
      <c r="C27" s="233">
        <v>-0.30705612999999998</v>
      </c>
      <c r="D27" s="233">
        <v>-0.18093096</v>
      </c>
      <c r="E27" s="233">
        <v>-0.21739496</v>
      </c>
      <c r="F27" s="233"/>
      <c r="G27" s="233">
        <v>-0.79594697000000003</v>
      </c>
      <c r="H27" s="233">
        <v>-0.63816331999999998</v>
      </c>
      <c r="I27" s="233">
        <v>-0.49560870000000001</v>
      </c>
      <c r="J27" s="233"/>
      <c r="K27" s="233">
        <v>-0.22281383055555551</v>
      </c>
      <c r="L27" s="233">
        <v>-0.15634588611111111</v>
      </c>
      <c r="M27" s="233">
        <v>-0.21840790111111108</v>
      </c>
    </row>
    <row r="28" spans="2:13" ht="16.5" thickBot="1" x14ac:dyDescent="0.3">
      <c r="B28" s="230"/>
      <c r="C28" s="235" t="s">
        <v>203</v>
      </c>
      <c r="D28" s="236" t="s">
        <v>232</v>
      </c>
      <c r="E28" s="235" t="s">
        <v>202</v>
      </c>
      <c r="F28" s="235"/>
      <c r="G28" s="235" t="s">
        <v>224</v>
      </c>
      <c r="H28" s="235" t="s">
        <v>225</v>
      </c>
      <c r="I28" s="235" t="s">
        <v>231</v>
      </c>
      <c r="J28" s="235"/>
      <c r="K28" s="235" t="s">
        <v>203</v>
      </c>
      <c r="L28" s="236" t="s">
        <v>232</v>
      </c>
      <c r="M28" s="235" t="s">
        <v>202</v>
      </c>
    </row>
    <row r="29" spans="2:13" ht="16.5" thickTop="1" x14ac:dyDescent="0.25">
      <c r="F29" s="231"/>
      <c r="I29" s="231"/>
      <c r="J29" s="231"/>
      <c r="K29" s="231"/>
      <c r="L29" s="231"/>
      <c r="M29" s="231"/>
    </row>
    <row r="41" spans="2:8" x14ac:dyDescent="0.25">
      <c r="B41" s="227"/>
      <c r="C41" s="227"/>
      <c r="D41" s="227"/>
      <c r="E41" s="227"/>
    </row>
    <row r="42" spans="2:8" x14ac:dyDescent="0.25">
      <c r="B42" s="227"/>
      <c r="C42" s="227"/>
      <c r="D42" s="227"/>
      <c r="E42" s="227"/>
      <c r="G42" s="232"/>
      <c r="H42" s="232"/>
    </row>
    <row r="43" spans="2:8" x14ac:dyDescent="0.25">
      <c r="B43" s="227"/>
      <c r="C43" s="227"/>
      <c r="D43" s="227"/>
      <c r="E43" s="227"/>
      <c r="G43" s="232"/>
      <c r="H43" s="232"/>
    </row>
    <row r="44" spans="2:8" x14ac:dyDescent="0.25">
      <c r="B44" s="227"/>
      <c r="C44" s="227"/>
      <c r="D44" s="227"/>
      <c r="E44" s="227"/>
    </row>
    <row r="45" spans="2:8" x14ac:dyDescent="0.25">
      <c r="B45" s="227"/>
      <c r="C45" s="227"/>
      <c r="D45" s="227"/>
      <c r="E45" s="227"/>
    </row>
    <row r="46" spans="2:8" x14ac:dyDescent="0.25">
      <c r="B46" s="227"/>
      <c r="C46" s="227"/>
      <c r="D46" s="227"/>
      <c r="E46" s="227"/>
    </row>
    <row r="47" spans="2:8" x14ac:dyDescent="0.25">
      <c r="B47" s="227"/>
      <c r="C47" s="227"/>
      <c r="D47" s="227"/>
      <c r="E47" s="227"/>
    </row>
  </sheetData>
  <mergeCells count="4">
    <mergeCell ref="C2:E2"/>
    <mergeCell ref="G2:I2"/>
    <mergeCell ref="K2:M2"/>
    <mergeCell ref="B2:B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/>
  <dimension ref="A1:P53"/>
  <sheetViews>
    <sheetView showGridLines="0" topLeftCell="K1" workbookViewId="0">
      <selection activeCell="R23" sqref="R23"/>
    </sheetView>
  </sheetViews>
  <sheetFormatPr defaultRowHeight="15.75" x14ac:dyDescent="0.25"/>
  <cols>
    <col min="1" max="1" width="26" hidden="1" customWidth="1"/>
    <col min="2" max="2" width="31" hidden="1" customWidth="1"/>
    <col min="3" max="3" width="11.5703125" style="1" hidden="1" customWidth="1"/>
    <col min="4" max="4" width="11.5703125" style="30" hidden="1" customWidth="1"/>
    <col min="5" max="5" width="9.28515625" style="31" hidden="1" customWidth="1"/>
    <col min="6" max="6" width="0" hidden="1" customWidth="1"/>
    <col min="7" max="7" width="41.42578125" style="20" hidden="1" customWidth="1"/>
    <col min="8" max="8" width="13.85546875" style="25" hidden="1" customWidth="1"/>
    <col min="9" max="9" width="21.28515625" style="25" hidden="1" customWidth="1"/>
    <col min="10" max="10" width="2.140625" style="26" hidden="1" customWidth="1"/>
    <col min="11" max="11" width="9.140625" style="20"/>
    <col min="12" max="12" width="39" style="20" bestFit="1" customWidth="1"/>
    <col min="14" max="14" width="16" bestFit="1" customWidth="1"/>
    <col min="15" max="15" width="13.5703125" bestFit="1" customWidth="1"/>
  </cols>
  <sheetData>
    <row r="1" spans="1:16" x14ac:dyDescent="0.25">
      <c r="A1" s="2" t="s">
        <v>68</v>
      </c>
      <c r="B1" t="s">
        <v>27</v>
      </c>
      <c r="C1" s="1" t="s">
        <v>31</v>
      </c>
      <c r="D1" t="s">
        <v>30</v>
      </c>
      <c r="E1" t="s">
        <v>32</v>
      </c>
    </row>
    <row r="2" spans="1:16" ht="16.5" thickBot="1" x14ac:dyDescent="0.3">
      <c r="A2" t="s">
        <v>41</v>
      </c>
      <c r="B2" t="s">
        <v>49</v>
      </c>
      <c r="C2" s="1">
        <v>69.731971740722656</v>
      </c>
      <c r="D2" s="30">
        <v>164743</v>
      </c>
      <c r="E2" s="31">
        <v>0.45941939949989319</v>
      </c>
      <c r="G2" s="22" t="s">
        <v>28</v>
      </c>
      <c r="H2" s="25" t="s">
        <v>122</v>
      </c>
      <c r="I2" s="25" t="s">
        <v>123</v>
      </c>
      <c r="J2" s="29" t="s">
        <v>124</v>
      </c>
      <c r="L2" s="32" t="s">
        <v>129</v>
      </c>
      <c r="M2" s="33" t="s">
        <v>31</v>
      </c>
      <c r="N2" s="34" t="s">
        <v>130</v>
      </c>
      <c r="O2" s="35" t="s">
        <v>124</v>
      </c>
    </row>
    <row r="3" spans="1:16" ht="16.5" thickTop="1" x14ac:dyDescent="0.25">
      <c r="A3" t="s">
        <v>41</v>
      </c>
      <c r="B3" t="s">
        <v>42</v>
      </c>
      <c r="C3" s="1">
        <v>87.67437744140625</v>
      </c>
      <c r="D3" s="30">
        <v>146354</v>
      </c>
      <c r="E3" s="31">
        <v>0.3287321925163269</v>
      </c>
      <c r="G3" s="23" t="s">
        <v>40</v>
      </c>
      <c r="H3" s="27"/>
      <c r="I3" s="27"/>
      <c r="J3" s="29"/>
      <c r="L3" s="39" t="s">
        <v>128</v>
      </c>
      <c r="M3" s="27"/>
      <c r="N3" s="27"/>
      <c r="O3" s="29"/>
    </row>
    <row r="4" spans="1:16" x14ac:dyDescent="0.25">
      <c r="A4" t="s">
        <v>38</v>
      </c>
      <c r="B4" t="s">
        <v>44</v>
      </c>
      <c r="C4" s="1">
        <v>27.285158157348633</v>
      </c>
      <c r="D4" s="30">
        <v>164521</v>
      </c>
      <c r="E4" s="31">
        <v>0.44542655348777771</v>
      </c>
      <c r="G4" s="24" t="s">
        <v>51</v>
      </c>
      <c r="H4" s="28">
        <v>39.488845825195313</v>
      </c>
      <c r="I4" s="28">
        <v>16.175086975097656</v>
      </c>
      <c r="J4" s="29">
        <v>167420</v>
      </c>
      <c r="L4" s="24" t="s">
        <v>51</v>
      </c>
      <c r="M4" s="28">
        <v>39.488845825195313</v>
      </c>
      <c r="N4" s="28">
        <v>16.175086975097656</v>
      </c>
      <c r="O4" s="29">
        <v>167420</v>
      </c>
    </row>
    <row r="5" spans="1:16" x14ac:dyDescent="0.25">
      <c r="A5" t="s">
        <v>38</v>
      </c>
      <c r="B5" t="s">
        <v>50</v>
      </c>
      <c r="C5" s="1">
        <v>29.632150650024414</v>
      </c>
      <c r="D5" s="30">
        <v>164719</v>
      </c>
      <c r="E5" s="31">
        <v>0.45663589239120483</v>
      </c>
      <c r="G5" s="24" t="s">
        <v>53</v>
      </c>
      <c r="H5" s="28">
        <v>49.080863952636719</v>
      </c>
      <c r="I5" s="28">
        <v>0.49991700053215027</v>
      </c>
      <c r="J5" s="29">
        <v>167436</v>
      </c>
      <c r="L5" s="24" t="s">
        <v>53</v>
      </c>
      <c r="M5" s="28">
        <v>49.080863952636719</v>
      </c>
      <c r="N5" s="28">
        <v>0.49991700053215027</v>
      </c>
      <c r="O5" s="29">
        <v>167436</v>
      </c>
      <c r="P5" s="48"/>
    </row>
    <row r="6" spans="1:16" x14ac:dyDescent="0.25">
      <c r="A6" t="s">
        <v>38</v>
      </c>
      <c r="B6" t="s">
        <v>52</v>
      </c>
      <c r="C6" s="1">
        <v>79.216911315917969</v>
      </c>
      <c r="D6" s="30">
        <v>146686</v>
      </c>
      <c r="E6" s="31">
        <v>0.40575650334358215</v>
      </c>
      <c r="G6" s="24" t="s">
        <v>47</v>
      </c>
      <c r="H6" s="28">
        <v>70.700576782226563</v>
      </c>
      <c r="I6" s="28">
        <v>0.4551372230052948</v>
      </c>
      <c r="J6" s="29">
        <v>165329</v>
      </c>
      <c r="L6" s="24" t="s">
        <v>47</v>
      </c>
      <c r="M6" s="28">
        <v>70.700576782226563</v>
      </c>
      <c r="N6" s="28">
        <v>0.4551372230052948</v>
      </c>
      <c r="O6" s="29">
        <v>165329</v>
      </c>
    </row>
    <row r="7" spans="1:16" x14ac:dyDescent="0.25">
      <c r="A7" t="s">
        <v>38</v>
      </c>
      <c r="B7" t="s">
        <v>56</v>
      </c>
      <c r="C7" s="1">
        <v>73.65087890625</v>
      </c>
      <c r="D7" s="30">
        <v>165650</v>
      </c>
      <c r="E7" s="31">
        <v>0.44052782654762268</v>
      </c>
      <c r="G7" s="24" t="s">
        <v>46</v>
      </c>
      <c r="H7" s="28">
        <v>57.301521301269531</v>
      </c>
      <c r="I7" s="28">
        <v>0.49464154243469238</v>
      </c>
      <c r="J7" s="29">
        <v>166121</v>
      </c>
      <c r="L7" s="24" t="s">
        <v>46</v>
      </c>
      <c r="M7" s="28">
        <v>57.301521301269531</v>
      </c>
      <c r="N7" s="28">
        <v>0.49464154243469238</v>
      </c>
      <c r="O7" s="29">
        <v>166121</v>
      </c>
    </row>
    <row r="8" spans="1:16" x14ac:dyDescent="0.25">
      <c r="A8" t="s">
        <v>38</v>
      </c>
      <c r="B8" s="2" t="s">
        <v>125</v>
      </c>
      <c r="C8" s="1">
        <v>45.142822265625</v>
      </c>
      <c r="D8" s="30">
        <v>165108</v>
      </c>
      <c r="E8" s="31">
        <v>0.49763670563697815</v>
      </c>
      <c r="G8" s="24" t="s">
        <v>45</v>
      </c>
      <c r="H8" s="28">
        <v>50.433246612548828</v>
      </c>
      <c r="I8" s="28">
        <v>0.49998289346694946</v>
      </c>
      <c r="J8" s="29">
        <v>150224</v>
      </c>
      <c r="L8" s="24" t="s">
        <v>45</v>
      </c>
      <c r="M8" s="28">
        <v>50.433246612548828</v>
      </c>
      <c r="N8" s="28">
        <v>0.49998289346694946</v>
      </c>
      <c r="O8" s="29">
        <v>150224</v>
      </c>
    </row>
    <row r="9" spans="1:16" x14ac:dyDescent="0.25">
      <c r="A9" t="s">
        <v>38</v>
      </c>
      <c r="B9" t="s">
        <v>48</v>
      </c>
      <c r="C9" s="1">
        <v>76.485176086425781</v>
      </c>
      <c r="D9" s="30">
        <v>114297</v>
      </c>
      <c r="E9" s="31">
        <v>0.42409327626228333</v>
      </c>
      <c r="G9" s="23" t="s">
        <v>39</v>
      </c>
      <c r="H9" s="28"/>
      <c r="I9" s="28"/>
      <c r="J9" s="29"/>
      <c r="L9" s="39" t="s">
        <v>39</v>
      </c>
      <c r="M9" s="28"/>
      <c r="N9" s="28"/>
      <c r="O9" s="29"/>
    </row>
    <row r="10" spans="1:16" x14ac:dyDescent="0.25">
      <c r="A10" t="s">
        <v>38</v>
      </c>
      <c r="B10" t="s">
        <v>54</v>
      </c>
      <c r="C10" s="1">
        <v>51.721160888671875</v>
      </c>
      <c r="D10" s="30">
        <v>165195</v>
      </c>
      <c r="E10" s="31">
        <v>0.49970519542694092</v>
      </c>
      <c r="G10" s="24" t="s">
        <v>43</v>
      </c>
      <c r="H10" s="28">
        <v>89.953857421875</v>
      </c>
      <c r="I10" s="28">
        <v>0.30061513185501099</v>
      </c>
      <c r="J10" s="29">
        <v>165925</v>
      </c>
      <c r="L10" s="24" t="s">
        <v>43</v>
      </c>
      <c r="M10" s="28">
        <v>89.953857421875</v>
      </c>
      <c r="N10" s="28">
        <v>0.30061513185501099</v>
      </c>
      <c r="O10" s="29">
        <v>165925</v>
      </c>
    </row>
    <row r="11" spans="1:16" x14ac:dyDescent="0.25">
      <c r="A11" t="s">
        <v>39</v>
      </c>
      <c r="B11" t="s">
        <v>55</v>
      </c>
      <c r="C11" s="1">
        <v>64.068756103515625</v>
      </c>
      <c r="D11" s="30">
        <v>167091</v>
      </c>
      <c r="E11" s="31">
        <v>0.47980037331581116</v>
      </c>
      <c r="G11" s="24" t="s">
        <v>57</v>
      </c>
      <c r="H11" s="28">
        <v>32.383068084716797</v>
      </c>
      <c r="I11" s="28">
        <v>0.46793767809867859</v>
      </c>
      <c r="J11" s="29">
        <v>165925</v>
      </c>
      <c r="L11" s="24" t="s">
        <v>57</v>
      </c>
      <c r="M11" s="28">
        <v>32.383068084716797</v>
      </c>
      <c r="N11" s="28">
        <v>0.46793767809867859</v>
      </c>
      <c r="O11" s="29">
        <v>165925</v>
      </c>
    </row>
    <row r="12" spans="1:16" x14ac:dyDescent="0.25">
      <c r="A12" t="s">
        <v>39</v>
      </c>
      <c r="B12" t="s">
        <v>43</v>
      </c>
      <c r="C12" s="1">
        <v>89.953857421875</v>
      </c>
      <c r="D12" s="30">
        <v>165925</v>
      </c>
      <c r="E12" s="31">
        <v>0.30061513185501099</v>
      </c>
      <c r="G12" s="24" t="s">
        <v>127</v>
      </c>
      <c r="H12" s="28">
        <v>16.768659591674805</v>
      </c>
      <c r="I12" s="28">
        <v>0.3735891580581665</v>
      </c>
      <c r="J12" s="29">
        <v>132792</v>
      </c>
      <c r="L12" s="24" t="s">
        <v>127</v>
      </c>
      <c r="M12" s="28">
        <v>16.768659591674805</v>
      </c>
      <c r="N12" s="28">
        <v>0.3735891580581665</v>
      </c>
      <c r="O12" s="29">
        <v>132792</v>
      </c>
    </row>
    <row r="13" spans="1:16" x14ac:dyDescent="0.25">
      <c r="A13" t="s">
        <v>39</v>
      </c>
      <c r="B13" t="s">
        <v>127</v>
      </c>
      <c r="C13" s="1">
        <v>16.768659591674805</v>
      </c>
      <c r="D13" s="30">
        <v>132792</v>
      </c>
      <c r="E13" s="31">
        <v>0.3735891580581665</v>
      </c>
      <c r="G13" s="24" t="s">
        <v>55</v>
      </c>
      <c r="H13" s="28">
        <v>64.068756103515625</v>
      </c>
      <c r="I13" s="28">
        <v>0.47980037331581116</v>
      </c>
      <c r="J13" s="29">
        <v>167091</v>
      </c>
      <c r="L13" s="24" t="s">
        <v>55</v>
      </c>
      <c r="M13" s="28">
        <v>64.068756103515625</v>
      </c>
      <c r="N13" s="28">
        <v>0.47980037331581116</v>
      </c>
      <c r="O13" s="29">
        <v>167091</v>
      </c>
    </row>
    <row r="14" spans="1:16" x14ac:dyDescent="0.25">
      <c r="A14" t="s">
        <v>39</v>
      </c>
      <c r="B14" s="2" t="s">
        <v>57</v>
      </c>
      <c r="C14" s="1">
        <v>32.383068084716797</v>
      </c>
      <c r="D14" s="30">
        <v>165925</v>
      </c>
      <c r="E14" s="31">
        <v>0.46793767809867859</v>
      </c>
      <c r="G14" s="24" t="s">
        <v>126</v>
      </c>
      <c r="H14" s="28">
        <v>9.9489355087280273</v>
      </c>
      <c r="I14" s="28">
        <v>0.29931932687759399</v>
      </c>
      <c r="J14" s="29">
        <v>167091</v>
      </c>
      <c r="L14" s="24" t="s">
        <v>126</v>
      </c>
      <c r="M14" s="28">
        <v>9.9489355087280273</v>
      </c>
      <c r="N14" s="28">
        <v>0.29931932687759399</v>
      </c>
      <c r="O14" s="29">
        <v>167091</v>
      </c>
    </row>
    <row r="15" spans="1:16" x14ac:dyDescent="0.25">
      <c r="A15" t="s">
        <v>39</v>
      </c>
      <c r="B15" s="2" t="s">
        <v>126</v>
      </c>
      <c r="C15" s="1">
        <v>9.9489355087280273</v>
      </c>
      <c r="D15" s="30">
        <v>167091</v>
      </c>
      <c r="E15" s="31">
        <v>0.29931932687759399</v>
      </c>
      <c r="G15" s="23" t="s">
        <v>41</v>
      </c>
      <c r="H15" s="28"/>
      <c r="I15" s="28"/>
      <c r="J15" s="29"/>
      <c r="L15" s="39" t="s">
        <v>41</v>
      </c>
      <c r="M15" s="28"/>
      <c r="N15" s="28"/>
      <c r="O15" s="29"/>
    </row>
    <row r="16" spans="1:16" x14ac:dyDescent="0.25">
      <c r="A16" t="s">
        <v>40</v>
      </c>
      <c r="B16" t="s">
        <v>51</v>
      </c>
      <c r="C16" s="1">
        <v>39.488845825195313</v>
      </c>
      <c r="D16" s="30">
        <v>167420</v>
      </c>
      <c r="E16" s="31">
        <v>16.175086975097656</v>
      </c>
      <c r="G16" s="24" t="s">
        <v>49</v>
      </c>
      <c r="H16" s="28">
        <v>69.731971740722656</v>
      </c>
      <c r="I16" s="28">
        <v>0.45941939949989319</v>
      </c>
      <c r="J16" s="29">
        <v>164743</v>
      </c>
      <c r="L16" s="24" t="s">
        <v>49</v>
      </c>
      <c r="M16" s="28">
        <v>69.731971740722656</v>
      </c>
      <c r="N16" s="28">
        <v>0.45941939949989319</v>
      </c>
      <c r="O16" s="29">
        <v>164743</v>
      </c>
    </row>
    <row r="17" spans="1:15" x14ac:dyDescent="0.25">
      <c r="A17" t="s">
        <v>40</v>
      </c>
      <c r="B17" t="s">
        <v>47</v>
      </c>
      <c r="C17" s="1">
        <v>70.700576782226563</v>
      </c>
      <c r="D17" s="30">
        <v>165329</v>
      </c>
      <c r="E17" s="31">
        <v>0.4551372230052948</v>
      </c>
      <c r="G17" s="24" t="s">
        <v>42</v>
      </c>
      <c r="H17" s="28">
        <v>87.67437744140625</v>
      </c>
      <c r="I17" s="28">
        <v>0.3287321925163269</v>
      </c>
      <c r="J17" s="29">
        <v>146354</v>
      </c>
      <c r="L17" s="24" t="s">
        <v>42</v>
      </c>
      <c r="M17" s="28">
        <v>87.67437744140625</v>
      </c>
      <c r="N17" s="28">
        <v>0.3287321925163269</v>
      </c>
      <c r="O17" s="29">
        <v>146354</v>
      </c>
    </row>
    <row r="18" spans="1:15" x14ac:dyDescent="0.25">
      <c r="A18" t="s">
        <v>40</v>
      </c>
      <c r="B18" t="s">
        <v>45</v>
      </c>
      <c r="C18" s="1">
        <v>50.433246612548828</v>
      </c>
      <c r="D18" s="30">
        <v>150224</v>
      </c>
      <c r="E18" s="31">
        <v>0.49998289346694946</v>
      </c>
      <c r="G18" s="23" t="s">
        <v>38</v>
      </c>
      <c r="H18" s="28"/>
      <c r="I18" s="28"/>
      <c r="J18" s="29"/>
      <c r="L18" s="39" t="s">
        <v>38</v>
      </c>
      <c r="M18" s="28"/>
      <c r="N18" s="28"/>
      <c r="O18" s="29"/>
    </row>
    <row r="19" spans="1:15" x14ac:dyDescent="0.25">
      <c r="A19" t="s">
        <v>40</v>
      </c>
      <c r="B19" t="s">
        <v>53</v>
      </c>
      <c r="C19" s="1">
        <v>49.080863952636719</v>
      </c>
      <c r="D19" s="30">
        <v>167436</v>
      </c>
      <c r="E19" s="31">
        <v>0.49991700053215027</v>
      </c>
      <c r="G19" s="24" t="s">
        <v>44</v>
      </c>
      <c r="H19" s="28">
        <v>27.285158157348633</v>
      </c>
      <c r="I19" s="28">
        <v>0.44542655348777771</v>
      </c>
      <c r="J19" s="29">
        <v>164521</v>
      </c>
      <c r="L19" s="24" t="s">
        <v>44</v>
      </c>
      <c r="M19" s="28">
        <v>27.285158157348633</v>
      </c>
      <c r="N19" s="28">
        <v>0.44542655348777771</v>
      </c>
      <c r="O19" s="29">
        <v>164521</v>
      </c>
    </row>
    <row r="20" spans="1:15" x14ac:dyDescent="0.25">
      <c r="A20" t="s">
        <v>40</v>
      </c>
      <c r="B20" t="s">
        <v>46</v>
      </c>
      <c r="C20" s="1">
        <v>57.301521301269531</v>
      </c>
      <c r="D20" s="30">
        <v>166121</v>
      </c>
      <c r="E20" s="31">
        <v>0.49464154243469238</v>
      </c>
      <c r="G20" s="24" t="s">
        <v>50</v>
      </c>
      <c r="H20" s="28">
        <v>29.632150650024414</v>
      </c>
      <c r="I20" s="28">
        <v>0.45663589239120483</v>
      </c>
      <c r="J20" s="29">
        <v>164719</v>
      </c>
      <c r="L20" s="24" t="s">
        <v>50</v>
      </c>
      <c r="M20" s="28">
        <v>29.632150650024414</v>
      </c>
      <c r="N20" s="28">
        <v>0.45663589239120483</v>
      </c>
      <c r="O20" s="29">
        <v>164719</v>
      </c>
    </row>
    <row r="21" spans="1:15" x14ac:dyDescent="0.25">
      <c r="G21" s="24" t="s">
        <v>52</v>
      </c>
      <c r="H21" s="28">
        <v>79.216911315917969</v>
      </c>
      <c r="I21" s="28">
        <v>0.40575650334358215</v>
      </c>
      <c r="J21" s="29">
        <v>146686</v>
      </c>
      <c r="L21" s="24" t="s">
        <v>52</v>
      </c>
      <c r="M21" s="28">
        <v>79.216911315917969</v>
      </c>
      <c r="N21" s="28">
        <v>0.40575650334358215</v>
      </c>
      <c r="O21" s="29">
        <v>146686</v>
      </c>
    </row>
    <row r="22" spans="1:15" x14ac:dyDescent="0.25">
      <c r="G22" s="24" t="s">
        <v>56</v>
      </c>
      <c r="H22" s="28">
        <v>73.65087890625</v>
      </c>
      <c r="I22" s="28">
        <v>0.44052782654762268</v>
      </c>
      <c r="J22" s="29">
        <v>165650</v>
      </c>
      <c r="L22" s="24" t="s">
        <v>56</v>
      </c>
      <c r="M22" s="28">
        <v>73.65087890625</v>
      </c>
      <c r="N22" s="28">
        <v>0.44052782654762268</v>
      </c>
      <c r="O22" s="29">
        <v>165650</v>
      </c>
    </row>
    <row r="23" spans="1:15" x14ac:dyDescent="0.25">
      <c r="G23" s="24" t="s">
        <v>48</v>
      </c>
      <c r="H23" s="28">
        <v>76.485176086425781</v>
      </c>
      <c r="I23" s="28">
        <v>0.42409327626228333</v>
      </c>
      <c r="J23" s="29">
        <v>114297</v>
      </c>
      <c r="L23" s="24" t="s">
        <v>48</v>
      </c>
      <c r="M23" s="28">
        <v>76.485176086425781</v>
      </c>
      <c r="N23" s="28">
        <v>0.42409327626228333</v>
      </c>
      <c r="O23" s="29">
        <v>114297</v>
      </c>
    </row>
    <row r="24" spans="1:15" x14ac:dyDescent="0.25">
      <c r="G24" s="24" t="s">
        <v>54</v>
      </c>
      <c r="H24" s="28">
        <v>51.721160888671875</v>
      </c>
      <c r="I24" s="28">
        <v>0.49970519542694092</v>
      </c>
      <c r="J24" s="29">
        <v>165195</v>
      </c>
      <c r="L24" s="24" t="s">
        <v>54</v>
      </c>
      <c r="M24" s="28">
        <v>51.721160888671875</v>
      </c>
      <c r="N24" s="28">
        <v>0.49970519542694092</v>
      </c>
      <c r="O24" s="29">
        <v>165195</v>
      </c>
    </row>
    <row r="25" spans="1:15" x14ac:dyDescent="0.25">
      <c r="G25" s="24" t="s">
        <v>125</v>
      </c>
      <c r="H25" s="28">
        <v>45.142822265625</v>
      </c>
      <c r="I25" s="28">
        <v>0.49763670563697815</v>
      </c>
      <c r="J25" s="29">
        <v>165108</v>
      </c>
      <c r="L25" s="36" t="s">
        <v>125</v>
      </c>
      <c r="M25" s="37">
        <v>45.142822265625</v>
      </c>
      <c r="N25" s="37">
        <v>0.49763670563697815</v>
      </c>
      <c r="O25" s="38">
        <v>165108</v>
      </c>
    </row>
    <row r="26" spans="1:15" x14ac:dyDescent="0.25">
      <c r="H26" s="28"/>
      <c r="I26" s="28"/>
    </row>
    <row r="53" spans="8:9" x14ac:dyDescent="0.25">
      <c r="H53" s="28"/>
      <c r="I53" s="2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/>
  <dimension ref="A1:T1601"/>
  <sheetViews>
    <sheetView showGridLines="0" topLeftCell="N1" workbookViewId="0">
      <selection activeCell="AF10" sqref="AF10"/>
    </sheetView>
  </sheetViews>
  <sheetFormatPr defaultRowHeight="16.5" x14ac:dyDescent="0.3"/>
  <cols>
    <col min="1" max="4" width="0" hidden="1" customWidth="1"/>
    <col min="5" max="5" width="0" style="1" hidden="1" customWidth="1"/>
    <col min="6" max="7" width="0" hidden="1" customWidth="1"/>
    <col min="8" max="8" width="24.140625" style="5" hidden="1" customWidth="1"/>
    <col min="9" max="9" width="11.42578125" style="6" hidden="1" customWidth="1"/>
    <col min="10" max="10" width="7" style="6" hidden="1" customWidth="1"/>
    <col min="11" max="11" width="6" style="6" hidden="1" customWidth="1"/>
    <col min="12" max="12" width="9.140625" style="6" hidden="1" customWidth="1"/>
    <col min="13" max="13" width="6.140625" style="8" hidden="1" customWidth="1"/>
    <col min="15" max="15" width="23" style="10" customWidth="1"/>
    <col min="16" max="19" width="12.42578125" style="10" customWidth="1"/>
    <col min="20" max="20" width="5.7109375" style="10" bestFit="1" customWidth="1"/>
  </cols>
  <sheetData>
    <row r="1" spans="1:20" x14ac:dyDescent="0.3">
      <c r="A1" t="s">
        <v>58</v>
      </c>
      <c r="B1" t="s">
        <v>68</v>
      </c>
      <c r="C1" t="s">
        <v>77</v>
      </c>
      <c r="D1" t="s">
        <v>117</v>
      </c>
      <c r="E1" t="s">
        <v>118</v>
      </c>
      <c r="H1" s="58" t="s">
        <v>58</v>
      </c>
      <c r="I1" s="62" t="s">
        <v>1</v>
      </c>
    </row>
    <row r="2" spans="1:20" x14ac:dyDescent="0.3">
      <c r="A2" t="s">
        <v>59</v>
      </c>
      <c r="B2" t="s">
        <v>69</v>
      </c>
      <c r="C2" t="s">
        <v>69</v>
      </c>
      <c r="D2" t="s">
        <v>33</v>
      </c>
      <c r="E2">
        <v>29.14268862185456</v>
      </c>
    </row>
    <row r="3" spans="1:20" ht="15.75" x14ac:dyDescent="0.3">
      <c r="A3" t="s">
        <v>59</v>
      </c>
      <c r="B3" t="s">
        <v>70</v>
      </c>
      <c r="C3" t="s">
        <v>78</v>
      </c>
      <c r="D3" t="s">
        <v>33</v>
      </c>
      <c r="E3">
        <v>29.884736435949542</v>
      </c>
      <c r="H3" s="58" t="s">
        <v>120</v>
      </c>
      <c r="I3" s="59"/>
      <c r="J3" s="59"/>
      <c r="K3" s="59"/>
      <c r="L3" s="59"/>
      <c r="M3" s="59"/>
      <c r="O3" s="263" t="s">
        <v>68</v>
      </c>
      <c r="P3" s="262" t="s">
        <v>121</v>
      </c>
      <c r="Q3" s="262"/>
      <c r="R3" s="262"/>
      <c r="S3" s="262"/>
      <c r="T3" s="9"/>
    </row>
    <row r="4" spans="1:20" thickBot="1" x14ac:dyDescent="0.35">
      <c r="A4" t="s">
        <v>59</v>
      </c>
      <c r="B4" t="s">
        <v>70</v>
      </c>
      <c r="C4" t="s">
        <v>79</v>
      </c>
      <c r="D4" t="s">
        <v>33</v>
      </c>
      <c r="E4">
        <v>30.058011628825579</v>
      </c>
      <c r="H4" s="59"/>
      <c r="I4" s="62" t="s">
        <v>33</v>
      </c>
      <c r="J4" s="62" t="s">
        <v>34</v>
      </c>
      <c r="K4" s="62" t="s">
        <v>35</v>
      </c>
      <c r="L4" s="62" t="s">
        <v>36</v>
      </c>
      <c r="M4" s="63" t="s">
        <v>119</v>
      </c>
      <c r="O4" s="264"/>
      <c r="P4" s="11" t="s">
        <v>33</v>
      </c>
      <c r="Q4" s="11" t="s">
        <v>34</v>
      </c>
      <c r="R4" s="11" t="s">
        <v>35</v>
      </c>
      <c r="S4" s="11" t="s">
        <v>36</v>
      </c>
      <c r="T4" s="12" t="s">
        <v>119</v>
      </c>
    </row>
    <row r="5" spans="1:20" ht="17.25" thickTop="1" x14ac:dyDescent="0.3">
      <c r="A5" t="s">
        <v>59</v>
      </c>
      <c r="B5" t="s">
        <v>70</v>
      </c>
      <c r="C5" t="s">
        <v>80</v>
      </c>
      <c r="D5" t="s">
        <v>33</v>
      </c>
      <c r="E5">
        <v>28.006652823373599</v>
      </c>
      <c r="H5" s="60" t="s">
        <v>69</v>
      </c>
      <c r="I5" s="62"/>
      <c r="J5" s="62"/>
      <c r="K5" s="62"/>
      <c r="L5" s="62"/>
      <c r="M5" s="64"/>
      <c r="O5" s="13" t="s">
        <v>69</v>
      </c>
      <c r="P5" s="14">
        <v>27.999670881521279</v>
      </c>
      <c r="Q5" s="14">
        <v>51.634308050519557</v>
      </c>
      <c r="R5" s="14">
        <v>17.455630771797729</v>
      </c>
      <c r="S5" s="14">
        <v>2.9103902961614039</v>
      </c>
      <c r="T5" s="15">
        <v>99.999999999999986</v>
      </c>
    </row>
    <row r="6" spans="1:20" x14ac:dyDescent="0.3">
      <c r="A6" t="s">
        <v>59</v>
      </c>
      <c r="B6" t="s">
        <v>70</v>
      </c>
      <c r="C6" t="s">
        <v>81</v>
      </c>
      <c r="D6" t="s">
        <v>33</v>
      </c>
      <c r="E6">
        <v>27.876406064687309</v>
      </c>
      <c r="H6" s="61" t="s">
        <v>69</v>
      </c>
      <c r="I6" s="62">
        <v>27.999670881521279</v>
      </c>
      <c r="J6" s="62">
        <v>51.634308050519557</v>
      </c>
      <c r="K6" s="62">
        <v>17.455630771797729</v>
      </c>
      <c r="L6" s="62">
        <v>2.9103902961614039</v>
      </c>
      <c r="M6" s="64">
        <v>99.999999999999972</v>
      </c>
      <c r="O6" s="13" t="s">
        <v>72</v>
      </c>
      <c r="P6" s="14"/>
      <c r="Q6" s="14"/>
      <c r="R6" s="14"/>
      <c r="S6" s="14"/>
      <c r="T6" s="15"/>
    </row>
    <row r="7" spans="1:20" x14ac:dyDescent="0.3">
      <c r="A7" t="s">
        <v>59</v>
      </c>
      <c r="B7" t="s">
        <v>71</v>
      </c>
      <c r="C7" t="s">
        <v>82</v>
      </c>
      <c r="D7" t="s">
        <v>33</v>
      </c>
      <c r="E7">
        <v>27.763699954392969</v>
      </c>
      <c r="H7" s="60" t="s">
        <v>72</v>
      </c>
      <c r="I7" s="62"/>
      <c r="J7" s="62"/>
      <c r="K7" s="62"/>
      <c r="L7" s="62"/>
      <c r="M7" s="64"/>
      <c r="O7" s="16" t="s">
        <v>86</v>
      </c>
      <c r="P7" s="14">
        <v>28.13899567275168</v>
      </c>
      <c r="Q7" s="14">
        <v>52.213149094449321</v>
      </c>
      <c r="R7" s="14">
        <v>16.84270801750986</v>
      </c>
      <c r="S7" s="14">
        <v>2.8051472152891539</v>
      </c>
      <c r="T7" s="15">
        <v>100.00000000000001</v>
      </c>
    </row>
    <row r="8" spans="1:20" x14ac:dyDescent="0.3">
      <c r="A8" t="s">
        <v>59</v>
      </c>
      <c r="B8" t="s">
        <v>71</v>
      </c>
      <c r="C8" t="s">
        <v>83</v>
      </c>
      <c r="D8" t="s">
        <v>33</v>
      </c>
      <c r="E8">
        <v>27.47714573676846</v>
      </c>
      <c r="H8" s="61" t="s">
        <v>86</v>
      </c>
      <c r="I8" s="62">
        <v>28.13899567275168</v>
      </c>
      <c r="J8" s="62">
        <v>52.213149094449321</v>
      </c>
      <c r="K8" s="62">
        <v>16.84270801750986</v>
      </c>
      <c r="L8" s="62">
        <v>2.8051472152891539</v>
      </c>
      <c r="M8" s="64">
        <v>100.00000000000001</v>
      </c>
      <c r="O8" s="16" t="s">
        <v>87</v>
      </c>
      <c r="P8" s="14">
        <v>27.855127820140691</v>
      </c>
      <c r="Q8" s="14">
        <v>51.033787096542383</v>
      </c>
      <c r="R8" s="14">
        <v>18.091509932370819</v>
      </c>
      <c r="S8" s="14">
        <v>3.0195751509461228</v>
      </c>
      <c r="T8" s="15">
        <v>100.00000000000001</v>
      </c>
    </row>
    <row r="9" spans="1:20" x14ac:dyDescent="0.3">
      <c r="A9" t="s">
        <v>59</v>
      </c>
      <c r="B9" t="s">
        <v>71</v>
      </c>
      <c r="C9" t="s">
        <v>84</v>
      </c>
      <c r="D9" t="s">
        <v>33</v>
      </c>
      <c r="E9">
        <v>31.807993658430821</v>
      </c>
      <c r="H9" s="61" t="s">
        <v>87</v>
      </c>
      <c r="I9" s="62">
        <v>27.855127820140691</v>
      </c>
      <c r="J9" s="62">
        <v>51.033787096542383</v>
      </c>
      <c r="K9" s="62">
        <v>18.091509932370819</v>
      </c>
      <c r="L9" s="62">
        <v>3.0195751509461228</v>
      </c>
      <c r="M9" s="64">
        <v>100.00000000000001</v>
      </c>
      <c r="O9" s="13" t="s">
        <v>71</v>
      </c>
      <c r="P9" s="14"/>
      <c r="Q9" s="14"/>
      <c r="R9" s="14"/>
      <c r="S9" s="14"/>
      <c r="T9" s="15"/>
    </row>
    <row r="10" spans="1:20" x14ac:dyDescent="0.3">
      <c r="A10" t="s">
        <v>59</v>
      </c>
      <c r="B10" t="s">
        <v>71</v>
      </c>
      <c r="C10" t="s">
        <v>85</v>
      </c>
      <c r="D10" t="s">
        <v>33</v>
      </c>
      <c r="E10">
        <v>32.054368947287827</v>
      </c>
      <c r="H10" s="60" t="s">
        <v>71</v>
      </c>
      <c r="I10" s="62"/>
      <c r="J10" s="62"/>
      <c r="K10" s="62"/>
      <c r="L10" s="62"/>
      <c r="M10" s="64"/>
      <c r="O10" s="16" t="s">
        <v>82</v>
      </c>
      <c r="P10" s="14">
        <v>25.257490834594432</v>
      </c>
      <c r="Q10" s="14">
        <v>52.015378694022537</v>
      </c>
      <c r="R10" s="14">
        <v>19.64279585675607</v>
      </c>
      <c r="S10" s="14">
        <v>3.0843346146269668</v>
      </c>
      <c r="T10" s="15">
        <v>100.00000000000001</v>
      </c>
    </row>
    <row r="11" spans="1:20" x14ac:dyDescent="0.3">
      <c r="A11" t="s">
        <v>59</v>
      </c>
      <c r="B11" t="s">
        <v>72</v>
      </c>
      <c r="C11" t="s">
        <v>86</v>
      </c>
      <c r="D11" t="s">
        <v>33</v>
      </c>
      <c r="E11">
        <v>30.198123321383729</v>
      </c>
      <c r="H11" s="61" t="s">
        <v>82</v>
      </c>
      <c r="I11" s="62">
        <v>25.257490834594432</v>
      </c>
      <c r="J11" s="62">
        <v>52.015378694022537</v>
      </c>
      <c r="K11" s="62">
        <v>19.64279585675607</v>
      </c>
      <c r="L11" s="62">
        <v>3.0843346146269668</v>
      </c>
      <c r="M11" s="64">
        <v>100</v>
      </c>
      <c r="O11" s="16" t="s">
        <v>83</v>
      </c>
      <c r="P11" s="14">
        <v>28.338380298570531</v>
      </c>
      <c r="Q11" s="14">
        <v>51.349399011914556</v>
      </c>
      <c r="R11" s="14">
        <v>17.287894921560721</v>
      </c>
      <c r="S11" s="14">
        <v>3.0243257679541888</v>
      </c>
      <c r="T11" s="15">
        <v>100</v>
      </c>
    </row>
    <row r="12" spans="1:20" x14ac:dyDescent="0.3">
      <c r="A12" t="s">
        <v>59</v>
      </c>
      <c r="B12" t="s">
        <v>72</v>
      </c>
      <c r="C12" t="s">
        <v>87</v>
      </c>
      <c r="D12" t="s">
        <v>33</v>
      </c>
      <c r="E12">
        <v>28.045609414138092</v>
      </c>
      <c r="H12" s="61" t="s">
        <v>83</v>
      </c>
      <c r="I12" s="62">
        <v>28.338380298570531</v>
      </c>
      <c r="J12" s="62">
        <v>51.349399011914556</v>
      </c>
      <c r="K12" s="62">
        <v>17.287894921560721</v>
      </c>
      <c r="L12" s="62">
        <v>3.0243257679541888</v>
      </c>
      <c r="M12" s="64">
        <v>100</v>
      </c>
      <c r="O12" s="16" t="s">
        <v>84</v>
      </c>
      <c r="P12" s="14">
        <v>29.181637637208642</v>
      </c>
      <c r="Q12" s="14">
        <v>51.733379644620427</v>
      </c>
      <c r="R12" s="14">
        <v>16.307040754130199</v>
      </c>
      <c r="S12" s="14">
        <v>2.7779419640407368</v>
      </c>
      <c r="T12" s="15">
        <v>100</v>
      </c>
    </row>
    <row r="13" spans="1:20" x14ac:dyDescent="0.3">
      <c r="A13" t="s">
        <v>59</v>
      </c>
      <c r="B13" t="s">
        <v>73</v>
      </c>
      <c r="C13" t="s">
        <v>88</v>
      </c>
      <c r="D13" t="s">
        <v>33</v>
      </c>
      <c r="E13">
        <v>29.62767232426021</v>
      </c>
      <c r="H13" s="61" t="s">
        <v>84</v>
      </c>
      <c r="I13" s="62">
        <v>29.181637637208642</v>
      </c>
      <c r="J13" s="62">
        <v>51.733379644620427</v>
      </c>
      <c r="K13" s="62">
        <v>16.307040754130199</v>
      </c>
      <c r="L13" s="62">
        <v>2.7779419640407368</v>
      </c>
      <c r="M13" s="64">
        <v>100</v>
      </c>
      <c r="O13" s="16" t="s">
        <v>85</v>
      </c>
      <c r="P13" s="14">
        <v>28.785713843093379</v>
      </c>
      <c r="Q13" s="14">
        <v>51.600660601415967</v>
      </c>
      <c r="R13" s="14">
        <v>17.133383300100888</v>
      </c>
      <c r="S13" s="14">
        <v>2.4802422553897712</v>
      </c>
      <c r="T13" s="15">
        <v>100</v>
      </c>
    </row>
    <row r="14" spans="1:20" x14ac:dyDescent="0.3">
      <c r="A14" t="s">
        <v>59</v>
      </c>
      <c r="B14" t="s">
        <v>73</v>
      </c>
      <c r="C14" t="s">
        <v>89</v>
      </c>
      <c r="D14" t="s">
        <v>33</v>
      </c>
      <c r="E14">
        <v>28.63940551180869</v>
      </c>
      <c r="H14" s="61" t="s">
        <v>85</v>
      </c>
      <c r="I14" s="62">
        <v>28.785713843093379</v>
      </c>
      <c r="J14" s="62">
        <v>51.600660601415967</v>
      </c>
      <c r="K14" s="62">
        <v>17.133383300100888</v>
      </c>
      <c r="L14" s="62">
        <v>2.4802422553897712</v>
      </c>
      <c r="M14" s="64">
        <v>100</v>
      </c>
      <c r="O14" s="13" t="s">
        <v>73</v>
      </c>
      <c r="P14" s="14"/>
      <c r="Q14" s="14"/>
      <c r="R14" s="14"/>
      <c r="S14" s="14"/>
      <c r="T14" s="15"/>
    </row>
    <row r="15" spans="1:20" x14ac:dyDescent="0.3">
      <c r="A15" t="s">
        <v>59</v>
      </c>
      <c r="B15" t="s">
        <v>74</v>
      </c>
      <c r="C15" t="s">
        <v>90</v>
      </c>
      <c r="D15" t="s">
        <v>33</v>
      </c>
      <c r="E15">
        <v>29.726871880834789</v>
      </c>
      <c r="H15" s="60" t="s">
        <v>73</v>
      </c>
      <c r="I15" s="62"/>
      <c r="J15" s="62"/>
      <c r="K15" s="62"/>
      <c r="L15" s="62"/>
      <c r="M15" s="64"/>
      <c r="O15" s="16" t="s">
        <v>89</v>
      </c>
      <c r="P15" s="14">
        <v>28.15339576270776</v>
      </c>
      <c r="Q15" s="14">
        <v>51.931417130273793</v>
      </c>
      <c r="R15" s="14">
        <v>17.140133391593661</v>
      </c>
      <c r="S15" s="14">
        <v>2.7750537154247898</v>
      </c>
      <c r="T15" s="15">
        <v>100</v>
      </c>
    </row>
    <row r="16" spans="1:20" x14ac:dyDescent="0.3">
      <c r="A16" t="s">
        <v>59</v>
      </c>
      <c r="B16" t="s">
        <v>74</v>
      </c>
      <c r="C16" t="s">
        <v>91</v>
      </c>
      <c r="D16" t="s">
        <v>33</v>
      </c>
      <c r="E16">
        <v>29.047379320319219</v>
      </c>
      <c r="H16" s="61" t="s">
        <v>89</v>
      </c>
      <c r="I16" s="62">
        <v>28.15339576270776</v>
      </c>
      <c r="J16" s="62">
        <v>51.931417130273793</v>
      </c>
      <c r="K16" s="62">
        <v>17.140133391593661</v>
      </c>
      <c r="L16" s="62">
        <v>2.7750537154247898</v>
      </c>
      <c r="M16" s="64">
        <v>100</v>
      </c>
      <c r="O16" s="16" t="s">
        <v>88</v>
      </c>
      <c r="P16" s="14">
        <v>27.732327211686311</v>
      </c>
      <c r="Q16" s="14">
        <v>51.334649132336409</v>
      </c>
      <c r="R16" s="14">
        <v>17.871945042229559</v>
      </c>
      <c r="S16" s="14">
        <v>3.0610786137477222</v>
      </c>
      <c r="T16" s="15">
        <v>100</v>
      </c>
    </row>
    <row r="17" spans="1:20" x14ac:dyDescent="0.3">
      <c r="A17" t="s">
        <v>59</v>
      </c>
      <c r="B17" t="s">
        <v>75</v>
      </c>
      <c r="C17" t="s">
        <v>92</v>
      </c>
      <c r="D17" t="s">
        <v>33</v>
      </c>
      <c r="E17">
        <v>29.50225472811767</v>
      </c>
      <c r="H17" s="61" t="s">
        <v>88</v>
      </c>
      <c r="I17" s="62">
        <v>27.732327211686311</v>
      </c>
      <c r="J17" s="62">
        <v>51.334649132336409</v>
      </c>
      <c r="K17" s="62">
        <v>17.871945042229559</v>
      </c>
      <c r="L17" s="62">
        <v>3.0610786137477222</v>
      </c>
      <c r="M17" s="64">
        <v>100</v>
      </c>
      <c r="O17" s="13" t="s">
        <v>74</v>
      </c>
      <c r="P17" s="14"/>
      <c r="Q17" s="14"/>
      <c r="R17" s="14"/>
      <c r="S17" s="14"/>
      <c r="T17" s="15"/>
    </row>
    <row r="18" spans="1:20" x14ac:dyDescent="0.3">
      <c r="A18" t="s">
        <v>59</v>
      </c>
      <c r="B18" t="s">
        <v>75</v>
      </c>
      <c r="C18" t="s">
        <v>93</v>
      </c>
      <c r="D18" t="s">
        <v>33</v>
      </c>
      <c r="E18">
        <v>28.432231446728611</v>
      </c>
      <c r="H18" s="60" t="s">
        <v>74</v>
      </c>
      <c r="I18" s="62"/>
      <c r="J18" s="62"/>
      <c r="K18" s="62"/>
      <c r="L18" s="62"/>
      <c r="M18" s="64"/>
      <c r="O18" s="16" t="s">
        <v>91</v>
      </c>
      <c r="P18" s="14">
        <v>28.151102617895042</v>
      </c>
      <c r="Q18" s="14">
        <v>51.743653119450613</v>
      </c>
      <c r="R18" s="14">
        <v>17.21487846984579</v>
      </c>
      <c r="S18" s="14">
        <v>2.8903657928086002</v>
      </c>
      <c r="T18" s="15">
        <v>100.00000000000003</v>
      </c>
    </row>
    <row r="19" spans="1:20" x14ac:dyDescent="0.3">
      <c r="A19" t="s">
        <v>59</v>
      </c>
      <c r="B19" t="s">
        <v>75</v>
      </c>
      <c r="C19" t="s">
        <v>94</v>
      </c>
      <c r="D19" t="s">
        <v>33</v>
      </c>
      <c r="E19">
        <v>28.488324341780331</v>
      </c>
      <c r="H19" s="61" t="s">
        <v>91</v>
      </c>
      <c r="I19" s="62">
        <v>28.151102617895042</v>
      </c>
      <c r="J19" s="62">
        <v>51.743653119450613</v>
      </c>
      <c r="K19" s="62">
        <v>17.21487846984579</v>
      </c>
      <c r="L19" s="62">
        <v>2.8903657928086002</v>
      </c>
      <c r="M19" s="64">
        <v>100.00000000000004</v>
      </c>
      <c r="O19" s="16" t="s">
        <v>90</v>
      </c>
      <c r="P19" s="14">
        <v>27.535339552495142</v>
      </c>
      <c r="Q19" s="14">
        <v>51.468243981941839</v>
      </c>
      <c r="R19" s="14">
        <v>18.079992206378009</v>
      </c>
      <c r="S19" s="14">
        <v>2.9164242591850118</v>
      </c>
      <c r="T19" s="15">
        <v>100</v>
      </c>
    </row>
    <row r="20" spans="1:20" x14ac:dyDescent="0.3">
      <c r="A20" t="s">
        <v>59</v>
      </c>
      <c r="B20" t="s">
        <v>75</v>
      </c>
      <c r="C20" t="s">
        <v>95</v>
      </c>
      <c r="D20" t="s">
        <v>33</v>
      </c>
      <c r="E20">
        <v>30.38967519773156</v>
      </c>
      <c r="H20" s="61" t="s">
        <v>90</v>
      </c>
      <c r="I20" s="62">
        <v>27.535339552495142</v>
      </c>
      <c r="J20" s="62">
        <v>51.468243981941839</v>
      </c>
      <c r="K20" s="62">
        <v>18.079992206378009</v>
      </c>
      <c r="L20" s="62">
        <v>2.9164242591850118</v>
      </c>
      <c r="M20" s="64">
        <v>100</v>
      </c>
      <c r="O20" s="13" t="s">
        <v>70</v>
      </c>
      <c r="P20" s="14"/>
      <c r="Q20" s="14"/>
      <c r="R20" s="14"/>
      <c r="S20" s="14"/>
      <c r="T20" s="15"/>
    </row>
    <row r="21" spans="1:20" x14ac:dyDescent="0.3">
      <c r="A21" t="s">
        <v>59</v>
      </c>
      <c r="B21" t="s">
        <v>76</v>
      </c>
      <c r="C21" t="s">
        <v>96</v>
      </c>
      <c r="D21" t="s">
        <v>33</v>
      </c>
      <c r="E21"/>
      <c r="H21" s="60" t="s">
        <v>70</v>
      </c>
      <c r="I21" s="62"/>
      <c r="J21" s="62"/>
      <c r="K21" s="62"/>
      <c r="L21" s="62"/>
      <c r="M21" s="64"/>
      <c r="O21" s="16" t="s">
        <v>78</v>
      </c>
      <c r="P21" s="14">
        <v>28.743027746074539</v>
      </c>
      <c r="Q21" s="14">
        <v>50.915664799798812</v>
      </c>
      <c r="R21" s="14">
        <v>17.338660621603651</v>
      </c>
      <c r="S21" s="14">
        <v>3.0026468325229949</v>
      </c>
      <c r="T21" s="15">
        <v>100</v>
      </c>
    </row>
    <row r="22" spans="1:20" x14ac:dyDescent="0.3">
      <c r="A22" t="s">
        <v>59</v>
      </c>
      <c r="B22" t="s">
        <v>76</v>
      </c>
      <c r="C22" t="s">
        <v>97</v>
      </c>
      <c r="D22" t="s">
        <v>33</v>
      </c>
      <c r="E22"/>
      <c r="H22" s="61" t="s">
        <v>79</v>
      </c>
      <c r="I22" s="62">
        <v>27.575163298603201</v>
      </c>
      <c r="J22" s="62">
        <v>51.584857415530507</v>
      </c>
      <c r="K22" s="62">
        <v>17.86556473904443</v>
      </c>
      <c r="L22" s="62">
        <v>2.9744145468218681</v>
      </c>
      <c r="M22" s="64">
        <v>100</v>
      </c>
      <c r="O22" s="16" t="s">
        <v>79</v>
      </c>
      <c r="P22" s="14">
        <v>27.575163298603201</v>
      </c>
      <c r="Q22" s="14">
        <v>51.584857415530507</v>
      </c>
      <c r="R22" s="14">
        <v>17.86556473904443</v>
      </c>
      <c r="S22" s="14">
        <v>2.9744145468218681</v>
      </c>
      <c r="T22" s="15">
        <v>100</v>
      </c>
    </row>
    <row r="23" spans="1:20" x14ac:dyDescent="0.3">
      <c r="A23" t="s">
        <v>59</v>
      </c>
      <c r="B23" t="s">
        <v>76</v>
      </c>
      <c r="C23" t="s">
        <v>98</v>
      </c>
      <c r="D23" t="s">
        <v>33</v>
      </c>
      <c r="E23"/>
      <c r="H23" s="61" t="s">
        <v>80</v>
      </c>
      <c r="I23" s="62">
        <v>27.620496745017299</v>
      </c>
      <c r="J23" s="62">
        <v>52.050793424782313</v>
      </c>
      <c r="K23" s="62">
        <v>17.714190316360561</v>
      </c>
      <c r="L23" s="62">
        <v>2.614519513839805</v>
      </c>
      <c r="M23" s="64">
        <v>99.999999999999986</v>
      </c>
      <c r="O23" s="16" t="s">
        <v>80</v>
      </c>
      <c r="P23" s="14">
        <v>27.620496745017299</v>
      </c>
      <c r="Q23" s="14">
        <v>52.050793424782313</v>
      </c>
      <c r="R23" s="14">
        <v>17.714190316360561</v>
      </c>
      <c r="S23" s="14">
        <v>2.614519513839805</v>
      </c>
      <c r="T23" s="15">
        <v>99.999999999999972</v>
      </c>
    </row>
    <row r="24" spans="1:20" x14ac:dyDescent="0.3">
      <c r="A24" t="s">
        <v>59</v>
      </c>
      <c r="B24" t="s">
        <v>0</v>
      </c>
      <c r="C24" t="s">
        <v>99</v>
      </c>
      <c r="D24" t="s">
        <v>33</v>
      </c>
      <c r="E24">
        <v>54.739538855678902</v>
      </c>
      <c r="H24" s="61" t="s">
        <v>81</v>
      </c>
      <c r="I24" s="62">
        <v>28.689698446242399</v>
      </c>
      <c r="J24" s="62">
        <v>52.899415183014511</v>
      </c>
      <c r="K24" s="62">
        <v>15.645987143320641</v>
      </c>
      <c r="L24" s="62">
        <v>2.764899227422426</v>
      </c>
      <c r="M24" s="64">
        <v>99.999999999999986</v>
      </c>
      <c r="O24" s="16" t="s">
        <v>81</v>
      </c>
      <c r="P24" s="14">
        <v>28.689698446242399</v>
      </c>
      <c r="Q24" s="14">
        <v>52.899415183014511</v>
      </c>
      <c r="R24" s="14">
        <v>15.645987143320641</v>
      </c>
      <c r="S24" s="14">
        <v>2.764899227422426</v>
      </c>
      <c r="T24" s="15">
        <v>99.999999999999986</v>
      </c>
    </row>
    <row r="25" spans="1:20" x14ac:dyDescent="0.3">
      <c r="A25" t="s">
        <v>59</v>
      </c>
      <c r="B25" t="s">
        <v>0</v>
      </c>
      <c r="C25" t="s">
        <v>100</v>
      </c>
      <c r="D25" t="s">
        <v>33</v>
      </c>
      <c r="E25">
        <v>23.840206185567009</v>
      </c>
      <c r="H25" s="61" t="s">
        <v>78</v>
      </c>
      <c r="I25" s="62">
        <v>28.743027746074539</v>
      </c>
      <c r="J25" s="62">
        <v>50.915664799798812</v>
      </c>
      <c r="K25" s="62">
        <v>17.338660621603651</v>
      </c>
      <c r="L25" s="62">
        <v>3.0026468325229949</v>
      </c>
      <c r="M25" s="64">
        <v>100</v>
      </c>
      <c r="O25" s="13" t="s">
        <v>75</v>
      </c>
      <c r="P25" s="14"/>
      <c r="Q25" s="14"/>
      <c r="R25" s="14"/>
      <c r="S25" s="14"/>
      <c r="T25" s="15"/>
    </row>
    <row r="26" spans="1:20" x14ac:dyDescent="0.3">
      <c r="A26" t="s">
        <v>59</v>
      </c>
      <c r="B26" t="s">
        <v>0</v>
      </c>
      <c r="C26" t="s">
        <v>101</v>
      </c>
      <c r="D26" t="s">
        <v>33</v>
      </c>
      <c r="E26">
        <v>38.524590163934427</v>
      </c>
      <c r="H26" s="60" t="s">
        <v>75</v>
      </c>
      <c r="I26" s="62"/>
      <c r="J26" s="62"/>
      <c r="K26" s="62"/>
      <c r="L26" s="62"/>
      <c r="M26" s="64"/>
      <c r="O26" s="16" t="s">
        <v>93</v>
      </c>
      <c r="P26" s="14">
        <v>28.111581667486512</v>
      </c>
      <c r="Q26" s="14">
        <v>51.475689969843963</v>
      </c>
      <c r="R26" s="14">
        <v>17.464851984986861</v>
      </c>
      <c r="S26" s="14">
        <v>2.947876377682678</v>
      </c>
      <c r="T26" s="15">
        <v>100</v>
      </c>
    </row>
    <row r="27" spans="1:20" x14ac:dyDescent="0.3">
      <c r="A27" t="s">
        <v>59</v>
      </c>
      <c r="B27" t="s">
        <v>0</v>
      </c>
      <c r="C27" t="s">
        <v>102</v>
      </c>
      <c r="D27" t="s">
        <v>33</v>
      </c>
      <c r="E27">
        <v>34.45680660374645</v>
      </c>
      <c r="H27" s="61" t="s">
        <v>93</v>
      </c>
      <c r="I27" s="62">
        <v>28.111581667486512</v>
      </c>
      <c r="J27" s="62">
        <v>51.475689969843963</v>
      </c>
      <c r="K27" s="62">
        <v>17.464851984986861</v>
      </c>
      <c r="L27" s="62">
        <v>2.947876377682678</v>
      </c>
      <c r="M27" s="64">
        <v>100.00000000000001</v>
      </c>
      <c r="O27" s="16" t="s">
        <v>92</v>
      </c>
      <c r="P27" s="14">
        <v>27.10554699515821</v>
      </c>
      <c r="Q27" s="14">
        <v>52.523158424299737</v>
      </c>
      <c r="R27" s="14">
        <v>17.545831352452801</v>
      </c>
      <c r="S27" s="14">
        <v>2.8254632280892071</v>
      </c>
      <c r="T27" s="15">
        <v>99.999999999999957</v>
      </c>
    </row>
    <row r="28" spans="1:20" x14ac:dyDescent="0.3">
      <c r="A28" t="s">
        <v>59</v>
      </c>
      <c r="B28" t="s">
        <v>0</v>
      </c>
      <c r="C28" t="s">
        <v>103</v>
      </c>
      <c r="D28" t="s">
        <v>33</v>
      </c>
      <c r="E28">
        <v>32.517524269440393</v>
      </c>
      <c r="H28" s="61" t="s">
        <v>92</v>
      </c>
      <c r="I28" s="62">
        <v>27.10554699515821</v>
      </c>
      <c r="J28" s="62">
        <v>52.523158424299737</v>
      </c>
      <c r="K28" s="62">
        <v>17.545831352452801</v>
      </c>
      <c r="L28" s="62">
        <v>2.8254632280892071</v>
      </c>
      <c r="M28" s="64">
        <v>99.999999999999943</v>
      </c>
      <c r="O28" s="16" t="s">
        <v>94</v>
      </c>
      <c r="P28" s="14">
        <v>27.859621323570469</v>
      </c>
      <c r="Q28" s="14">
        <v>51.068110586672191</v>
      </c>
      <c r="R28" s="14">
        <v>17.89130556488643</v>
      </c>
      <c r="S28" s="14">
        <v>3.1809625248709108</v>
      </c>
      <c r="T28" s="15">
        <v>100</v>
      </c>
    </row>
    <row r="29" spans="1:20" x14ac:dyDescent="0.3">
      <c r="A29" t="s">
        <v>59</v>
      </c>
      <c r="B29" t="s">
        <v>0</v>
      </c>
      <c r="C29" t="s">
        <v>104</v>
      </c>
      <c r="D29" t="s">
        <v>33</v>
      </c>
      <c r="E29">
        <v>15.31440162271805</v>
      </c>
      <c r="H29" s="61" t="s">
        <v>94</v>
      </c>
      <c r="I29" s="62">
        <v>27.859621323570469</v>
      </c>
      <c r="J29" s="62">
        <v>51.068110586672191</v>
      </c>
      <c r="K29" s="62">
        <v>17.89130556488643</v>
      </c>
      <c r="L29" s="62">
        <v>3.1809625248709108</v>
      </c>
      <c r="M29" s="64">
        <v>99.999999999999986</v>
      </c>
      <c r="O29" s="17" t="s">
        <v>95</v>
      </c>
      <c r="P29" s="18">
        <v>30.610004648361659</v>
      </c>
      <c r="Q29" s="18">
        <v>51.525345513345933</v>
      </c>
      <c r="R29" s="18">
        <v>14.94983304160659</v>
      </c>
      <c r="S29" s="18">
        <v>2.914816796685765</v>
      </c>
      <c r="T29" s="19">
        <v>99.999999999999943</v>
      </c>
    </row>
    <row r="30" spans="1:20" x14ac:dyDescent="0.3">
      <c r="A30" t="s">
        <v>59</v>
      </c>
      <c r="B30" t="s">
        <v>0</v>
      </c>
      <c r="C30" t="s">
        <v>105</v>
      </c>
      <c r="D30" t="s">
        <v>33</v>
      </c>
      <c r="E30"/>
      <c r="H30" s="61" t="s">
        <v>95</v>
      </c>
      <c r="I30" s="62">
        <v>30.610004648361659</v>
      </c>
      <c r="J30" s="62">
        <v>51.525345513345933</v>
      </c>
      <c r="K30" s="62">
        <v>14.94983304160659</v>
      </c>
      <c r="L30" s="62">
        <v>2.914816796685765</v>
      </c>
      <c r="M30" s="64">
        <v>99.999999999999957</v>
      </c>
    </row>
    <row r="31" spans="1:20" x14ac:dyDescent="0.3">
      <c r="A31" t="s">
        <v>59</v>
      </c>
      <c r="B31" t="s">
        <v>0</v>
      </c>
      <c r="C31" t="s">
        <v>106</v>
      </c>
      <c r="D31" t="s">
        <v>33</v>
      </c>
      <c r="E31">
        <v>32.508833922261481</v>
      </c>
      <c r="H31" s="60" t="s">
        <v>76</v>
      </c>
      <c r="I31" s="62"/>
      <c r="J31" s="62"/>
      <c r="K31" s="62"/>
      <c r="L31" s="62"/>
      <c r="M31" s="64"/>
    </row>
    <row r="32" spans="1:20" x14ac:dyDescent="0.3">
      <c r="A32" t="s">
        <v>59</v>
      </c>
      <c r="B32" t="s">
        <v>0</v>
      </c>
      <c r="C32" t="s">
        <v>107</v>
      </c>
      <c r="D32" t="s">
        <v>33</v>
      </c>
      <c r="E32">
        <v>24.7578040904198</v>
      </c>
      <c r="H32" s="61" t="s">
        <v>97</v>
      </c>
      <c r="I32" s="62">
        <v>26.227542833307879</v>
      </c>
      <c r="J32" s="62">
        <v>51.748458611758473</v>
      </c>
      <c r="K32" s="62">
        <v>19.143678415048459</v>
      </c>
      <c r="L32" s="62">
        <v>2.8803201398851939</v>
      </c>
      <c r="M32" s="64">
        <v>100</v>
      </c>
    </row>
    <row r="33" spans="1:13" x14ac:dyDescent="0.3">
      <c r="A33" t="s">
        <v>59</v>
      </c>
      <c r="B33" t="s">
        <v>0</v>
      </c>
      <c r="C33" t="s">
        <v>108</v>
      </c>
      <c r="D33" t="s">
        <v>33</v>
      </c>
      <c r="E33">
        <v>15.686274509803919</v>
      </c>
      <c r="H33" s="61" t="s">
        <v>98</v>
      </c>
      <c r="I33" s="62">
        <v>29.363797193140659</v>
      </c>
      <c r="J33" s="62">
        <v>51.212830367166063</v>
      </c>
      <c r="K33" s="62">
        <v>16.79281596943817</v>
      </c>
      <c r="L33" s="62">
        <v>2.630556470255113</v>
      </c>
      <c r="M33" s="64">
        <v>100</v>
      </c>
    </row>
    <row r="34" spans="1:13" x14ac:dyDescent="0.3">
      <c r="A34" t="s">
        <v>59</v>
      </c>
      <c r="B34" t="s">
        <v>0</v>
      </c>
      <c r="C34" t="s">
        <v>109</v>
      </c>
      <c r="D34" t="s">
        <v>33</v>
      </c>
      <c r="E34">
        <v>32.033426183844007</v>
      </c>
      <c r="H34" s="61" t="s">
        <v>96</v>
      </c>
      <c r="I34" s="62">
        <v>26.510548241122571</v>
      </c>
      <c r="J34" s="62">
        <v>52.653527433506461</v>
      </c>
      <c r="K34" s="62">
        <v>18.46369126221121</v>
      </c>
      <c r="L34" s="62">
        <v>2.3722330631597539</v>
      </c>
      <c r="M34" s="64">
        <v>100</v>
      </c>
    </row>
    <row r="35" spans="1:13" x14ac:dyDescent="0.3">
      <c r="A35" t="s">
        <v>59</v>
      </c>
      <c r="B35" t="s">
        <v>0</v>
      </c>
      <c r="C35" t="s">
        <v>110</v>
      </c>
      <c r="D35" t="s">
        <v>33</v>
      </c>
      <c r="E35">
        <v>19.289340101522839</v>
      </c>
      <c r="H35" s="60" t="s">
        <v>0</v>
      </c>
      <c r="I35" s="62"/>
      <c r="J35" s="62"/>
      <c r="K35" s="62"/>
      <c r="L35" s="62"/>
      <c r="M35" s="64"/>
    </row>
    <row r="36" spans="1:13" x14ac:dyDescent="0.3">
      <c r="A36" t="s">
        <v>59</v>
      </c>
      <c r="B36" t="s">
        <v>0</v>
      </c>
      <c r="C36" t="s">
        <v>111</v>
      </c>
      <c r="D36" t="s">
        <v>33</v>
      </c>
      <c r="E36">
        <v>20.62062062062062</v>
      </c>
      <c r="H36" s="61" t="s">
        <v>99</v>
      </c>
      <c r="I36" s="62">
        <v>38.378034503095257</v>
      </c>
      <c r="J36" s="62">
        <v>50.660419387637631</v>
      </c>
      <c r="K36" s="62">
        <v>10.13515129874593</v>
      </c>
      <c r="L36" s="62">
        <v>0.82639481052118202</v>
      </c>
      <c r="M36" s="64">
        <v>99.999999999999986</v>
      </c>
    </row>
    <row r="37" spans="1:13" x14ac:dyDescent="0.3">
      <c r="A37" t="s">
        <v>59</v>
      </c>
      <c r="B37" t="s">
        <v>0</v>
      </c>
      <c r="C37" t="s">
        <v>112</v>
      </c>
      <c r="D37" t="s">
        <v>33</v>
      </c>
      <c r="E37">
        <v>28.795298726738491</v>
      </c>
      <c r="H37" s="61" t="s">
        <v>100</v>
      </c>
      <c r="I37" s="62">
        <v>17.768688438251932</v>
      </c>
      <c r="J37" s="62">
        <v>55.871418976566062</v>
      </c>
      <c r="K37" s="62">
        <v>23.881611165099219</v>
      </c>
      <c r="L37" s="62">
        <v>2.4782814200827961</v>
      </c>
      <c r="M37" s="64">
        <v>100</v>
      </c>
    </row>
    <row r="38" spans="1:13" x14ac:dyDescent="0.3">
      <c r="A38" t="s">
        <v>59</v>
      </c>
      <c r="B38" t="s">
        <v>0</v>
      </c>
      <c r="C38" t="s">
        <v>113</v>
      </c>
      <c r="D38" t="s">
        <v>33</v>
      </c>
      <c r="E38">
        <v>35.670607984628766</v>
      </c>
      <c r="H38" s="61" t="s">
        <v>101</v>
      </c>
      <c r="I38" s="62">
        <v>31.814982403217691</v>
      </c>
      <c r="J38" s="62">
        <v>53.745600804424342</v>
      </c>
      <c r="K38" s="62">
        <v>12.941176470588241</v>
      </c>
      <c r="L38" s="62">
        <v>1.498240321769734</v>
      </c>
      <c r="M38" s="64">
        <v>100</v>
      </c>
    </row>
    <row r="39" spans="1:13" x14ac:dyDescent="0.3">
      <c r="A39" t="s">
        <v>59</v>
      </c>
      <c r="B39" t="s">
        <v>0</v>
      </c>
      <c r="C39" t="s">
        <v>114</v>
      </c>
      <c r="D39" t="s">
        <v>33</v>
      </c>
      <c r="E39">
        <v>16.565656565656571</v>
      </c>
      <c r="H39" s="61" t="s">
        <v>102</v>
      </c>
      <c r="I39" s="62">
        <v>40.195057848826629</v>
      </c>
      <c r="J39" s="62">
        <v>49.935273260170113</v>
      </c>
      <c r="K39" s="62">
        <v>8.4231969597153409</v>
      </c>
      <c r="L39" s="62">
        <v>1.4464719312879091</v>
      </c>
      <c r="M39" s="64">
        <v>99.999999999999986</v>
      </c>
    </row>
    <row r="40" spans="1:13" x14ac:dyDescent="0.3">
      <c r="A40" t="s">
        <v>59</v>
      </c>
      <c r="B40" t="s">
        <v>0</v>
      </c>
      <c r="C40" t="s">
        <v>115</v>
      </c>
      <c r="D40" t="s">
        <v>33</v>
      </c>
      <c r="E40">
        <v>26.4855298556745</v>
      </c>
      <c r="H40" s="61" t="s">
        <v>103</v>
      </c>
      <c r="I40" s="62">
        <v>35.132966319951663</v>
      </c>
      <c r="J40" s="62">
        <v>51.206936426627337</v>
      </c>
      <c r="K40" s="62">
        <v>11.398650658681859</v>
      </c>
      <c r="L40" s="62">
        <v>2.261446594739116</v>
      </c>
      <c r="M40" s="64">
        <v>99.999999999999972</v>
      </c>
    </row>
    <row r="41" spans="1:13" x14ac:dyDescent="0.3">
      <c r="A41" t="s">
        <v>59</v>
      </c>
      <c r="B41" t="s">
        <v>0</v>
      </c>
      <c r="C41" t="s">
        <v>116</v>
      </c>
      <c r="D41" t="s">
        <v>33</v>
      </c>
      <c r="E41">
        <v>37.06293706293706</v>
      </c>
      <c r="H41" s="61" t="s">
        <v>104</v>
      </c>
      <c r="I41" s="62">
        <v>23.18424420676708</v>
      </c>
      <c r="J41" s="62">
        <v>53.55069448060695</v>
      </c>
      <c r="K41" s="62">
        <v>20.118586940939601</v>
      </c>
      <c r="L41" s="62">
        <v>3.1464743716863661</v>
      </c>
      <c r="M41" s="64">
        <v>100</v>
      </c>
    </row>
    <row r="42" spans="1:13" x14ac:dyDescent="0.3">
      <c r="A42" t="s">
        <v>59</v>
      </c>
      <c r="B42" t="s">
        <v>69</v>
      </c>
      <c r="C42" t="s">
        <v>69</v>
      </c>
      <c r="D42" t="s">
        <v>34</v>
      </c>
      <c r="E42">
        <v>51.34246564593672</v>
      </c>
      <c r="H42" s="61" t="s">
        <v>105</v>
      </c>
      <c r="I42" s="62">
        <v>32.447075029406783</v>
      </c>
      <c r="J42" s="62">
        <v>46.488766393011034</v>
      </c>
      <c r="K42" s="62">
        <v>17.508155798429879</v>
      </c>
      <c r="L42" s="62">
        <v>3.5560027791523008</v>
      </c>
      <c r="M42" s="64">
        <v>99.999999999999986</v>
      </c>
    </row>
    <row r="43" spans="1:13" x14ac:dyDescent="0.3">
      <c r="A43" t="s">
        <v>59</v>
      </c>
      <c r="B43" t="s">
        <v>70</v>
      </c>
      <c r="C43" t="s">
        <v>78</v>
      </c>
      <c r="D43" t="s">
        <v>34</v>
      </c>
      <c r="E43">
        <v>50.183791811612757</v>
      </c>
      <c r="H43" s="61" t="s">
        <v>106</v>
      </c>
      <c r="I43" s="62">
        <v>21.55052592110685</v>
      </c>
      <c r="J43" s="62">
        <v>47.580815245909967</v>
      </c>
      <c r="K43" s="62">
        <v>27.376605140128301</v>
      </c>
      <c r="L43" s="62">
        <v>3.4920536928548418</v>
      </c>
      <c r="M43" s="64">
        <v>99.999999999999957</v>
      </c>
    </row>
    <row r="44" spans="1:13" x14ac:dyDescent="0.3">
      <c r="A44" t="s">
        <v>59</v>
      </c>
      <c r="B44" t="s">
        <v>70</v>
      </c>
      <c r="C44" t="s">
        <v>79</v>
      </c>
      <c r="D44" t="s">
        <v>34</v>
      </c>
      <c r="E44">
        <v>51.295844510110079</v>
      </c>
      <c r="H44" s="61" t="s">
        <v>114</v>
      </c>
      <c r="I44" s="62">
        <v>22.670799035152911</v>
      </c>
      <c r="J44" s="62">
        <v>53.037649334889352</v>
      </c>
      <c r="K44" s="62">
        <v>20.583574386718229</v>
      </c>
      <c r="L44" s="62">
        <v>3.7079772432394931</v>
      </c>
      <c r="M44" s="64">
        <v>99.999999999999986</v>
      </c>
    </row>
    <row r="45" spans="1:13" x14ac:dyDescent="0.3">
      <c r="A45" t="s">
        <v>59</v>
      </c>
      <c r="B45" t="s">
        <v>70</v>
      </c>
      <c r="C45" t="s">
        <v>80</v>
      </c>
      <c r="D45" t="s">
        <v>34</v>
      </c>
      <c r="E45">
        <v>52.794460828176462</v>
      </c>
      <c r="H45" s="61" t="s">
        <v>107</v>
      </c>
      <c r="I45" s="62">
        <v>28.26113496543228</v>
      </c>
      <c r="J45" s="62">
        <v>51.37278538963043</v>
      </c>
      <c r="K45" s="62">
        <v>16.702111893179818</v>
      </c>
      <c r="L45" s="62">
        <v>3.6639677517574651</v>
      </c>
      <c r="M45" s="64">
        <v>100</v>
      </c>
    </row>
    <row r="46" spans="1:13" x14ac:dyDescent="0.3">
      <c r="A46" t="s">
        <v>59</v>
      </c>
      <c r="B46" t="s">
        <v>70</v>
      </c>
      <c r="C46" t="s">
        <v>81</v>
      </c>
      <c r="D46" t="s">
        <v>34</v>
      </c>
      <c r="E46">
        <v>51.554518899794672</v>
      </c>
      <c r="H46" s="61" t="s">
        <v>108</v>
      </c>
      <c r="I46" s="62">
        <v>28.856115547254181</v>
      </c>
      <c r="J46" s="62">
        <v>53.464496859319269</v>
      </c>
      <c r="K46" s="62">
        <v>14.26690764851271</v>
      </c>
      <c r="L46" s="62">
        <v>3.4124799449138341</v>
      </c>
      <c r="M46" s="64">
        <v>100</v>
      </c>
    </row>
    <row r="47" spans="1:13" x14ac:dyDescent="0.3">
      <c r="A47" t="s">
        <v>59</v>
      </c>
      <c r="B47" t="s">
        <v>71</v>
      </c>
      <c r="C47" t="s">
        <v>82</v>
      </c>
      <c r="D47" t="s">
        <v>34</v>
      </c>
      <c r="E47">
        <v>53.240783544211453</v>
      </c>
      <c r="H47" s="61" t="s">
        <v>109</v>
      </c>
      <c r="I47" s="62">
        <v>32.183474412266243</v>
      </c>
      <c r="J47" s="62">
        <v>49.857505642156703</v>
      </c>
      <c r="K47" s="62">
        <v>15.21764434542963</v>
      </c>
      <c r="L47" s="62">
        <v>2.7413756001474039</v>
      </c>
      <c r="M47" s="64">
        <v>99.999999999999986</v>
      </c>
    </row>
    <row r="48" spans="1:13" x14ac:dyDescent="0.3">
      <c r="A48" t="s">
        <v>59</v>
      </c>
      <c r="B48" t="s">
        <v>71</v>
      </c>
      <c r="C48" t="s">
        <v>83</v>
      </c>
      <c r="D48" t="s">
        <v>34</v>
      </c>
      <c r="E48">
        <v>51.377284989107572</v>
      </c>
      <c r="H48" s="61" t="s">
        <v>110</v>
      </c>
      <c r="I48" s="62">
        <v>18.938521343247</v>
      </c>
      <c r="J48" s="62">
        <v>51.671167856165233</v>
      </c>
      <c r="K48" s="62">
        <v>24.232022125381839</v>
      </c>
      <c r="L48" s="62">
        <v>5.1582886752059194</v>
      </c>
      <c r="M48" s="64">
        <v>99.999999999999986</v>
      </c>
    </row>
    <row r="49" spans="1:13" x14ac:dyDescent="0.3">
      <c r="A49" t="s">
        <v>59</v>
      </c>
      <c r="B49" t="s">
        <v>71</v>
      </c>
      <c r="C49" t="s">
        <v>84</v>
      </c>
      <c r="D49" t="s">
        <v>34</v>
      </c>
      <c r="E49">
        <v>49.752485826056457</v>
      </c>
      <c r="H49" s="61" t="s">
        <v>111</v>
      </c>
      <c r="I49" s="62">
        <v>27.230298120771138</v>
      </c>
      <c r="J49" s="62">
        <v>48.114393234620643</v>
      </c>
      <c r="K49" s="62">
        <v>20.29490955964727</v>
      </c>
      <c r="L49" s="62">
        <v>4.3603990849609602</v>
      </c>
      <c r="M49" s="64">
        <v>100</v>
      </c>
    </row>
    <row r="50" spans="1:13" x14ac:dyDescent="0.3">
      <c r="A50" t="s">
        <v>59</v>
      </c>
      <c r="B50" t="s">
        <v>71</v>
      </c>
      <c r="C50" t="s">
        <v>85</v>
      </c>
      <c r="D50" t="s">
        <v>34</v>
      </c>
      <c r="E50">
        <v>52.232703126661193</v>
      </c>
      <c r="H50" s="61" t="s">
        <v>113</v>
      </c>
      <c r="I50" s="62">
        <v>37.316179998367147</v>
      </c>
      <c r="J50" s="62">
        <v>48.917233059839347</v>
      </c>
      <c r="K50" s="62">
        <v>11.91075400471861</v>
      </c>
      <c r="L50" s="62">
        <v>1.8558329370748821</v>
      </c>
      <c r="M50" s="64">
        <v>99.999999999999986</v>
      </c>
    </row>
    <row r="51" spans="1:13" x14ac:dyDescent="0.3">
      <c r="A51" t="s">
        <v>59</v>
      </c>
      <c r="B51" t="s">
        <v>72</v>
      </c>
      <c r="C51" t="s">
        <v>86</v>
      </c>
      <c r="D51" t="s">
        <v>34</v>
      </c>
      <c r="E51">
        <v>51.246950926954312</v>
      </c>
      <c r="H51" s="61" t="s">
        <v>112</v>
      </c>
      <c r="I51" s="62">
        <v>24.831189542244609</v>
      </c>
      <c r="J51" s="62">
        <v>62.010226133750933</v>
      </c>
      <c r="K51" s="62">
        <v>11.78530932709724</v>
      </c>
      <c r="L51" s="62">
        <v>1.3732749969072231</v>
      </c>
      <c r="M51" s="64">
        <v>100</v>
      </c>
    </row>
    <row r="52" spans="1:13" x14ac:dyDescent="0.3">
      <c r="A52" t="s">
        <v>59</v>
      </c>
      <c r="B52" t="s">
        <v>72</v>
      </c>
      <c r="C52" t="s">
        <v>87</v>
      </c>
      <c r="D52" t="s">
        <v>34</v>
      </c>
      <c r="E52">
        <v>51.441749109208487</v>
      </c>
      <c r="H52" s="61" t="s">
        <v>115</v>
      </c>
      <c r="I52" s="62">
        <v>18.257051469644608</v>
      </c>
      <c r="J52" s="62">
        <v>57.497818457526087</v>
      </c>
      <c r="K52" s="62">
        <v>22.606482920428739</v>
      </c>
      <c r="L52" s="62">
        <v>1.6386471524005299</v>
      </c>
      <c r="M52" s="64">
        <v>99.999999999999943</v>
      </c>
    </row>
    <row r="53" spans="1:13" x14ac:dyDescent="0.3">
      <c r="A53" t="s">
        <v>59</v>
      </c>
      <c r="B53" t="s">
        <v>73</v>
      </c>
      <c r="C53" t="s">
        <v>88</v>
      </c>
      <c r="D53" t="s">
        <v>34</v>
      </c>
      <c r="E53">
        <v>50.878433263982323</v>
      </c>
      <c r="H53" s="61" t="s">
        <v>116</v>
      </c>
      <c r="I53" s="62">
        <v>23.529663559827419</v>
      </c>
      <c r="J53" s="62">
        <v>42.888047992637922</v>
      </c>
      <c r="K53" s="62">
        <v>26.641920191264109</v>
      </c>
      <c r="L53" s="62">
        <v>6.9403682562705669</v>
      </c>
      <c r="M53" s="64">
        <v>100</v>
      </c>
    </row>
    <row r="54" spans="1:13" ht="15.75" x14ac:dyDescent="0.25">
      <c r="A54" t="s">
        <v>59</v>
      </c>
      <c r="B54" t="s">
        <v>73</v>
      </c>
      <c r="C54" t="s">
        <v>89</v>
      </c>
      <c r="D54" t="s">
        <v>34</v>
      </c>
      <c r="E54">
        <v>52.012121684572072</v>
      </c>
      <c r="H54"/>
      <c r="I54" s="7"/>
      <c r="J54" s="7"/>
      <c r="K54" s="7"/>
      <c r="L54" s="7"/>
    </row>
    <row r="55" spans="1:13" x14ac:dyDescent="0.3">
      <c r="A55" t="s">
        <v>59</v>
      </c>
      <c r="B55" t="s">
        <v>74</v>
      </c>
      <c r="C55" t="s">
        <v>90</v>
      </c>
      <c r="D55" t="s">
        <v>34</v>
      </c>
      <c r="E55">
        <v>46.803938194907722</v>
      </c>
    </row>
    <row r="56" spans="1:13" x14ac:dyDescent="0.3">
      <c r="A56" t="s">
        <v>59</v>
      </c>
      <c r="B56" t="s">
        <v>74</v>
      </c>
      <c r="C56" t="s">
        <v>91</v>
      </c>
      <c r="D56" t="s">
        <v>34</v>
      </c>
      <c r="E56">
        <v>52.731940670672593</v>
      </c>
    </row>
    <row r="57" spans="1:13" x14ac:dyDescent="0.3">
      <c r="A57" t="s">
        <v>59</v>
      </c>
      <c r="B57" t="s">
        <v>75</v>
      </c>
      <c r="C57" t="s">
        <v>92</v>
      </c>
      <c r="D57" t="s">
        <v>34</v>
      </c>
      <c r="E57">
        <v>50.291275195401766</v>
      </c>
    </row>
    <row r="58" spans="1:13" x14ac:dyDescent="0.3">
      <c r="A58" t="s">
        <v>59</v>
      </c>
      <c r="B58" t="s">
        <v>75</v>
      </c>
      <c r="C58" t="s">
        <v>93</v>
      </c>
      <c r="D58" t="s">
        <v>34</v>
      </c>
      <c r="E58">
        <v>51.699878047301148</v>
      </c>
    </row>
    <row r="59" spans="1:13" x14ac:dyDescent="0.3">
      <c r="A59" t="s">
        <v>59</v>
      </c>
      <c r="B59" t="s">
        <v>75</v>
      </c>
      <c r="C59" t="s">
        <v>94</v>
      </c>
      <c r="D59" t="s">
        <v>34</v>
      </c>
      <c r="E59">
        <v>50.026567228533011</v>
      </c>
    </row>
    <row r="60" spans="1:13" x14ac:dyDescent="0.3">
      <c r="A60" t="s">
        <v>59</v>
      </c>
      <c r="B60" t="s">
        <v>75</v>
      </c>
      <c r="C60" t="s">
        <v>95</v>
      </c>
      <c r="D60" t="s">
        <v>34</v>
      </c>
      <c r="E60">
        <v>52.938409010904373</v>
      </c>
    </row>
    <row r="61" spans="1:13" x14ac:dyDescent="0.3">
      <c r="A61" t="s">
        <v>59</v>
      </c>
      <c r="B61" t="s">
        <v>76</v>
      </c>
      <c r="C61" t="s">
        <v>96</v>
      </c>
      <c r="D61" t="s">
        <v>34</v>
      </c>
      <c r="E61"/>
    </row>
    <row r="62" spans="1:13" x14ac:dyDescent="0.3">
      <c r="A62" t="s">
        <v>59</v>
      </c>
      <c r="B62" t="s">
        <v>76</v>
      </c>
      <c r="C62" t="s">
        <v>97</v>
      </c>
      <c r="D62" t="s">
        <v>34</v>
      </c>
      <c r="E62"/>
    </row>
    <row r="63" spans="1:13" x14ac:dyDescent="0.3">
      <c r="A63" t="s">
        <v>59</v>
      </c>
      <c r="B63" t="s">
        <v>76</v>
      </c>
      <c r="C63" t="s">
        <v>98</v>
      </c>
      <c r="D63" t="s">
        <v>34</v>
      </c>
      <c r="E63"/>
    </row>
    <row r="64" spans="1:13" x14ac:dyDescent="0.3">
      <c r="A64" t="s">
        <v>59</v>
      </c>
      <c r="B64" t="s">
        <v>0</v>
      </c>
      <c r="C64" t="s">
        <v>99</v>
      </c>
      <c r="D64" t="s">
        <v>34</v>
      </c>
      <c r="E64">
        <v>40.990606319385137</v>
      </c>
    </row>
    <row r="65" spans="1:5" x14ac:dyDescent="0.3">
      <c r="A65" t="s">
        <v>59</v>
      </c>
      <c r="B65" t="s">
        <v>0</v>
      </c>
      <c r="C65" t="s">
        <v>100</v>
      </c>
      <c r="D65" t="s">
        <v>34</v>
      </c>
      <c r="E65">
        <v>66.237113402061851</v>
      </c>
    </row>
    <row r="66" spans="1:5" x14ac:dyDescent="0.3">
      <c r="A66" t="s">
        <v>59</v>
      </c>
      <c r="B66" t="s">
        <v>0</v>
      </c>
      <c r="C66" t="s">
        <v>101</v>
      </c>
      <c r="D66" t="s">
        <v>34</v>
      </c>
      <c r="E66">
        <v>54.098360655737707</v>
      </c>
    </row>
    <row r="67" spans="1:5" x14ac:dyDescent="0.3">
      <c r="A67" t="s">
        <v>59</v>
      </c>
      <c r="B67" t="s">
        <v>0</v>
      </c>
      <c r="C67" t="s">
        <v>102</v>
      </c>
      <c r="D67" t="s">
        <v>34</v>
      </c>
      <c r="E67">
        <v>53.936967252240272</v>
      </c>
    </row>
    <row r="68" spans="1:5" x14ac:dyDescent="0.3">
      <c r="A68" t="s">
        <v>59</v>
      </c>
      <c r="B68" t="s">
        <v>0</v>
      </c>
      <c r="C68" t="s">
        <v>103</v>
      </c>
      <c r="D68" t="s">
        <v>34</v>
      </c>
      <c r="E68">
        <v>52.269026321191902</v>
      </c>
    </row>
    <row r="69" spans="1:5" x14ac:dyDescent="0.3">
      <c r="A69" t="s">
        <v>59</v>
      </c>
      <c r="B69" t="s">
        <v>0</v>
      </c>
      <c r="C69" t="s">
        <v>104</v>
      </c>
      <c r="D69" t="s">
        <v>34</v>
      </c>
      <c r="E69">
        <v>61.967545638945232</v>
      </c>
    </row>
    <row r="70" spans="1:5" x14ac:dyDescent="0.3">
      <c r="A70" t="s">
        <v>59</v>
      </c>
      <c r="B70" t="s">
        <v>0</v>
      </c>
      <c r="C70" t="s">
        <v>105</v>
      </c>
      <c r="D70" t="s">
        <v>34</v>
      </c>
      <c r="E70"/>
    </row>
    <row r="71" spans="1:5" x14ac:dyDescent="0.3">
      <c r="A71" t="s">
        <v>59</v>
      </c>
      <c r="B71" t="s">
        <v>0</v>
      </c>
      <c r="C71" t="s">
        <v>106</v>
      </c>
      <c r="D71" t="s">
        <v>34</v>
      </c>
      <c r="E71">
        <v>54.946996466431102</v>
      </c>
    </row>
    <row r="72" spans="1:5" x14ac:dyDescent="0.3">
      <c r="A72" t="s">
        <v>59</v>
      </c>
      <c r="B72" t="s">
        <v>0</v>
      </c>
      <c r="C72" t="s">
        <v>107</v>
      </c>
      <c r="D72" t="s">
        <v>34</v>
      </c>
      <c r="E72">
        <v>38.213132400430567</v>
      </c>
    </row>
    <row r="73" spans="1:5" x14ac:dyDescent="0.3">
      <c r="A73" t="s">
        <v>59</v>
      </c>
      <c r="B73" t="s">
        <v>0</v>
      </c>
      <c r="C73" t="s">
        <v>108</v>
      </c>
      <c r="D73" t="s">
        <v>34</v>
      </c>
      <c r="E73">
        <v>59.958720330237362</v>
      </c>
    </row>
    <row r="74" spans="1:5" x14ac:dyDescent="0.3">
      <c r="A74" t="s">
        <v>59</v>
      </c>
      <c r="B74" t="s">
        <v>0</v>
      </c>
      <c r="C74" t="s">
        <v>109</v>
      </c>
      <c r="D74" t="s">
        <v>34</v>
      </c>
      <c r="E74">
        <v>39.182915506035279</v>
      </c>
    </row>
    <row r="75" spans="1:5" x14ac:dyDescent="0.3">
      <c r="A75" t="s">
        <v>59</v>
      </c>
      <c r="B75" t="s">
        <v>0</v>
      </c>
      <c r="C75" t="s">
        <v>110</v>
      </c>
      <c r="D75" t="s">
        <v>34</v>
      </c>
      <c r="E75">
        <v>43.248730964467001</v>
      </c>
    </row>
    <row r="76" spans="1:5" x14ac:dyDescent="0.3">
      <c r="A76" t="s">
        <v>59</v>
      </c>
      <c r="B76" t="s">
        <v>0</v>
      </c>
      <c r="C76" t="s">
        <v>111</v>
      </c>
      <c r="D76" t="s">
        <v>34</v>
      </c>
      <c r="E76">
        <v>58.458458458458459</v>
      </c>
    </row>
    <row r="77" spans="1:5" x14ac:dyDescent="0.3">
      <c r="A77" t="s">
        <v>59</v>
      </c>
      <c r="B77" t="s">
        <v>0</v>
      </c>
      <c r="C77" t="s">
        <v>112</v>
      </c>
      <c r="D77" t="s">
        <v>34</v>
      </c>
      <c r="E77">
        <v>57.002938295788439</v>
      </c>
    </row>
    <row r="78" spans="1:5" x14ac:dyDescent="0.3">
      <c r="A78" t="s">
        <v>59</v>
      </c>
      <c r="B78" t="s">
        <v>0</v>
      </c>
      <c r="C78" t="s">
        <v>113</v>
      </c>
      <c r="D78" t="s">
        <v>34</v>
      </c>
      <c r="E78">
        <v>52.356206910253668</v>
      </c>
    </row>
    <row r="79" spans="1:5" x14ac:dyDescent="0.3">
      <c r="A79" t="s">
        <v>59</v>
      </c>
      <c r="B79" t="s">
        <v>0</v>
      </c>
      <c r="C79" t="s">
        <v>114</v>
      </c>
      <c r="D79" t="s">
        <v>34</v>
      </c>
      <c r="E79">
        <v>44.343434343434353</v>
      </c>
    </row>
    <row r="80" spans="1:5" x14ac:dyDescent="0.3">
      <c r="A80" t="s">
        <v>59</v>
      </c>
      <c r="B80" t="s">
        <v>0</v>
      </c>
      <c r="C80" t="s">
        <v>115</v>
      </c>
      <c r="D80" t="s">
        <v>34</v>
      </c>
      <c r="E80">
        <v>52.386269496964417</v>
      </c>
    </row>
    <row r="81" spans="1:5" x14ac:dyDescent="0.3">
      <c r="A81" t="s">
        <v>59</v>
      </c>
      <c r="B81" t="s">
        <v>0</v>
      </c>
      <c r="C81" t="s">
        <v>116</v>
      </c>
      <c r="D81" t="s">
        <v>34</v>
      </c>
      <c r="E81">
        <v>48.164335664335667</v>
      </c>
    </row>
    <row r="82" spans="1:5" x14ac:dyDescent="0.3">
      <c r="A82" t="s">
        <v>59</v>
      </c>
      <c r="B82" t="s">
        <v>69</v>
      </c>
      <c r="C82" t="s">
        <v>69</v>
      </c>
      <c r="D82" t="s">
        <v>35</v>
      </c>
      <c r="E82">
        <v>14.31782436799408</v>
      </c>
    </row>
    <row r="83" spans="1:5" x14ac:dyDescent="0.3">
      <c r="A83" t="s">
        <v>59</v>
      </c>
      <c r="B83" t="s">
        <v>70</v>
      </c>
      <c r="C83" t="s">
        <v>78</v>
      </c>
      <c r="D83" t="s">
        <v>35</v>
      </c>
      <c r="E83">
        <v>13.75438736465372</v>
      </c>
    </row>
    <row r="84" spans="1:5" x14ac:dyDescent="0.3">
      <c r="A84" t="s">
        <v>59</v>
      </c>
      <c r="B84" t="s">
        <v>70</v>
      </c>
      <c r="C84" t="s">
        <v>79</v>
      </c>
      <c r="D84" t="s">
        <v>35</v>
      </c>
      <c r="E84">
        <v>13.565057988841829</v>
      </c>
    </row>
    <row r="85" spans="1:5" x14ac:dyDescent="0.3">
      <c r="A85" t="s">
        <v>59</v>
      </c>
      <c r="B85" t="s">
        <v>70</v>
      </c>
      <c r="C85" t="s">
        <v>80</v>
      </c>
      <c r="D85" t="s">
        <v>35</v>
      </c>
      <c r="E85">
        <v>14.556501488565649</v>
      </c>
    </row>
    <row r="86" spans="1:5" x14ac:dyDescent="0.3">
      <c r="A86" t="s">
        <v>59</v>
      </c>
      <c r="B86" t="s">
        <v>70</v>
      </c>
      <c r="C86" t="s">
        <v>81</v>
      </c>
      <c r="D86" t="s">
        <v>35</v>
      </c>
      <c r="E86">
        <v>15.62157813256791</v>
      </c>
    </row>
    <row r="87" spans="1:5" x14ac:dyDescent="0.3">
      <c r="A87" t="s">
        <v>59</v>
      </c>
      <c r="B87" t="s">
        <v>71</v>
      </c>
      <c r="C87" t="s">
        <v>82</v>
      </c>
      <c r="D87" t="s">
        <v>35</v>
      </c>
      <c r="E87">
        <v>13.913345522113209</v>
      </c>
    </row>
    <row r="88" spans="1:5" x14ac:dyDescent="0.3">
      <c r="A88" t="s">
        <v>59</v>
      </c>
      <c r="B88" t="s">
        <v>71</v>
      </c>
      <c r="C88" t="s">
        <v>83</v>
      </c>
      <c r="D88" t="s">
        <v>35</v>
      </c>
      <c r="E88">
        <v>15.10843142482361</v>
      </c>
    </row>
    <row r="89" spans="1:5" x14ac:dyDescent="0.3">
      <c r="A89" t="s">
        <v>59</v>
      </c>
      <c r="B89" t="s">
        <v>71</v>
      </c>
      <c r="C89" t="s">
        <v>84</v>
      </c>
      <c r="D89" t="s">
        <v>35</v>
      </c>
      <c r="E89">
        <v>14.032502250995501</v>
      </c>
    </row>
    <row r="90" spans="1:5" x14ac:dyDescent="0.3">
      <c r="A90" t="s">
        <v>59</v>
      </c>
      <c r="B90" t="s">
        <v>71</v>
      </c>
      <c r="C90" t="s">
        <v>85</v>
      </c>
      <c r="D90" t="s">
        <v>35</v>
      </c>
      <c r="E90">
        <v>11.78990357009784</v>
      </c>
    </row>
    <row r="91" spans="1:5" x14ac:dyDescent="0.3">
      <c r="A91" t="s">
        <v>59</v>
      </c>
      <c r="B91" t="s">
        <v>72</v>
      </c>
      <c r="C91" t="s">
        <v>86</v>
      </c>
      <c r="D91" t="s">
        <v>35</v>
      </c>
      <c r="E91">
        <v>13.43380046846293</v>
      </c>
    </row>
    <row r="92" spans="1:5" x14ac:dyDescent="0.3">
      <c r="A92" t="s">
        <v>59</v>
      </c>
      <c r="B92" t="s">
        <v>72</v>
      </c>
      <c r="C92" t="s">
        <v>87</v>
      </c>
      <c r="D92" t="s">
        <v>35</v>
      </c>
      <c r="E92">
        <v>15.236729383844621</v>
      </c>
    </row>
    <row r="93" spans="1:5" x14ac:dyDescent="0.3">
      <c r="A93" t="s">
        <v>59</v>
      </c>
      <c r="B93" t="s">
        <v>73</v>
      </c>
      <c r="C93" t="s">
        <v>88</v>
      </c>
      <c r="D93" t="s">
        <v>35</v>
      </c>
      <c r="E93">
        <v>14.35189225491461</v>
      </c>
    </row>
    <row r="94" spans="1:5" x14ac:dyDescent="0.3">
      <c r="A94" t="s">
        <v>59</v>
      </c>
      <c r="B94" t="s">
        <v>73</v>
      </c>
      <c r="C94" t="s">
        <v>89</v>
      </c>
      <c r="D94" t="s">
        <v>35</v>
      </c>
      <c r="E94">
        <v>14.167175608361751</v>
      </c>
    </row>
    <row r="95" spans="1:5" x14ac:dyDescent="0.3">
      <c r="A95" t="s">
        <v>59</v>
      </c>
      <c r="B95" t="s">
        <v>74</v>
      </c>
      <c r="C95" t="s">
        <v>90</v>
      </c>
      <c r="D95" t="s">
        <v>35</v>
      </c>
      <c r="E95">
        <v>17.402847306132308</v>
      </c>
    </row>
    <row r="96" spans="1:5" x14ac:dyDescent="0.3">
      <c r="A96" t="s">
        <v>59</v>
      </c>
      <c r="B96" t="s">
        <v>74</v>
      </c>
      <c r="C96" t="s">
        <v>91</v>
      </c>
      <c r="D96" t="s">
        <v>35</v>
      </c>
      <c r="E96">
        <v>13.326941861437639</v>
      </c>
    </row>
    <row r="97" spans="1:5" x14ac:dyDescent="0.3">
      <c r="A97" t="s">
        <v>59</v>
      </c>
      <c r="B97" t="s">
        <v>75</v>
      </c>
      <c r="C97" t="s">
        <v>92</v>
      </c>
      <c r="D97" t="s">
        <v>35</v>
      </c>
      <c r="E97">
        <v>14.87264246462181</v>
      </c>
    </row>
    <row r="98" spans="1:5" x14ac:dyDescent="0.3">
      <c r="A98" t="s">
        <v>59</v>
      </c>
      <c r="B98" t="s">
        <v>75</v>
      </c>
      <c r="C98" t="s">
        <v>93</v>
      </c>
      <c r="D98" t="s">
        <v>35</v>
      </c>
      <c r="E98">
        <v>14.66726155283345</v>
      </c>
    </row>
    <row r="99" spans="1:5" x14ac:dyDescent="0.3">
      <c r="A99" t="s">
        <v>59</v>
      </c>
      <c r="B99" t="s">
        <v>75</v>
      </c>
      <c r="C99" t="s">
        <v>94</v>
      </c>
      <c r="D99" t="s">
        <v>35</v>
      </c>
      <c r="E99">
        <v>15.100078390292371</v>
      </c>
    </row>
    <row r="100" spans="1:5" x14ac:dyDescent="0.3">
      <c r="A100" t="s">
        <v>59</v>
      </c>
      <c r="B100" t="s">
        <v>75</v>
      </c>
      <c r="C100" t="s">
        <v>95</v>
      </c>
      <c r="D100" t="s">
        <v>35</v>
      </c>
      <c r="E100">
        <v>12.40142767927556</v>
      </c>
    </row>
    <row r="101" spans="1:5" x14ac:dyDescent="0.3">
      <c r="A101" t="s">
        <v>59</v>
      </c>
      <c r="B101" t="s">
        <v>76</v>
      </c>
      <c r="C101" t="s">
        <v>96</v>
      </c>
      <c r="D101" t="s">
        <v>35</v>
      </c>
      <c r="E101"/>
    </row>
    <row r="102" spans="1:5" x14ac:dyDescent="0.3">
      <c r="A102" t="s">
        <v>59</v>
      </c>
      <c r="B102" t="s">
        <v>76</v>
      </c>
      <c r="C102" t="s">
        <v>97</v>
      </c>
      <c r="D102" t="s">
        <v>35</v>
      </c>
      <c r="E102"/>
    </row>
    <row r="103" spans="1:5" x14ac:dyDescent="0.3">
      <c r="A103" t="s">
        <v>59</v>
      </c>
      <c r="B103" t="s">
        <v>76</v>
      </c>
      <c r="C103" t="s">
        <v>98</v>
      </c>
      <c r="D103" t="s">
        <v>35</v>
      </c>
      <c r="E103"/>
    </row>
    <row r="104" spans="1:5" x14ac:dyDescent="0.3">
      <c r="A104" t="s">
        <v>59</v>
      </c>
      <c r="B104" t="s">
        <v>0</v>
      </c>
      <c r="C104" t="s">
        <v>99</v>
      </c>
      <c r="D104" t="s">
        <v>35</v>
      </c>
      <c r="E104">
        <v>4.0990606319385154</v>
      </c>
    </row>
    <row r="105" spans="1:5" x14ac:dyDescent="0.3">
      <c r="A105" t="s">
        <v>59</v>
      </c>
      <c r="B105" t="s">
        <v>0</v>
      </c>
      <c r="C105" t="s">
        <v>100</v>
      </c>
      <c r="D105" t="s">
        <v>35</v>
      </c>
      <c r="E105">
        <v>7.6030927835051543</v>
      </c>
    </row>
    <row r="106" spans="1:5" x14ac:dyDescent="0.3">
      <c r="A106" t="s">
        <v>59</v>
      </c>
      <c r="B106" t="s">
        <v>0</v>
      </c>
      <c r="C106" t="s">
        <v>101</v>
      </c>
      <c r="D106" t="s">
        <v>35</v>
      </c>
      <c r="E106">
        <v>5.6352459016393439</v>
      </c>
    </row>
    <row r="107" spans="1:5" x14ac:dyDescent="0.3">
      <c r="A107" t="s">
        <v>59</v>
      </c>
      <c r="B107" t="s">
        <v>0</v>
      </c>
      <c r="C107" t="s">
        <v>102</v>
      </c>
      <c r="D107" t="s">
        <v>35</v>
      </c>
      <c r="E107">
        <v>9.4108241523481411</v>
      </c>
    </row>
    <row r="108" spans="1:5" x14ac:dyDescent="0.3">
      <c r="A108" t="s">
        <v>59</v>
      </c>
      <c r="B108" t="s">
        <v>0</v>
      </c>
      <c r="C108" t="s">
        <v>103</v>
      </c>
      <c r="D108" t="s">
        <v>35</v>
      </c>
      <c r="E108">
        <v>8.6394257407502106</v>
      </c>
    </row>
    <row r="109" spans="1:5" x14ac:dyDescent="0.3">
      <c r="A109" t="s">
        <v>59</v>
      </c>
      <c r="B109" t="s">
        <v>0</v>
      </c>
      <c r="C109" t="s">
        <v>104</v>
      </c>
      <c r="D109" t="s">
        <v>35</v>
      </c>
      <c r="E109">
        <v>14.401622718052741</v>
      </c>
    </row>
    <row r="110" spans="1:5" x14ac:dyDescent="0.3">
      <c r="A110" t="s">
        <v>59</v>
      </c>
      <c r="B110" t="s">
        <v>0</v>
      </c>
      <c r="C110" t="s">
        <v>105</v>
      </c>
      <c r="D110" t="s">
        <v>35</v>
      </c>
      <c r="E110"/>
    </row>
    <row r="111" spans="1:5" x14ac:dyDescent="0.3">
      <c r="A111" t="s">
        <v>59</v>
      </c>
      <c r="B111" t="s">
        <v>0</v>
      </c>
      <c r="C111" t="s">
        <v>106</v>
      </c>
      <c r="D111" t="s">
        <v>35</v>
      </c>
      <c r="E111">
        <v>8.0388692579505303</v>
      </c>
    </row>
    <row r="112" spans="1:5" x14ac:dyDescent="0.3">
      <c r="A112" t="s">
        <v>59</v>
      </c>
      <c r="B112" t="s">
        <v>0</v>
      </c>
      <c r="C112" t="s">
        <v>107</v>
      </c>
      <c r="D112" t="s">
        <v>35</v>
      </c>
      <c r="E112">
        <v>26.372443487621101</v>
      </c>
    </row>
    <row r="113" spans="1:5" x14ac:dyDescent="0.3">
      <c r="A113" t="s">
        <v>59</v>
      </c>
      <c r="B113" t="s">
        <v>0</v>
      </c>
      <c r="C113" t="s">
        <v>108</v>
      </c>
      <c r="D113" t="s">
        <v>35</v>
      </c>
      <c r="E113">
        <v>15.170278637770901</v>
      </c>
    </row>
    <row r="114" spans="1:5" x14ac:dyDescent="0.3">
      <c r="A114" t="s">
        <v>59</v>
      </c>
      <c r="B114" t="s">
        <v>0</v>
      </c>
      <c r="C114" t="s">
        <v>109</v>
      </c>
      <c r="D114" t="s">
        <v>35</v>
      </c>
      <c r="E114">
        <v>23.212627669452178</v>
      </c>
    </row>
    <row r="115" spans="1:5" x14ac:dyDescent="0.3">
      <c r="A115" t="s">
        <v>59</v>
      </c>
      <c r="B115" t="s">
        <v>0</v>
      </c>
      <c r="C115" t="s">
        <v>110</v>
      </c>
      <c r="D115" t="s">
        <v>35</v>
      </c>
      <c r="E115">
        <v>24.771573604060919</v>
      </c>
    </row>
    <row r="116" spans="1:5" x14ac:dyDescent="0.3">
      <c r="A116" t="s">
        <v>59</v>
      </c>
      <c r="B116" t="s">
        <v>0</v>
      </c>
      <c r="C116" t="s">
        <v>111</v>
      </c>
      <c r="D116" t="s">
        <v>35</v>
      </c>
      <c r="E116">
        <v>18.518518518518519</v>
      </c>
    </row>
    <row r="117" spans="1:5" x14ac:dyDescent="0.3">
      <c r="A117" t="s">
        <v>59</v>
      </c>
      <c r="B117" t="s">
        <v>0</v>
      </c>
      <c r="C117" t="s">
        <v>112</v>
      </c>
      <c r="D117" t="s">
        <v>35</v>
      </c>
      <c r="E117">
        <v>12.242899118511261</v>
      </c>
    </row>
    <row r="118" spans="1:5" x14ac:dyDescent="0.3">
      <c r="A118" t="s">
        <v>59</v>
      </c>
      <c r="B118" t="s">
        <v>0</v>
      </c>
      <c r="C118" t="s">
        <v>113</v>
      </c>
      <c r="D118" t="s">
        <v>35</v>
      </c>
      <c r="E118">
        <v>6.9909029327375389</v>
      </c>
    </row>
    <row r="119" spans="1:5" x14ac:dyDescent="0.3">
      <c r="A119" t="s">
        <v>59</v>
      </c>
      <c r="B119" t="s">
        <v>0</v>
      </c>
      <c r="C119" t="s">
        <v>114</v>
      </c>
      <c r="D119" t="s">
        <v>35</v>
      </c>
      <c r="E119">
        <v>30.404040404040408</v>
      </c>
    </row>
    <row r="120" spans="1:5" x14ac:dyDescent="0.3">
      <c r="A120" t="s">
        <v>59</v>
      </c>
      <c r="B120" t="s">
        <v>0</v>
      </c>
      <c r="C120" t="s">
        <v>115</v>
      </c>
      <c r="D120" t="s">
        <v>35</v>
      </c>
      <c r="E120">
        <v>17.59984614393905</v>
      </c>
    </row>
    <row r="121" spans="1:5" x14ac:dyDescent="0.3">
      <c r="A121" t="s">
        <v>59</v>
      </c>
      <c r="B121" t="s">
        <v>0</v>
      </c>
      <c r="C121" t="s">
        <v>116</v>
      </c>
      <c r="D121" t="s">
        <v>35</v>
      </c>
      <c r="E121">
        <v>10.4020979020979</v>
      </c>
    </row>
    <row r="122" spans="1:5" x14ac:dyDescent="0.3">
      <c r="A122" t="s">
        <v>59</v>
      </c>
      <c r="B122" t="s">
        <v>69</v>
      </c>
      <c r="C122" t="s">
        <v>69</v>
      </c>
      <c r="D122" t="s">
        <v>36</v>
      </c>
      <c r="E122">
        <v>5.1970213642146499</v>
      </c>
    </row>
    <row r="123" spans="1:5" x14ac:dyDescent="0.3">
      <c r="A123" t="s">
        <v>59</v>
      </c>
      <c r="B123" t="s">
        <v>70</v>
      </c>
      <c r="C123" t="s">
        <v>78</v>
      </c>
      <c r="D123" t="s">
        <v>36</v>
      </c>
      <c r="E123">
        <v>6.1770843877839754</v>
      </c>
    </row>
    <row r="124" spans="1:5" x14ac:dyDescent="0.3">
      <c r="A124" t="s">
        <v>59</v>
      </c>
      <c r="B124" t="s">
        <v>70</v>
      </c>
      <c r="C124" t="s">
        <v>79</v>
      </c>
      <c r="D124" t="s">
        <v>36</v>
      </c>
      <c r="E124">
        <v>5.0810858722225003</v>
      </c>
    </row>
    <row r="125" spans="1:5" x14ac:dyDescent="0.3">
      <c r="A125" t="s">
        <v>59</v>
      </c>
      <c r="B125" t="s">
        <v>70</v>
      </c>
      <c r="C125" t="s">
        <v>80</v>
      </c>
      <c r="D125" t="s">
        <v>36</v>
      </c>
      <c r="E125">
        <v>4.6423848598842898</v>
      </c>
    </row>
    <row r="126" spans="1:5" x14ac:dyDescent="0.3">
      <c r="A126" t="s">
        <v>59</v>
      </c>
      <c r="B126" t="s">
        <v>70</v>
      </c>
      <c r="C126" t="s">
        <v>81</v>
      </c>
      <c r="D126" t="s">
        <v>36</v>
      </c>
      <c r="E126">
        <v>4.9474969029501121</v>
      </c>
    </row>
    <row r="127" spans="1:5" x14ac:dyDescent="0.3">
      <c r="A127" t="s">
        <v>59</v>
      </c>
      <c r="B127" t="s">
        <v>71</v>
      </c>
      <c r="C127" t="s">
        <v>82</v>
      </c>
      <c r="D127" t="s">
        <v>36</v>
      </c>
      <c r="E127">
        <v>5.0821709792823846</v>
      </c>
    </row>
    <row r="128" spans="1:5" x14ac:dyDescent="0.3">
      <c r="A128" t="s">
        <v>59</v>
      </c>
      <c r="B128" t="s">
        <v>71</v>
      </c>
      <c r="C128" t="s">
        <v>83</v>
      </c>
      <c r="D128" t="s">
        <v>36</v>
      </c>
      <c r="E128">
        <v>6.0371378493003576</v>
      </c>
    </row>
    <row r="129" spans="1:5" x14ac:dyDescent="0.3">
      <c r="A129" t="s">
        <v>59</v>
      </c>
      <c r="B129" t="s">
        <v>71</v>
      </c>
      <c r="C129" t="s">
        <v>84</v>
      </c>
      <c r="D129" t="s">
        <v>36</v>
      </c>
      <c r="E129">
        <v>4.4070182645172249</v>
      </c>
    </row>
    <row r="130" spans="1:5" x14ac:dyDescent="0.3">
      <c r="A130" t="s">
        <v>59</v>
      </c>
      <c r="B130" t="s">
        <v>71</v>
      </c>
      <c r="C130" t="s">
        <v>85</v>
      </c>
      <c r="D130" t="s">
        <v>36</v>
      </c>
      <c r="E130">
        <v>3.9230243559531348</v>
      </c>
    </row>
    <row r="131" spans="1:5" x14ac:dyDescent="0.3">
      <c r="A131" t="s">
        <v>59</v>
      </c>
      <c r="B131" t="s">
        <v>72</v>
      </c>
      <c r="C131" t="s">
        <v>86</v>
      </c>
      <c r="D131" t="s">
        <v>36</v>
      </c>
      <c r="E131">
        <v>5.1211252831990288</v>
      </c>
    </row>
    <row r="132" spans="1:5" x14ac:dyDescent="0.3">
      <c r="A132" t="s">
        <v>59</v>
      </c>
      <c r="B132" t="s">
        <v>72</v>
      </c>
      <c r="C132" t="s">
        <v>87</v>
      </c>
      <c r="D132" t="s">
        <v>36</v>
      </c>
      <c r="E132">
        <v>5.275912092808797</v>
      </c>
    </row>
    <row r="133" spans="1:5" x14ac:dyDescent="0.3">
      <c r="A133" t="s">
        <v>59</v>
      </c>
      <c r="B133" t="s">
        <v>73</v>
      </c>
      <c r="C133" t="s">
        <v>88</v>
      </c>
      <c r="D133" t="s">
        <v>36</v>
      </c>
      <c r="E133">
        <v>5.1420021568428567</v>
      </c>
    </row>
    <row r="134" spans="1:5" x14ac:dyDescent="0.3">
      <c r="A134" t="s">
        <v>59</v>
      </c>
      <c r="B134" t="s">
        <v>73</v>
      </c>
      <c r="C134" t="s">
        <v>89</v>
      </c>
      <c r="D134" t="s">
        <v>36</v>
      </c>
      <c r="E134">
        <v>5.1812971952575007</v>
      </c>
    </row>
    <row r="135" spans="1:5" x14ac:dyDescent="0.3">
      <c r="A135" t="s">
        <v>59</v>
      </c>
      <c r="B135" t="s">
        <v>74</v>
      </c>
      <c r="C135" t="s">
        <v>90</v>
      </c>
      <c r="D135" t="s">
        <v>36</v>
      </c>
      <c r="E135">
        <v>6.066342618125196</v>
      </c>
    </row>
    <row r="136" spans="1:5" x14ac:dyDescent="0.3">
      <c r="A136" t="s">
        <v>59</v>
      </c>
      <c r="B136" t="s">
        <v>74</v>
      </c>
      <c r="C136" t="s">
        <v>91</v>
      </c>
      <c r="D136" t="s">
        <v>36</v>
      </c>
      <c r="E136">
        <v>4.8937381475705601</v>
      </c>
    </row>
    <row r="137" spans="1:5" x14ac:dyDescent="0.3">
      <c r="A137" t="s">
        <v>59</v>
      </c>
      <c r="B137" t="s">
        <v>75</v>
      </c>
      <c r="C137" t="s">
        <v>92</v>
      </c>
      <c r="D137" t="s">
        <v>36</v>
      </c>
      <c r="E137">
        <v>5.3338276118587604</v>
      </c>
    </row>
    <row r="138" spans="1:5" x14ac:dyDescent="0.3">
      <c r="A138" t="s">
        <v>59</v>
      </c>
      <c r="B138" t="s">
        <v>75</v>
      </c>
      <c r="C138" t="s">
        <v>93</v>
      </c>
      <c r="D138" t="s">
        <v>36</v>
      </c>
      <c r="E138">
        <v>5.2006289531367891</v>
      </c>
    </row>
    <row r="139" spans="1:5" x14ac:dyDescent="0.3">
      <c r="A139" t="s">
        <v>59</v>
      </c>
      <c r="B139" t="s">
        <v>75</v>
      </c>
      <c r="C139" t="s">
        <v>94</v>
      </c>
      <c r="D139" t="s">
        <v>36</v>
      </c>
      <c r="E139">
        <v>6.3850300393942838</v>
      </c>
    </row>
    <row r="140" spans="1:5" x14ac:dyDescent="0.3">
      <c r="A140" t="s">
        <v>59</v>
      </c>
      <c r="B140" t="s">
        <v>75</v>
      </c>
      <c r="C140" t="s">
        <v>95</v>
      </c>
      <c r="D140" t="s">
        <v>36</v>
      </c>
      <c r="E140">
        <v>4.2704881120885121</v>
      </c>
    </row>
    <row r="141" spans="1:5" x14ac:dyDescent="0.3">
      <c r="A141" t="s">
        <v>59</v>
      </c>
      <c r="B141" t="s">
        <v>76</v>
      </c>
      <c r="C141" t="s">
        <v>96</v>
      </c>
      <c r="D141" t="s">
        <v>36</v>
      </c>
      <c r="E141"/>
    </row>
    <row r="142" spans="1:5" x14ac:dyDescent="0.3">
      <c r="A142" t="s">
        <v>59</v>
      </c>
      <c r="B142" t="s">
        <v>76</v>
      </c>
      <c r="C142" t="s">
        <v>97</v>
      </c>
      <c r="D142" t="s">
        <v>36</v>
      </c>
      <c r="E142"/>
    </row>
    <row r="143" spans="1:5" x14ac:dyDescent="0.3">
      <c r="A143" t="s">
        <v>59</v>
      </c>
      <c r="B143" t="s">
        <v>76</v>
      </c>
      <c r="C143" t="s">
        <v>98</v>
      </c>
      <c r="D143" t="s">
        <v>36</v>
      </c>
      <c r="E143"/>
    </row>
    <row r="144" spans="1:5" x14ac:dyDescent="0.3">
      <c r="A144" t="s">
        <v>59</v>
      </c>
      <c r="B144" t="s">
        <v>0</v>
      </c>
      <c r="C144" t="s">
        <v>99</v>
      </c>
      <c r="D144" t="s">
        <v>36</v>
      </c>
      <c r="E144">
        <v>0.17079419299743809</v>
      </c>
    </row>
    <row r="145" spans="1:5" x14ac:dyDescent="0.3">
      <c r="A145" t="s">
        <v>59</v>
      </c>
      <c r="B145" t="s">
        <v>0</v>
      </c>
      <c r="C145" t="s">
        <v>100</v>
      </c>
      <c r="D145" t="s">
        <v>36</v>
      </c>
      <c r="E145">
        <v>2.31958762886598</v>
      </c>
    </row>
    <row r="146" spans="1:5" x14ac:dyDescent="0.3">
      <c r="A146" t="s">
        <v>59</v>
      </c>
      <c r="B146" t="s">
        <v>0</v>
      </c>
      <c r="C146" t="s">
        <v>101</v>
      </c>
      <c r="D146" t="s">
        <v>36</v>
      </c>
      <c r="E146">
        <v>1.7418032786885249</v>
      </c>
    </row>
    <row r="147" spans="1:5" x14ac:dyDescent="0.3">
      <c r="A147" t="s">
        <v>59</v>
      </c>
      <c r="B147" t="s">
        <v>0</v>
      </c>
      <c r="C147" t="s">
        <v>102</v>
      </c>
      <c r="D147" t="s">
        <v>36</v>
      </c>
      <c r="E147">
        <v>2.1954019916651419</v>
      </c>
    </row>
    <row r="148" spans="1:5" x14ac:dyDescent="0.3">
      <c r="A148" t="s">
        <v>59</v>
      </c>
      <c r="B148" t="s">
        <v>0</v>
      </c>
      <c r="C148" t="s">
        <v>103</v>
      </c>
      <c r="D148" t="s">
        <v>36</v>
      </c>
      <c r="E148">
        <v>6.5740236686175066</v>
      </c>
    </row>
    <row r="149" spans="1:5" x14ac:dyDescent="0.3">
      <c r="A149" t="s">
        <v>59</v>
      </c>
      <c r="B149" t="s">
        <v>0</v>
      </c>
      <c r="C149" t="s">
        <v>104</v>
      </c>
      <c r="D149" t="s">
        <v>36</v>
      </c>
      <c r="E149">
        <v>8.3164300202839758</v>
      </c>
    </row>
    <row r="150" spans="1:5" x14ac:dyDescent="0.3">
      <c r="A150" t="s">
        <v>59</v>
      </c>
      <c r="B150" t="s">
        <v>0</v>
      </c>
      <c r="C150" t="s">
        <v>105</v>
      </c>
      <c r="D150" t="s">
        <v>36</v>
      </c>
      <c r="E150"/>
    </row>
    <row r="151" spans="1:5" x14ac:dyDescent="0.3">
      <c r="A151" t="s">
        <v>59</v>
      </c>
      <c r="B151" t="s">
        <v>0</v>
      </c>
      <c r="C151" t="s">
        <v>106</v>
      </c>
      <c r="D151" t="s">
        <v>36</v>
      </c>
      <c r="E151">
        <v>4.5053003533568914</v>
      </c>
    </row>
    <row r="152" spans="1:5" x14ac:dyDescent="0.3">
      <c r="A152" t="s">
        <v>59</v>
      </c>
      <c r="B152" t="s">
        <v>0</v>
      </c>
      <c r="C152" t="s">
        <v>107</v>
      </c>
      <c r="D152" t="s">
        <v>36</v>
      </c>
      <c r="E152">
        <v>10.65662002152853</v>
      </c>
    </row>
    <row r="153" spans="1:5" x14ac:dyDescent="0.3">
      <c r="A153" t="s">
        <v>59</v>
      </c>
      <c r="B153" t="s">
        <v>0</v>
      </c>
      <c r="C153" t="s">
        <v>108</v>
      </c>
      <c r="D153" t="s">
        <v>36</v>
      </c>
      <c r="E153">
        <v>9.1847265221878214</v>
      </c>
    </row>
    <row r="154" spans="1:5" x14ac:dyDescent="0.3">
      <c r="A154" t="s">
        <v>59</v>
      </c>
      <c r="B154" t="s">
        <v>0</v>
      </c>
      <c r="C154" t="s">
        <v>109</v>
      </c>
      <c r="D154" t="s">
        <v>36</v>
      </c>
      <c r="E154">
        <v>5.5710306406685239</v>
      </c>
    </row>
    <row r="155" spans="1:5" x14ac:dyDescent="0.3">
      <c r="A155" t="s">
        <v>59</v>
      </c>
      <c r="B155" t="s">
        <v>0</v>
      </c>
      <c r="C155" t="s">
        <v>110</v>
      </c>
      <c r="D155" t="s">
        <v>36</v>
      </c>
      <c r="E155">
        <v>12.69035532994924</v>
      </c>
    </row>
    <row r="156" spans="1:5" x14ac:dyDescent="0.3">
      <c r="A156" t="s">
        <v>59</v>
      </c>
      <c r="B156" t="s">
        <v>0</v>
      </c>
      <c r="C156" t="s">
        <v>111</v>
      </c>
      <c r="D156" t="s">
        <v>36</v>
      </c>
      <c r="E156">
        <v>2.402402402402402</v>
      </c>
    </row>
    <row r="157" spans="1:5" x14ac:dyDescent="0.3">
      <c r="A157" t="s">
        <v>59</v>
      </c>
      <c r="B157" t="s">
        <v>0</v>
      </c>
      <c r="C157" t="s">
        <v>112</v>
      </c>
      <c r="D157" t="s">
        <v>36</v>
      </c>
      <c r="E157">
        <v>1.9588638589618019</v>
      </c>
    </row>
    <row r="158" spans="1:5" x14ac:dyDescent="0.3">
      <c r="A158" t="s">
        <v>59</v>
      </c>
      <c r="B158" t="s">
        <v>0</v>
      </c>
      <c r="C158" t="s">
        <v>113</v>
      </c>
      <c r="D158" t="s">
        <v>36</v>
      </c>
      <c r="E158">
        <v>4.9822821723800192</v>
      </c>
    </row>
    <row r="159" spans="1:5" x14ac:dyDescent="0.3">
      <c r="A159" t="s">
        <v>59</v>
      </c>
      <c r="B159" t="s">
        <v>0</v>
      </c>
      <c r="C159" t="s">
        <v>114</v>
      </c>
      <c r="D159" t="s">
        <v>36</v>
      </c>
      <c r="E159">
        <v>8.6868686868686869</v>
      </c>
    </row>
    <row r="160" spans="1:5" x14ac:dyDescent="0.3">
      <c r="A160" t="s">
        <v>59</v>
      </c>
      <c r="B160" t="s">
        <v>0</v>
      </c>
      <c r="C160" t="s">
        <v>115</v>
      </c>
      <c r="D160" t="s">
        <v>36</v>
      </c>
      <c r="E160">
        <v>3.5283545034220332</v>
      </c>
    </row>
    <row r="161" spans="1:5" x14ac:dyDescent="0.3">
      <c r="A161" t="s">
        <v>59</v>
      </c>
      <c r="B161" t="s">
        <v>0</v>
      </c>
      <c r="C161" t="s">
        <v>116</v>
      </c>
      <c r="D161" t="s">
        <v>36</v>
      </c>
      <c r="E161">
        <v>4.3706293706293708</v>
      </c>
    </row>
    <row r="162" spans="1:5" x14ac:dyDescent="0.3">
      <c r="A162" t="s">
        <v>60</v>
      </c>
      <c r="B162" t="s">
        <v>69</v>
      </c>
      <c r="C162" t="s">
        <v>69</v>
      </c>
      <c r="D162" t="s">
        <v>33</v>
      </c>
      <c r="E162">
        <v>37.028218240335178</v>
      </c>
    </row>
    <row r="163" spans="1:5" x14ac:dyDescent="0.3">
      <c r="A163" t="s">
        <v>60</v>
      </c>
      <c r="B163" t="s">
        <v>70</v>
      </c>
      <c r="C163" t="s">
        <v>78</v>
      </c>
      <c r="D163" t="s">
        <v>33</v>
      </c>
      <c r="E163">
        <v>38.938800194869252</v>
      </c>
    </row>
    <row r="164" spans="1:5" x14ac:dyDescent="0.3">
      <c r="A164" t="s">
        <v>60</v>
      </c>
      <c r="B164" t="s">
        <v>70</v>
      </c>
      <c r="C164" t="s">
        <v>79</v>
      </c>
      <c r="D164" t="s">
        <v>33</v>
      </c>
      <c r="E164">
        <v>35.409755997443099</v>
      </c>
    </row>
    <row r="165" spans="1:5" x14ac:dyDescent="0.3">
      <c r="A165" t="s">
        <v>60</v>
      </c>
      <c r="B165" t="s">
        <v>70</v>
      </c>
      <c r="C165" t="s">
        <v>80</v>
      </c>
      <c r="D165" t="s">
        <v>33</v>
      </c>
      <c r="E165">
        <v>38.364034482175612</v>
      </c>
    </row>
    <row r="166" spans="1:5" x14ac:dyDescent="0.3">
      <c r="A166" t="s">
        <v>60</v>
      </c>
      <c r="B166" t="s">
        <v>70</v>
      </c>
      <c r="C166" t="s">
        <v>81</v>
      </c>
      <c r="D166" t="s">
        <v>33</v>
      </c>
      <c r="E166">
        <v>36.420194954154859</v>
      </c>
    </row>
    <row r="167" spans="1:5" x14ac:dyDescent="0.3">
      <c r="A167" t="s">
        <v>60</v>
      </c>
      <c r="B167" t="s">
        <v>71</v>
      </c>
      <c r="C167" t="s">
        <v>82</v>
      </c>
      <c r="D167" t="s">
        <v>33</v>
      </c>
      <c r="E167">
        <v>32.414371681305163</v>
      </c>
    </row>
    <row r="168" spans="1:5" x14ac:dyDescent="0.3">
      <c r="A168" t="s">
        <v>60</v>
      </c>
      <c r="B168" t="s">
        <v>71</v>
      </c>
      <c r="C168" t="s">
        <v>83</v>
      </c>
      <c r="D168" t="s">
        <v>33</v>
      </c>
      <c r="E168">
        <v>37.752661628274481</v>
      </c>
    </row>
    <row r="169" spans="1:5" x14ac:dyDescent="0.3">
      <c r="A169" t="s">
        <v>60</v>
      </c>
      <c r="B169" t="s">
        <v>71</v>
      </c>
      <c r="C169" t="s">
        <v>84</v>
      </c>
      <c r="D169" t="s">
        <v>33</v>
      </c>
      <c r="E169">
        <v>38.998973287878172</v>
      </c>
    </row>
    <row r="170" spans="1:5" x14ac:dyDescent="0.3">
      <c r="A170" t="s">
        <v>60</v>
      </c>
      <c r="B170" t="s">
        <v>71</v>
      </c>
      <c r="C170" t="s">
        <v>85</v>
      </c>
      <c r="D170" t="s">
        <v>33</v>
      </c>
      <c r="E170">
        <v>39.504323863210253</v>
      </c>
    </row>
    <row r="171" spans="1:5" x14ac:dyDescent="0.3">
      <c r="A171" t="s">
        <v>60</v>
      </c>
      <c r="B171" t="s">
        <v>72</v>
      </c>
      <c r="C171" t="s">
        <v>86</v>
      </c>
      <c r="D171" t="s">
        <v>33</v>
      </c>
      <c r="E171">
        <v>37.310184530464937</v>
      </c>
    </row>
    <row r="172" spans="1:5" x14ac:dyDescent="0.3">
      <c r="A172" t="s">
        <v>60</v>
      </c>
      <c r="B172" t="s">
        <v>72</v>
      </c>
      <c r="C172" t="s">
        <v>87</v>
      </c>
      <c r="D172" t="s">
        <v>33</v>
      </c>
      <c r="E172">
        <v>36.741755043075393</v>
      </c>
    </row>
    <row r="173" spans="1:5" x14ac:dyDescent="0.3">
      <c r="A173" t="s">
        <v>60</v>
      </c>
      <c r="B173" t="s">
        <v>73</v>
      </c>
      <c r="C173" t="s">
        <v>88</v>
      </c>
      <c r="D173" t="s">
        <v>33</v>
      </c>
      <c r="E173">
        <v>35.834490985171762</v>
      </c>
    </row>
    <row r="174" spans="1:5" x14ac:dyDescent="0.3">
      <c r="A174" t="s">
        <v>60</v>
      </c>
      <c r="B174" t="s">
        <v>73</v>
      </c>
      <c r="C174" t="s">
        <v>89</v>
      </c>
      <c r="D174" t="s">
        <v>33</v>
      </c>
      <c r="E174">
        <v>37.986975763633779</v>
      </c>
    </row>
    <row r="175" spans="1:5" x14ac:dyDescent="0.3">
      <c r="A175" t="s">
        <v>60</v>
      </c>
      <c r="B175" t="s">
        <v>74</v>
      </c>
      <c r="C175" t="s">
        <v>90</v>
      </c>
      <c r="D175" t="s">
        <v>33</v>
      </c>
      <c r="E175">
        <v>34.714146088406437</v>
      </c>
    </row>
    <row r="176" spans="1:5" x14ac:dyDescent="0.3">
      <c r="A176" t="s">
        <v>60</v>
      </c>
      <c r="B176" t="s">
        <v>74</v>
      </c>
      <c r="C176" t="s">
        <v>91</v>
      </c>
      <c r="D176" t="s">
        <v>33</v>
      </c>
      <c r="E176">
        <v>37.561633773363617</v>
      </c>
    </row>
    <row r="177" spans="1:5" x14ac:dyDescent="0.3">
      <c r="A177" t="s">
        <v>60</v>
      </c>
      <c r="B177" t="s">
        <v>75</v>
      </c>
      <c r="C177" t="s">
        <v>92</v>
      </c>
      <c r="D177" t="s">
        <v>33</v>
      </c>
      <c r="E177">
        <v>34.728836614047367</v>
      </c>
    </row>
    <row r="178" spans="1:5" x14ac:dyDescent="0.3">
      <c r="A178" t="s">
        <v>60</v>
      </c>
      <c r="B178" t="s">
        <v>75</v>
      </c>
      <c r="C178" t="s">
        <v>93</v>
      </c>
      <c r="D178" t="s">
        <v>33</v>
      </c>
      <c r="E178">
        <v>35.459053575398997</v>
      </c>
    </row>
    <row r="179" spans="1:5" x14ac:dyDescent="0.3">
      <c r="A179" t="s">
        <v>60</v>
      </c>
      <c r="B179" t="s">
        <v>75</v>
      </c>
      <c r="C179" t="s">
        <v>94</v>
      </c>
      <c r="D179" t="s">
        <v>33</v>
      </c>
      <c r="E179">
        <v>38.523506470265417</v>
      </c>
    </row>
    <row r="180" spans="1:5" x14ac:dyDescent="0.3">
      <c r="A180" t="s">
        <v>60</v>
      </c>
      <c r="B180" t="s">
        <v>75</v>
      </c>
      <c r="C180" t="s">
        <v>95</v>
      </c>
      <c r="D180" t="s">
        <v>33</v>
      </c>
      <c r="E180">
        <v>38.780646779713287</v>
      </c>
    </row>
    <row r="181" spans="1:5" x14ac:dyDescent="0.3">
      <c r="A181" t="s">
        <v>60</v>
      </c>
      <c r="B181" t="s">
        <v>76</v>
      </c>
      <c r="C181" t="s">
        <v>96</v>
      </c>
      <c r="D181" t="s">
        <v>33</v>
      </c>
      <c r="E181">
        <v>35.552345675065787</v>
      </c>
    </row>
    <row r="182" spans="1:5" x14ac:dyDescent="0.3">
      <c r="A182" t="s">
        <v>60</v>
      </c>
      <c r="B182" t="s">
        <v>76</v>
      </c>
      <c r="C182" t="s">
        <v>97</v>
      </c>
      <c r="D182" t="s">
        <v>33</v>
      </c>
      <c r="E182">
        <v>33.311903690610308</v>
      </c>
    </row>
    <row r="183" spans="1:5" x14ac:dyDescent="0.3">
      <c r="A183" t="s">
        <v>60</v>
      </c>
      <c r="B183" t="s">
        <v>76</v>
      </c>
      <c r="C183" t="s">
        <v>98</v>
      </c>
      <c r="D183" t="s">
        <v>33</v>
      </c>
      <c r="E183">
        <v>39.140307125105153</v>
      </c>
    </row>
    <row r="184" spans="1:5" x14ac:dyDescent="0.3">
      <c r="A184" t="s">
        <v>60</v>
      </c>
      <c r="B184" t="s">
        <v>0</v>
      </c>
      <c r="C184" t="s">
        <v>99</v>
      </c>
      <c r="D184" t="s">
        <v>33</v>
      </c>
      <c r="E184">
        <v>54.878391221008712</v>
      </c>
    </row>
    <row r="185" spans="1:5" x14ac:dyDescent="0.3">
      <c r="A185" t="s">
        <v>60</v>
      </c>
      <c r="B185" t="s">
        <v>0</v>
      </c>
      <c r="C185" t="s">
        <v>100</v>
      </c>
      <c r="D185" t="s">
        <v>33</v>
      </c>
      <c r="E185">
        <v>34.247871333964049</v>
      </c>
    </row>
    <row r="186" spans="1:5" x14ac:dyDescent="0.3">
      <c r="A186" t="s">
        <v>60</v>
      </c>
      <c r="B186" t="s">
        <v>0</v>
      </c>
      <c r="C186" t="s">
        <v>101</v>
      </c>
      <c r="D186" t="s">
        <v>33</v>
      </c>
      <c r="E186">
        <v>35.691657866948262</v>
      </c>
    </row>
    <row r="187" spans="1:5" x14ac:dyDescent="0.3">
      <c r="A187" t="s">
        <v>60</v>
      </c>
      <c r="B187" t="s">
        <v>0</v>
      </c>
      <c r="C187" t="s">
        <v>102</v>
      </c>
      <c r="D187" t="s">
        <v>33</v>
      </c>
      <c r="E187">
        <v>38.167968510459048</v>
      </c>
    </row>
    <row r="188" spans="1:5" x14ac:dyDescent="0.3">
      <c r="A188" t="s">
        <v>60</v>
      </c>
      <c r="B188" t="s">
        <v>0</v>
      </c>
      <c r="C188" t="s">
        <v>103</v>
      </c>
      <c r="D188" t="s">
        <v>33</v>
      </c>
      <c r="E188">
        <v>53.329728424451659</v>
      </c>
    </row>
    <row r="189" spans="1:5" x14ac:dyDescent="0.3">
      <c r="A189" t="s">
        <v>60</v>
      </c>
      <c r="B189" t="s">
        <v>0</v>
      </c>
      <c r="C189" t="s">
        <v>104</v>
      </c>
      <c r="D189" t="s">
        <v>33</v>
      </c>
      <c r="E189">
        <v>32.661717921527043</v>
      </c>
    </row>
    <row r="190" spans="1:5" x14ac:dyDescent="0.3">
      <c r="A190" t="s">
        <v>60</v>
      </c>
      <c r="B190" t="s">
        <v>0</v>
      </c>
      <c r="C190" t="s">
        <v>105</v>
      </c>
      <c r="D190" t="s">
        <v>33</v>
      </c>
      <c r="E190"/>
    </row>
    <row r="191" spans="1:5" x14ac:dyDescent="0.3">
      <c r="A191" t="s">
        <v>60</v>
      </c>
      <c r="B191" t="s">
        <v>0</v>
      </c>
      <c r="C191" t="s">
        <v>106</v>
      </c>
      <c r="D191" t="s">
        <v>33</v>
      </c>
      <c r="E191">
        <v>32.547957803704278</v>
      </c>
    </row>
    <row r="192" spans="1:5" x14ac:dyDescent="0.3">
      <c r="A192" t="s">
        <v>60</v>
      </c>
      <c r="B192" t="s">
        <v>0</v>
      </c>
      <c r="C192" t="s">
        <v>107</v>
      </c>
      <c r="D192" t="s">
        <v>33</v>
      </c>
      <c r="E192">
        <v>30.74973577417007</v>
      </c>
    </row>
    <row r="193" spans="1:5" x14ac:dyDescent="0.3">
      <c r="A193" t="s">
        <v>60</v>
      </c>
      <c r="B193" t="s">
        <v>0</v>
      </c>
      <c r="C193" t="s">
        <v>108</v>
      </c>
      <c r="D193" t="s">
        <v>33</v>
      </c>
      <c r="E193">
        <v>28.27069141281396</v>
      </c>
    </row>
    <row r="194" spans="1:5" x14ac:dyDescent="0.3">
      <c r="A194" t="s">
        <v>60</v>
      </c>
      <c r="B194" t="s">
        <v>0</v>
      </c>
      <c r="C194" t="s">
        <v>109</v>
      </c>
      <c r="D194" t="s">
        <v>33</v>
      </c>
      <c r="E194">
        <v>29.694578186673599</v>
      </c>
    </row>
    <row r="195" spans="1:5" x14ac:dyDescent="0.3">
      <c r="A195" t="s">
        <v>60</v>
      </c>
      <c r="B195" t="s">
        <v>0</v>
      </c>
      <c r="C195" t="s">
        <v>110</v>
      </c>
      <c r="D195" t="s">
        <v>33</v>
      </c>
      <c r="E195">
        <v>29.88624612202689</v>
      </c>
    </row>
    <row r="196" spans="1:5" x14ac:dyDescent="0.3">
      <c r="A196" t="s">
        <v>60</v>
      </c>
      <c r="B196" t="s">
        <v>0</v>
      </c>
      <c r="C196" t="s">
        <v>111</v>
      </c>
      <c r="D196" t="s">
        <v>33</v>
      </c>
      <c r="E196">
        <v>54.017857142857139</v>
      </c>
    </row>
    <row r="197" spans="1:5" x14ac:dyDescent="0.3">
      <c r="A197" t="s">
        <v>60</v>
      </c>
      <c r="B197" t="s">
        <v>0</v>
      </c>
      <c r="C197" t="s">
        <v>112</v>
      </c>
      <c r="D197" t="s">
        <v>33</v>
      </c>
      <c r="E197">
        <v>36.87943262411347</v>
      </c>
    </row>
    <row r="198" spans="1:5" x14ac:dyDescent="0.3">
      <c r="A198" t="s">
        <v>60</v>
      </c>
      <c r="B198" t="s">
        <v>0</v>
      </c>
      <c r="C198" t="s">
        <v>113</v>
      </c>
      <c r="D198" t="s">
        <v>33</v>
      </c>
      <c r="E198">
        <v>54.694745053605928</v>
      </c>
    </row>
    <row r="199" spans="1:5" x14ac:dyDescent="0.3">
      <c r="A199" t="s">
        <v>60</v>
      </c>
      <c r="B199" t="s">
        <v>0</v>
      </c>
      <c r="C199" t="s">
        <v>114</v>
      </c>
      <c r="D199" t="s">
        <v>33</v>
      </c>
      <c r="E199">
        <v>34.557371273209903</v>
      </c>
    </row>
    <row r="200" spans="1:5" x14ac:dyDescent="0.3">
      <c r="A200" t="s">
        <v>60</v>
      </c>
      <c r="B200" t="s">
        <v>0</v>
      </c>
      <c r="C200" t="s">
        <v>115</v>
      </c>
      <c r="D200" t="s">
        <v>33</v>
      </c>
      <c r="E200">
        <v>31.326898779788792</v>
      </c>
    </row>
    <row r="201" spans="1:5" x14ac:dyDescent="0.3">
      <c r="A201" t="s">
        <v>60</v>
      </c>
      <c r="B201" t="s">
        <v>0</v>
      </c>
      <c r="C201" t="s">
        <v>116</v>
      </c>
      <c r="D201" t="s">
        <v>33</v>
      </c>
      <c r="E201">
        <v>24.789869405619179</v>
      </c>
    </row>
    <row r="202" spans="1:5" x14ac:dyDescent="0.3">
      <c r="A202" t="s">
        <v>60</v>
      </c>
      <c r="B202" t="s">
        <v>69</v>
      </c>
      <c r="C202" t="s">
        <v>69</v>
      </c>
      <c r="D202" t="s">
        <v>34</v>
      </c>
      <c r="E202">
        <v>51.706265632593919</v>
      </c>
    </row>
    <row r="203" spans="1:5" x14ac:dyDescent="0.3">
      <c r="A203" t="s">
        <v>60</v>
      </c>
      <c r="B203" t="s">
        <v>70</v>
      </c>
      <c r="C203" t="s">
        <v>78</v>
      </c>
      <c r="D203" t="s">
        <v>34</v>
      </c>
      <c r="E203">
        <v>49.034425326936052</v>
      </c>
    </row>
    <row r="204" spans="1:5" x14ac:dyDescent="0.3">
      <c r="A204" t="s">
        <v>60</v>
      </c>
      <c r="B204" t="s">
        <v>70</v>
      </c>
      <c r="C204" t="s">
        <v>79</v>
      </c>
      <c r="D204" t="s">
        <v>34</v>
      </c>
      <c r="E204">
        <v>52.233085196752583</v>
      </c>
    </row>
    <row r="205" spans="1:5" x14ac:dyDescent="0.3">
      <c r="A205" t="s">
        <v>60</v>
      </c>
      <c r="B205" t="s">
        <v>70</v>
      </c>
      <c r="C205" t="s">
        <v>80</v>
      </c>
      <c r="D205" t="s">
        <v>34</v>
      </c>
      <c r="E205">
        <v>52.809378116153482</v>
      </c>
    </row>
    <row r="206" spans="1:5" x14ac:dyDescent="0.3">
      <c r="A206" t="s">
        <v>60</v>
      </c>
      <c r="B206" t="s">
        <v>70</v>
      </c>
      <c r="C206" t="s">
        <v>81</v>
      </c>
      <c r="D206" t="s">
        <v>34</v>
      </c>
      <c r="E206">
        <v>53.544427260292913</v>
      </c>
    </row>
    <row r="207" spans="1:5" x14ac:dyDescent="0.3">
      <c r="A207" t="s">
        <v>60</v>
      </c>
      <c r="B207" t="s">
        <v>71</v>
      </c>
      <c r="C207" t="s">
        <v>82</v>
      </c>
      <c r="D207" t="s">
        <v>34</v>
      </c>
      <c r="E207">
        <v>53.575355212467443</v>
      </c>
    </row>
    <row r="208" spans="1:5" x14ac:dyDescent="0.3">
      <c r="A208" t="s">
        <v>60</v>
      </c>
      <c r="B208" t="s">
        <v>71</v>
      </c>
      <c r="C208" t="s">
        <v>83</v>
      </c>
      <c r="D208" t="s">
        <v>34</v>
      </c>
      <c r="E208">
        <v>51.161914375356467</v>
      </c>
    </row>
    <row r="209" spans="1:5" x14ac:dyDescent="0.3">
      <c r="A209" t="s">
        <v>60</v>
      </c>
      <c r="B209" t="s">
        <v>71</v>
      </c>
      <c r="C209" t="s">
        <v>84</v>
      </c>
      <c r="D209" t="s">
        <v>34</v>
      </c>
      <c r="E209">
        <v>51.207167244149829</v>
      </c>
    </row>
    <row r="210" spans="1:5" x14ac:dyDescent="0.3">
      <c r="A210" t="s">
        <v>60</v>
      </c>
      <c r="B210" t="s">
        <v>71</v>
      </c>
      <c r="C210" t="s">
        <v>85</v>
      </c>
      <c r="D210" t="s">
        <v>34</v>
      </c>
      <c r="E210">
        <v>50.730376048569958</v>
      </c>
    </row>
    <row r="211" spans="1:5" x14ac:dyDescent="0.3">
      <c r="A211" t="s">
        <v>60</v>
      </c>
      <c r="B211" t="s">
        <v>72</v>
      </c>
      <c r="C211" t="s">
        <v>86</v>
      </c>
      <c r="D211" t="s">
        <v>34</v>
      </c>
      <c r="E211">
        <v>51.592026197381728</v>
      </c>
    </row>
    <row r="212" spans="1:5" x14ac:dyDescent="0.3">
      <c r="A212" t="s">
        <v>60</v>
      </c>
      <c r="B212" t="s">
        <v>72</v>
      </c>
      <c r="C212" t="s">
        <v>87</v>
      </c>
      <c r="D212" t="s">
        <v>34</v>
      </c>
      <c r="E212">
        <v>51.822327002373171</v>
      </c>
    </row>
    <row r="213" spans="1:5" x14ac:dyDescent="0.3">
      <c r="A213" t="s">
        <v>60</v>
      </c>
      <c r="B213" t="s">
        <v>73</v>
      </c>
      <c r="C213" t="s">
        <v>88</v>
      </c>
      <c r="D213" t="s">
        <v>34</v>
      </c>
      <c r="E213">
        <v>52.630609771717893</v>
      </c>
    </row>
    <row r="214" spans="1:5" x14ac:dyDescent="0.3">
      <c r="A214" t="s">
        <v>60</v>
      </c>
      <c r="B214" t="s">
        <v>73</v>
      </c>
      <c r="C214" t="s">
        <v>89</v>
      </c>
      <c r="D214" t="s">
        <v>34</v>
      </c>
      <c r="E214">
        <v>50.99411870947629</v>
      </c>
    </row>
    <row r="215" spans="1:5" x14ac:dyDescent="0.3">
      <c r="A215" t="s">
        <v>60</v>
      </c>
      <c r="B215" t="s">
        <v>74</v>
      </c>
      <c r="C215" t="s">
        <v>90</v>
      </c>
      <c r="D215" t="s">
        <v>34</v>
      </c>
      <c r="E215">
        <v>53.178398603277913</v>
      </c>
    </row>
    <row r="216" spans="1:5" x14ac:dyDescent="0.3">
      <c r="A216" t="s">
        <v>60</v>
      </c>
      <c r="B216" t="s">
        <v>74</v>
      </c>
      <c r="C216" t="s">
        <v>91</v>
      </c>
      <c r="D216" t="s">
        <v>34</v>
      </c>
      <c r="E216">
        <v>51.391326915608232</v>
      </c>
    </row>
    <row r="217" spans="1:5" x14ac:dyDescent="0.3">
      <c r="A217" t="s">
        <v>60</v>
      </c>
      <c r="B217" t="s">
        <v>75</v>
      </c>
      <c r="C217" t="s">
        <v>92</v>
      </c>
      <c r="D217" t="s">
        <v>34</v>
      </c>
      <c r="E217">
        <v>54.613163364190306</v>
      </c>
    </row>
    <row r="218" spans="1:5" x14ac:dyDescent="0.3">
      <c r="A218" t="s">
        <v>60</v>
      </c>
      <c r="B218" t="s">
        <v>75</v>
      </c>
      <c r="C218" t="s">
        <v>93</v>
      </c>
      <c r="D218" t="s">
        <v>34</v>
      </c>
      <c r="E218">
        <v>53.628673530708987</v>
      </c>
    </row>
    <row r="219" spans="1:5" x14ac:dyDescent="0.3">
      <c r="A219" t="s">
        <v>60</v>
      </c>
      <c r="B219" t="s">
        <v>75</v>
      </c>
      <c r="C219" t="s">
        <v>94</v>
      </c>
      <c r="D219" t="s">
        <v>34</v>
      </c>
      <c r="E219">
        <v>49.517462842096293</v>
      </c>
    </row>
    <row r="220" spans="1:5" x14ac:dyDescent="0.3">
      <c r="A220" t="s">
        <v>60</v>
      </c>
      <c r="B220" t="s">
        <v>75</v>
      </c>
      <c r="C220" t="s">
        <v>95</v>
      </c>
      <c r="D220" t="s">
        <v>34</v>
      </c>
      <c r="E220">
        <v>50.966431520154131</v>
      </c>
    </row>
    <row r="221" spans="1:5" x14ac:dyDescent="0.3">
      <c r="A221" t="s">
        <v>60</v>
      </c>
      <c r="B221" t="s">
        <v>76</v>
      </c>
      <c r="C221" t="s">
        <v>96</v>
      </c>
      <c r="D221" t="s">
        <v>34</v>
      </c>
      <c r="E221">
        <v>52.597063354073612</v>
      </c>
    </row>
    <row r="222" spans="1:5" x14ac:dyDescent="0.3">
      <c r="A222" t="s">
        <v>60</v>
      </c>
      <c r="B222" t="s">
        <v>76</v>
      </c>
      <c r="C222" t="s">
        <v>97</v>
      </c>
      <c r="D222" t="s">
        <v>34</v>
      </c>
      <c r="E222">
        <v>52.815932264152501</v>
      </c>
    </row>
    <row r="223" spans="1:5" x14ac:dyDescent="0.3">
      <c r="A223" t="s">
        <v>60</v>
      </c>
      <c r="B223" t="s">
        <v>76</v>
      </c>
      <c r="C223" t="s">
        <v>98</v>
      </c>
      <c r="D223" t="s">
        <v>34</v>
      </c>
      <c r="E223">
        <v>50.967624913788732</v>
      </c>
    </row>
    <row r="224" spans="1:5" x14ac:dyDescent="0.3">
      <c r="A224" t="s">
        <v>60</v>
      </c>
      <c r="B224" t="s">
        <v>0</v>
      </c>
      <c r="C224" t="s">
        <v>99</v>
      </c>
      <c r="D224" t="s">
        <v>34</v>
      </c>
      <c r="E224">
        <v>42.004798163952259</v>
      </c>
    </row>
    <row r="225" spans="1:5" x14ac:dyDescent="0.3">
      <c r="A225" t="s">
        <v>60</v>
      </c>
      <c r="B225" t="s">
        <v>0</v>
      </c>
      <c r="C225" t="s">
        <v>100</v>
      </c>
      <c r="D225" t="s">
        <v>34</v>
      </c>
      <c r="E225">
        <v>57.142857142857139</v>
      </c>
    </row>
    <row r="226" spans="1:5" x14ac:dyDescent="0.3">
      <c r="A226" t="s">
        <v>60</v>
      </c>
      <c r="B226" t="s">
        <v>0</v>
      </c>
      <c r="C226" t="s">
        <v>101</v>
      </c>
      <c r="D226" t="s">
        <v>34</v>
      </c>
      <c r="E226">
        <v>50.686378035902848</v>
      </c>
    </row>
    <row r="227" spans="1:5" x14ac:dyDescent="0.3">
      <c r="A227" t="s">
        <v>60</v>
      </c>
      <c r="B227" t="s">
        <v>0</v>
      </c>
      <c r="C227" t="s">
        <v>102</v>
      </c>
      <c r="D227" t="s">
        <v>34</v>
      </c>
      <c r="E227">
        <v>52.036505265326703</v>
      </c>
    </row>
    <row r="228" spans="1:5" x14ac:dyDescent="0.3">
      <c r="A228" t="s">
        <v>60</v>
      </c>
      <c r="B228" t="s">
        <v>0</v>
      </c>
      <c r="C228" t="s">
        <v>103</v>
      </c>
      <c r="D228" t="s">
        <v>34</v>
      </c>
      <c r="E228">
        <v>42.48268412795835</v>
      </c>
    </row>
    <row r="229" spans="1:5" x14ac:dyDescent="0.3">
      <c r="A229" t="s">
        <v>60</v>
      </c>
      <c r="B229" t="s">
        <v>0</v>
      </c>
      <c r="C229" t="s">
        <v>104</v>
      </c>
      <c r="D229" t="s">
        <v>34</v>
      </c>
      <c r="E229">
        <v>51.855779427359487</v>
      </c>
    </row>
    <row r="230" spans="1:5" x14ac:dyDescent="0.3">
      <c r="A230" t="s">
        <v>60</v>
      </c>
      <c r="B230" t="s">
        <v>0</v>
      </c>
      <c r="C230" t="s">
        <v>105</v>
      </c>
      <c r="D230" t="s">
        <v>34</v>
      </c>
      <c r="E230"/>
    </row>
    <row r="231" spans="1:5" x14ac:dyDescent="0.3">
      <c r="A231" t="s">
        <v>60</v>
      </c>
      <c r="B231" t="s">
        <v>0</v>
      </c>
      <c r="C231" t="s">
        <v>106</v>
      </c>
      <c r="D231" t="s">
        <v>34</v>
      </c>
      <c r="E231">
        <v>57.433714075399102</v>
      </c>
    </row>
    <row r="232" spans="1:5" x14ac:dyDescent="0.3">
      <c r="A232" t="s">
        <v>60</v>
      </c>
      <c r="B232" t="s">
        <v>0</v>
      </c>
      <c r="C232" t="s">
        <v>107</v>
      </c>
      <c r="D232" t="s">
        <v>34</v>
      </c>
      <c r="E232">
        <v>54.286234364377933</v>
      </c>
    </row>
    <row r="233" spans="1:5" x14ac:dyDescent="0.3">
      <c r="A233" t="s">
        <v>60</v>
      </c>
      <c r="B233" t="s">
        <v>0</v>
      </c>
      <c r="C233" t="s">
        <v>108</v>
      </c>
      <c r="D233" t="s">
        <v>34</v>
      </c>
      <c r="E233">
        <v>63.453306934474753</v>
      </c>
    </row>
    <row r="234" spans="1:5" x14ac:dyDescent="0.3">
      <c r="A234" t="s">
        <v>60</v>
      </c>
      <c r="B234" t="s">
        <v>0</v>
      </c>
      <c r="C234" t="s">
        <v>109</v>
      </c>
      <c r="D234" t="s">
        <v>34</v>
      </c>
      <c r="E234">
        <v>52.931030319919067</v>
      </c>
    </row>
    <row r="235" spans="1:5" x14ac:dyDescent="0.3">
      <c r="A235" t="s">
        <v>60</v>
      </c>
      <c r="B235" t="s">
        <v>0</v>
      </c>
      <c r="C235" t="s">
        <v>110</v>
      </c>
      <c r="D235" t="s">
        <v>34</v>
      </c>
      <c r="E235">
        <v>54.705274043433292</v>
      </c>
    </row>
    <row r="236" spans="1:5" x14ac:dyDescent="0.3">
      <c r="A236" t="s">
        <v>60</v>
      </c>
      <c r="B236" t="s">
        <v>0</v>
      </c>
      <c r="C236" t="s">
        <v>111</v>
      </c>
      <c r="D236" t="s">
        <v>34</v>
      </c>
      <c r="E236">
        <v>40.848214285714292</v>
      </c>
    </row>
    <row r="237" spans="1:5" x14ac:dyDescent="0.3">
      <c r="A237" t="s">
        <v>60</v>
      </c>
      <c r="B237" t="s">
        <v>0</v>
      </c>
      <c r="C237" t="s">
        <v>112</v>
      </c>
      <c r="D237" t="s">
        <v>34</v>
      </c>
      <c r="E237">
        <v>57.750759878419458</v>
      </c>
    </row>
    <row r="238" spans="1:5" x14ac:dyDescent="0.3">
      <c r="A238" t="s">
        <v>60</v>
      </c>
      <c r="B238" t="s">
        <v>0</v>
      </c>
      <c r="C238" t="s">
        <v>113</v>
      </c>
      <c r="D238" t="s">
        <v>34</v>
      </c>
      <c r="E238">
        <v>39.769950688882801</v>
      </c>
    </row>
    <row r="239" spans="1:5" x14ac:dyDescent="0.3">
      <c r="A239" t="s">
        <v>60</v>
      </c>
      <c r="B239" t="s">
        <v>0</v>
      </c>
      <c r="C239" t="s">
        <v>114</v>
      </c>
      <c r="D239" t="s">
        <v>34</v>
      </c>
      <c r="E239">
        <v>49.069734530206603</v>
      </c>
    </row>
    <row r="240" spans="1:5" x14ac:dyDescent="0.3">
      <c r="A240" t="s">
        <v>60</v>
      </c>
      <c r="B240" t="s">
        <v>0</v>
      </c>
      <c r="C240" t="s">
        <v>115</v>
      </c>
      <c r="D240" t="s">
        <v>34</v>
      </c>
      <c r="E240">
        <v>60.536360150206917</v>
      </c>
    </row>
    <row r="241" spans="1:5" x14ac:dyDescent="0.3">
      <c r="A241" t="s">
        <v>60</v>
      </c>
      <c r="B241" t="s">
        <v>0</v>
      </c>
      <c r="C241" t="s">
        <v>116</v>
      </c>
      <c r="D241" t="s">
        <v>34</v>
      </c>
      <c r="E241">
        <v>47.398665976523013</v>
      </c>
    </row>
    <row r="242" spans="1:5" x14ac:dyDescent="0.3">
      <c r="A242" t="s">
        <v>60</v>
      </c>
      <c r="B242" t="s">
        <v>69</v>
      </c>
      <c r="C242" t="s">
        <v>69</v>
      </c>
      <c r="D242" t="s">
        <v>35</v>
      </c>
      <c r="E242">
        <v>9.5296729644431455</v>
      </c>
    </row>
    <row r="243" spans="1:5" x14ac:dyDescent="0.3">
      <c r="A243" t="s">
        <v>60</v>
      </c>
      <c r="B243" t="s">
        <v>70</v>
      </c>
      <c r="C243" t="s">
        <v>78</v>
      </c>
      <c r="D243" t="s">
        <v>35</v>
      </c>
      <c r="E243">
        <v>10.291481505472619</v>
      </c>
    </row>
    <row r="244" spans="1:5" x14ac:dyDescent="0.3">
      <c r="A244" t="s">
        <v>60</v>
      </c>
      <c r="B244" t="s">
        <v>70</v>
      </c>
      <c r="C244" t="s">
        <v>79</v>
      </c>
      <c r="D244" t="s">
        <v>35</v>
      </c>
      <c r="E244">
        <v>10.72092459830313</v>
      </c>
    </row>
    <row r="245" spans="1:5" x14ac:dyDescent="0.3">
      <c r="A245" t="s">
        <v>60</v>
      </c>
      <c r="B245" t="s">
        <v>70</v>
      </c>
      <c r="C245" t="s">
        <v>80</v>
      </c>
      <c r="D245" t="s">
        <v>35</v>
      </c>
      <c r="E245">
        <v>7.0406949553781164</v>
      </c>
    </row>
    <row r="246" spans="1:5" x14ac:dyDescent="0.3">
      <c r="A246" t="s">
        <v>60</v>
      </c>
      <c r="B246" t="s">
        <v>70</v>
      </c>
      <c r="C246" t="s">
        <v>81</v>
      </c>
      <c r="D246" t="s">
        <v>35</v>
      </c>
      <c r="E246">
        <v>7.9537625860827283</v>
      </c>
    </row>
    <row r="247" spans="1:5" x14ac:dyDescent="0.3">
      <c r="A247" t="s">
        <v>60</v>
      </c>
      <c r="B247" t="s">
        <v>71</v>
      </c>
      <c r="C247" t="s">
        <v>82</v>
      </c>
      <c r="D247" t="s">
        <v>35</v>
      </c>
      <c r="E247">
        <v>12.1663171145706</v>
      </c>
    </row>
    <row r="248" spans="1:5" x14ac:dyDescent="0.3">
      <c r="A248" t="s">
        <v>60</v>
      </c>
      <c r="B248" t="s">
        <v>71</v>
      </c>
      <c r="C248" t="s">
        <v>83</v>
      </c>
      <c r="D248" t="s">
        <v>35</v>
      </c>
      <c r="E248">
        <v>9.4628256042761496</v>
      </c>
    </row>
    <row r="249" spans="1:5" x14ac:dyDescent="0.3">
      <c r="A249" t="s">
        <v>60</v>
      </c>
      <c r="B249" t="s">
        <v>71</v>
      </c>
      <c r="C249" t="s">
        <v>84</v>
      </c>
      <c r="D249" t="s">
        <v>35</v>
      </c>
      <c r="E249">
        <v>7.9113571180187803</v>
      </c>
    </row>
    <row r="250" spans="1:5" x14ac:dyDescent="0.3">
      <c r="A250" t="s">
        <v>60</v>
      </c>
      <c r="B250" t="s">
        <v>71</v>
      </c>
      <c r="C250" t="s">
        <v>85</v>
      </c>
      <c r="D250" t="s">
        <v>35</v>
      </c>
      <c r="E250">
        <v>8.3652453825325122</v>
      </c>
    </row>
    <row r="251" spans="1:5" x14ac:dyDescent="0.3">
      <c r="A251" t="s">
        <v>60</v>
      </c>
      <c r="B251" t="s">
        <v>72</v>
      </c>
      <c r="C251" t="s">
        <v>86</v>
      </c>
      <c r="D251" t="s">
        <v>35</v>
      </c>
      <c r="E251">
        <v>9.4876465043655234</v>
      </c>
    </row>
    <row r="252" spans="1:5" x14ac:dyDescent="0.3">
      <c r="A252" t="s">
        <v>60</v>
      </c>
      <c r="B252" t="s">
        <v>72</v>
      </c>
      <c r="C252" t="s">
        <v>87</v>
      </c>
      <c r="D252" t="s">
        <v>35</v>
      </c>
      <c r="E252">
        <v>9.5723696787128052</v>
      </c>
    </row>
    <row r="253" spans="1:5" x14ac:dyDescent="0.3">
      <c r="A253" t="s">
        <v>60</v>
      </c>
      <c r="B253" t="s">
        <v>73</v>
      </c>
      <c r="C253" t="s">
        <v>88</v>
      </c>
      <c r="D253" t="s">
        <v>35</v>
      </c>
      <c r="E253">
        <v>9.9215149540909344</v>
      </c>
    </row>
    <row r="254" spans="1:5" x14ac:dyDescent="0.3">
      <c r="A254" t="s">
        <v>60</v>
      </c>
      <c r="B254" t="s">
        <v>73</v>
      </c>
      <c r="C254" t="s">
        <v>89</v>
      </c>
      <c r="D254" t="s">
        <v>35</v>
      </c>
      <c r="E254">
        <v>9.1846111784030082</v>
      </c>
    </row>
    <row r="255" spans="1:5" x14ac:dyDescent="0.3">
      <c r="A255" t="s">
        <v>60</v>
      </c>
      <c r="B255" t="s">
        <v>74</v>
      </c>
      <c r="C255" t="s">
        <v>90</v>
      </c>
      <c r="D255" t="s">
        <v>35</v>
      </c>
      <c r="E255">
        <v>10.735314007175459</v>
      </c>
    </row>
    <row r="256" spans="1:5" x14ac:dyDescent="0.3">
      <c r="A256" t="s">
        <v>60</v>
      </c>
      <c r="B256" t="s">
        <v>74</v>
      </c>
      <c r="C256" t="s">
        <v>91</v>
      </c>
      <c r="D256" t="s">
        <v>35</v>
      </c>
      <c r="E256">
        <v>9.1805356483038185</v>
      </c>
    </row>
    <row r="257" spans="1:5" x14ac:dyDescent="0.3">
      <c r="A257" t="s">
        <v>60</v>
      </c>
      <c r="B257" t="s">
        <v>75</v>
      </c>
      <c r="C257" t="s">
        <v>92</v>
      </c>
      <c r="D257" t="s">
        <v>35</v>
      </c>
      <c r="E257">
        <v>8.2798394515000631</v>
      </c>
    </row>
    <row r="258" spans="1:5" x14ac:dyDescent="0.3">
      <c r="A258" t="s">
        <v>60</v>
      </c>
      <c r="B258" t="s">
        <v>75</v>
      </c>
      <c r="C258" t="s">
        <v>93</v>
      </c>
      <c r="D258" t="s">
        <v>35</v>
      </c>
      <c r="E258">
        <v>9.4142327712487681</v>
      </c>
    </row>
    <row r="259" spans="1:5" x14ac:dyDescent="0.3">
      <c r="A259" t="s">
        <v>60</v>
      </c>
      <c r="B259" t="s">
        <v>75</v>
      </c>
      <c r="C259" t="s">
        <v>94</v>
      </c>
      <c r="D259" t="s">
        <v>35</v>
      </c>
      <c r="E259">
        <v>10.095262125148</v>
      </c>
    </row>
    <row r="260" spans="1:5" x14ac:dyDescent="0.3">
      <c r="A260" t="s">
        <v>60</v>
      </c>
      <c r="B260" t="s">
        <v>75</v>
      </c>
      <c r="C260" t="s">
        <v>95</v>
      </c>
      <c r="D260" t="s">
        <v>35</v>
      </c>
      <c r="E260">
        <v>7.9091447546007307</v>
      </c>
    </row>
    <row r="261" spans="1:5" x14ac:dyDescent="0.3">
      <c r="A261" t="s">
        <v>60</v>
      </c>
      <c r="B261" t="s">
        <v>76</v>
      </c>
      <c r="C261" t="s">
        <v>96</v>
      </c>
      <c r="D261" t="s">
        <v>35</v>
      </c>
      <c r="E261">
        <v>10.11537245133027</v>
      </c>
    </row>
    <row r="262" spans="1:5" x14ac:dyDescent="0.3">
      <c r="A262" t="s">
        <v>60</v>
      </c>
      <c r="B262" t="s">
        <v>76</v>
      </c>
      <c r="C262" t="s">
        <v>97</v>
      </c>
      <c r="D262" t="s">
        <v>35</v>
      </c>
      <c r="E262">
        <v>11.95997394608785</v>
      </c>
    </row>
    <row r="263" spans="1:5" x14ac:dyDescent="0.3">
      <c r="A263" t="s">
        <v>60</v>
      </c>
      <c r="B263" t="s">
        <v>76</v>
      </c>
      <c r="C263" t="s">
        <v>98</v>
      </c>
      <c r="D263" t="s">
        <v>35</v>
      </c>
      <c r="E263">
        <v>8.2394965165802478</v>
      </c>
    </row>
    <row r="264" spans="1:5" x14ac:dyDescent="0.3">
      <c r="A264" t="s">
        <v>60</v>
      </c>
      <c r="B264" t="s">
        <v>0</v>
      </c>
      <c r="C264" t="s">
        <v>99</v>
      </c>
      <c r="D264" t="s">
        <v>35</v>
      </c>
      <c r="E264">
        <v>2.1169007820990031</v>
      </c>
    </row>
    <row r="265" spans="1:5" x14ac:dyDescent="0.3">
      <c r="A265" t="s">
        <v>60</v>
      </c>
      <c r="B265" t="s">
        <v>0</v>
      </c>
      <c r="C265" t="s">
        <v>100</v>
      </c>
      <c r="D265" t="s">
        <v>35</v>
      </c>
      <c r="E265">
        <v>5.7710501419110694</v>
      </c>
    </row>
    <row r="266" spans="1:5" x14ac:dyDescent="0.3">
      <c r="A266" t="s">
        <v>60</v>
      </c>
      <c r="B266" t="s">
        <v>0</v>
      </c>
      <c r="C266" t="s">
        <v>101</v>
      </c>
      <c r="D266" t="s">
        <v>35</v>
      </c>
      <c r="E266">
        <v>12.777191129883841</v>
      </c>
    </row>
    <row r="267" spans="1:5" x14ac:dyDescent="0.3">
      <c r="A267" t="s">
        <v>60</v>
      </c>
      <c r="B267" t="s">
        <v>0</v>
      </c>
      <c r="C267" t="s">
        <v>102</v>
      </c>
      <c r="D267" t="s">
        <v>35</v>
      </c>
      <c r="E267">
        <v>8.4135073060365162</v>
      </c>
    </row>
    <row r="268" spans="1:5" x14ac:dyDescent="0.3">
      <c r="A268" t="s">
        <v>60</v>
      </c>
      <c r="B268" t="s">
        <v>0</v>
      </c>
      <c r="C268" t="s">
        <v>103</v>
      </c>
      <c r="D268" t="s">
        <v>35</v>
      </c>
      <c r="E268">
        <v>3.5919355372857722</v>
      </c>
    </row>
    <row r="269" spans="1:5" x14ac:dyDescent="0.3">
      <c r="A269" t="s">
        <v>60</v>
      </c>
      <c r="B269" t="s">
        <v>0</v>
      </c>
      <c r="C269" t="s">
        <v>104</v>
      </c>
      <c r="D269" t="s">
        <v>35</v>
      </c>
      <c r="E269">
        <v>14.20996818663839</v>
      </c>
    </row>
    <row r="270" spans="1:5" x14ac:dyDescent="0.3">
      <c r="A270" t="s">
        <v>60</v>
      </c>
      <c r="B270" t="s">
        <v>0</v>
      </c>
      <c r="C270" t="s">
        <v>105</v>
      </c>
      <c r="D270" t="s">
        <v>35</v>
      </c>
      <c r="E270"/>
    </row>
    <row r="271" spans="1:5" x14ac:dyDescent="0.3">
      <c r="A271" t="s">
        <v>60</v>
      </c>
      <c r="B271" t="s">
        <v>0</v>
      </c>
      <c r="C271" t="s">
        <v>106</v>
      </c>
      <c r="D271" t="s">
        <v>35</v>
      </c>
      <c r="E271">
        <v>6.5365004095016417</v>
      </c>
    </row>
    <row r="272" spans="1:5" x14ac:dyDescent="0.3">
      <c r="A272" t="s">
        <v>60</v>
      </c>
      <c r="B272" t="s">
        <v>0</v>
      </c>
      <c r="C272" t="s">
        <v>107</v>
      </c>
      <c r="D272" t="s">
        <v>35</v>
      </c>
      <c r="E272">
        <v>14.09508167946862</v>
      </c>
    </row>
    <row r="273" spans="1:5" x14ac:dyDescent="0.3">
      <c r="A273" t="s">
        <v>60</v>
      </c>
      <c r="B273" t="s">
        <v>0</v>
      </c>
      <c r="C273" t="s">
        <v>108</v>
      </c>
      <c r="D273" t="s">
        <v>35</v>
      </c>
      <c r="E273">
        <v>6.6625512688564124</v>
      </c>
    </row>
    <row r="274" spans="1:5" x14ac:dyDescent="0.3">
      <c r="A274" t="s">
        <v>60</v>
      </c>
      <c r="B274" t="s">
        <v>0</v>
      </c>
      <c r="C274" t="s">
        <v>109</v>
      </c>
      <c r="D274" t="s">
        <v>35</v>
      </c>
      <c r="E274">
        <v>16.438845236666801</v>
      </c>
    </row>
    <row r="275" spans="1:5" x14ac:dyDescent="0.3">
      <c r="A275" t="s">
        <v>60</v>
      </c>
      <c r="B275" t="s">
        <v>0</v>
      </c>
      <c r="C275" t="s">
        <v>110</v>
      </c>
      <c r="D275" t="s">
        <v>35</v>
      </c>
      <c r="E275">
        <v>13.34022750775595</v>
      </c>
    </row>
    <row r="276" spans="1:5" x14ac:dyDescent="0.3">
      <c r="A276" t="s">
        <v>60</v>
      </c>
      <c r="B276" t="s">
        <v>0</v>
      </c>
      <c r="C276" t="s">
        <v>111</v>
      </c>
      <c r="D276" t="s">
        <v>35</v>
      </c>
      <c r="E276">
        <v>4.6875</v>
      </c>
    </row>
    <row r="277" spans="1:5" x14ac:dyDescent="0.3">
      <c r="A277" t="s">
        <v>60</v>
      </c>
      <c r="B277" t="s">
        <v>0</v>
      </c>
      <c r="C277" t="s">
        <v>112</v>
      </c>
      <c r="D277" t="s">
        <v>35</v>
      </c>
      <c r="E277">
        <v>4.0526849037487338</v>
      </c>
    </row>
    <row r="278" spans="1:5" x14ac:dyDescent="0.3">
      <c r="A278" t="s">
        <v>60</v>
      </c>
      <c r="B278" t="s">
        <v>0</v>
      </c>
      <c r="C278" t="s">
        <v>113</v>
      </c>
      <c r="D278" t="s">
        <v>35</v>
      </c>
      <c r="E278">
        <v>4.4560995137849559</v>
      </c>
    </row>
    <row r="279" spans="1:5" x14ac:dyDescent="0.3">
      <c r="A279" t="s">
        <v>60</v>
      </c>
      <c r="B279" t="s">
        <v>0</v>
      </c>
      <c r="C279" t="s">
        <v>114</v>
      </c>
      <c r="D279" t="s">
        <v>35</v>
      </c>
      <c r="E279">
        <v>14.78889007263804</v>
      </c>
    </row>
    <row r="280" spans="1:5" x14ac:dyDescent="0.3">
      <c r="A280" t="s">
        <v>60</v>
      </c>
      <c r="B280" t="s">
        <v>0</v>
      </c>
      <c r="C280" t="s">
        <v>115</v>
      </c>
      <c r="D280" t="s">
        <v>35</v>
      </c>
      <c r="E280">
        <v>7.1526694973494473</v>
      </c>
    </row>
    <row r="281" spans="1:5" x14ac:dyDescent="0.3">
      <c r="A281" t="s">
        <v>60</v>
      </c>
      <c r="B281" t="s">
        <v>0</v>
      </c>
      <c r="C281" t="s">
        <v>116</v>
      </c>
      <c r="D281" t="s">
        <v>35</v>
      </c>
      <c r="E281">
        <v>21.507131406593579</v>
      </c>
    </row>
    <row r="282" spans="1:5" x14ac:dyDescent="0.3">
      <c r="A282" t="s">
        <v>60</v>
      </c>
      <c r="B282" t="s">
        <v>69</v>
      </c>
      <c r="C282" t="s">
        <v>69</v>
      </c>
      <c r="D282" t="s">
        <v>36</v>
      </c>
      <c r="E282">
        <v>1.7358431626277659</v>
      </c>
    </row>
    <row r="283" spans="1:5" x14ac:dyDescent="0.3">
      <c r="A283" t="s">
        <v>60</v>
      </c>
      <c r="B283" t="s">
        <v>70</v>
      </c>
      <c r="C283" t="s">
        <v>78</v>
      </c>
      <c r="D283" t="s">
        <v>36</v>
      </c>
      <c r="E283">
        <v>1.7352929727220849</v>
      </c>
    </row>
    <row r="284" spans="1:5" x14ac:dyDescent="0.3">
      <c r="A284" t="s">
        <v>60</v>
      </c>
      <c r="B284" t="s">
        <v>70</v>
      </c>
      <c r="C284" t="s">
        <v>79</v>
      </c>
      <c r="D284" t="s">
        <v>36</v>
      </c>
      <c r="E284">
        <v>1.636234207501194</v>
      </c>
    </row>
    <row r="285" spans="1:5" x14ac:dyDescent="0.3">
      <c r="A285" t="s">
        <v>60</v>
      </c>
      <c r="B285" t="s">
        <v>70</v>
      </c>
      <c r="C285" t="s">
        <v>80</v>
      </c>
      <c r="D285" t="s">
        <v>36</v>
      </c>
      <c r="E285">
        <v>1.7858924462927821</v>
      </c>
    </row>
    <row r="286" spans="1:5" x14ac:dyDescent="0.3">
      <c r="A286" t="s">
        <v>60</v>
      </c>
      <c r="B286" t="s">
        <v>70</v>
      </c>
      <c r="C286" t="s">
        <v>81</v>
      </c>
      <c r="D286" t="s">
        <v>36</v>
      </c>
      <c r="E286">
        <v>2.0816151994695069</v>
      </c>
    </row>
    <row r="287" spans="1:5" x14ac:dyDescent="0.3">
      <c r="A287" t="s">
        <v>60</v>
      </c>
      <c r="B287" t="s">
        <v>71</v>
      </c>
      <c r="C287" t="s">
        <v>82</v>
      </c>
      <c r="D287" t="s">
        <v>36</v>
      </c>
      <c r="E287">
        <v>1.843955991656816</v>
      </c>
    </row>
    <row r="288" spans="1:5" x14ac:dyDescent="0.3">
      <c r="A288" t="s">
        <v>60</v>
      </c>
      <c r="B288" t="s">
        <v>71</v>
      </c>
      <c r="C288" t="s">
        <v>83</v>
      </c>
      <c r="D288" t="s">
        <v>36</v>
      </c>
      <c r="E288">
        <v>1.6225983920928939</v>
      </c>
    </row>
    <row r="289" spans="1:5" x14ac:dyDescent="0.3">
      <c r="A289" t="s">
        <v>60</v>
      </c>
      <c r="B289" t="s">
        <v>71</v>
      </c>
      <c r="C289" t="s">
        <v>84</v>
      </c>
      <c r="D289" t="s">
        <v>36</v>
      </c>
      <c r="E289">
        <v>1.8825023499532001</v>
      </c>
    </row>
    <row r="290" spans="1:5" x14ac:dyDescent="0.3">
      <c r="A290" t="s">
        <v>60</v>
      </c>
      <c r="B290" t="s">
        <v>71</v>
      </c>
      <c r="C290" t="s">
        <v>85</v>
      </c>
      <c r="D290" t="s">
        <v>36</v>
      </c>
      <c r="E290">
        <v>1.400054705687253</v>
      </c>
    </row>
    <row r="291" spans="1:5" x14ac:dyDescent="0.3">
      <c r="A291" t="s">
        <v>60</v>
      </c>
      <c r="B291" t="s">
        <v>72</v>
      </c>
      <c r="C291" t="s">
        <v>86</v>
      </c>
      <c r="D291" t="s">
        <v>36</v>
      </c>
      <c r="E291">
        <v>1.610142767787812</v>
      </c>
    </row>
    <row r="292" spans="1:5" x14ac:dyDescent="0.3">
      <c r="A292" t="s">
        <v>60</v>
      </c>
      <c r="B292" t="s">
        <v>72</v>
      </c>
      <c r="C292" t="s">
        <v>87</v>
      </c>
      <c r="D292" t="s">
        <v>36</v>
      </c>
      <c r="E292">
        <v>1.863548275838637</v>
      </c>
    </row>
    <row r="293" spans="1:5" x14ac:dyDescent="0.3">
      <c r="A293" t="s">
        <v>60</v>
      </c>
      <c r="B293" t="s">
        <v>73</v>
      </c>
      <c r="C293" t="s">
        <v>88</v>
      </c>
      <c r="D293" t="s">
        <v>36</v>
      </c>
      <c r="E293">
        <v>1.6133842890193859</v>
      </c>
    </row>
    <row r="294" spans="1:5" x14ac:dyDescent="0.3">
      <c r="A294" t="s">
        <v>60</v>
      </c>
      <c r="B294" t="s">
        <v>73</v>
      </c>
      <c r="C294" t="s">
        <v>89</v>
      </c>
      <c r="D294" t="s">
        <v>36</v>
      </c>
      <c r="E294">
        <v>1.834294348486915</v>
      </c>
    </row>
    <row r="295" spans="1:5" x14ac:dyDescent="0.3">
      <c r="A295" t="s">
        <v>60</v>
      </c>
      <c r="B295" t="s">
        <v>74</v>
      </c>
      <c r="C295" t="s">
        <v>90</v>
      </c>
      <c r="D295" t="s">
        <v>36</v>
      </c>
      <c r="E295">
        <v>1.3721413011401979</v>
      </c>
    </row>
    <row r="296" spans="1:5" x14ac:dyDescent="0.3">
      <c r="A296" t="s">
        <v>60</v>
      </c>
      <c r="B296" t="s">
        <v>74</v>
      </c>
      <c r="C296" t="s">
        <v>91</v>
      </c>
      <c r="D296" t="s">
        <v>36</v>
      </c>
      <c r="E296">
        <v>1.866503662724347</v>
      </c>
    </row>
    <row r="297" spans="1:5" x14ac:dyDescent="0.3">
      <c r="A297" t="s">
        <v>60</v>
      </c>
      <c r="B297" t="s">
        <v>75</v>
      </c>
      <c r="C297" t="s">
        <v>92</v>
      </c>
      <c r="D297" t="s">
        <v>36</v>
      </c>
      <c r="E297">
        <v>2.3781605702622501</v>
      </c>
    </row>
    <row r="298" spans="1:5" x14ac:dyDescent="0.3">
      <c r="A298" t="s">
        <v>60</v>
      </c>
      <c r="B298" t="s">
        <v>75</v>
      </c>
      <c r="C298" t="s">
        <v>93</v>
      </c>
      <c r="D298" t="s">
        <v>36</v>
      </c>
      <c r="E298">
        <v>1.498040122643258</v>
      </c>
    </row>
    <row r="299" spans="1:5" x14ac:dyDescent="0.3">
      <c r="A299" t="s">
        <v>60</v>
      </c>
      <c r="B299" t="s">
        <v>75</v>
      </c>
      <c r="C299" t="s">
        <v>94</v>
      </c>
      <c r="D299" t="s">
        <v>36</v>
      </c>
      <c r="E299">
        <v>1.8637685624902709</v>
      </c>
    </row>
    <row r="300" spans="1:5" x14ac:dyDescent="0.3">
      <c r="A300" t="s">
        <v>60</v>
      </c>
      <c r="B300" t="s">
        <v>75</v>
      </c>
      <c r="C300" t="s">
        <v>95</v>
      </c>
      <c r="D300" t="s">
        <v>36</v>
      </c>
      <c r="E300">
        <v>2.34377694553184</v>
      </c>
    </row>
    <row r="301" spans="1:5" x14ac:dyDescent="0.3">
      <c r="A301" t="s">
        <v>60</v>
      </c>
      <c r="B301" t="s">
        <v>76</v>
      </c>
      <c r="C301" t="s">
        <v>96</v>
      </c>
      <c r="D301" t="s">
        <v>36</v>
      </c>
      <c r="E301">
        <v>1.735218519530322</v>
      </c>
    </row>
    <row r="302" spans="1:5" x14ac:dyDescent="0.3">
      <c r="A302" t="s">
        <v>60</v>
      </c>
      <c r="B302" t="s">
        <v>76</v>
      </c>
      <c r="C302" t="s">
        <v>97</v>
      </c>
      <c r="D302" t="s">
        <v>36</v>
      </c>
      <c r="E302">
        <v>1.912190099149347</v>
      </c>
    </row>
    <row r="303" spans="1:5" x14ac:dyDescent="0.3">
      <c r="A303" t="s">
        <v>60</v>
      </c>
      <c r="B303" t="s">
        <v>76</v>
      </c>
      <c r="C303" t="s">
        <v>98</v>
      </c>
      <c r="D303" t="s">
        <v>36</v>
      </c>
      <c r="E303">
        <v>1.6525714445258439</v>
      </c>
    </row>
    <row r="304" spans="1:5" x14ac:dyDescent="0.3">
      <c r="A304" t="s">
        <v>60</v>
      </c>
      <c r="B304" t="s">
        <v>0</v>
      </c>
      <c r="C304" t="s">
        <v>99</v>
      </c>
      <c r="D304" t="s">
        <v>36</v>
      </c>
      <c r="E304">
        <v>0.99990983294004609</v>
      </c>
    </row>
    <row r="305" spans="1:5" x14ac:dyDescent="0.3">
      <c r="A305" t="s">
        <v>60</v>
      </c>
      <c r="B305" t="s">
        <v>0</v>
      </c>
      <c r="C305" t="s">
        <v>100</v>
      </c>
      <c r="D305" t="s">
        <v>36</v>
      </c>
      <c r="E305">
        <v>2.838221381267739</v>
      </c>
    </row>
    <row r="306" spans="1:5" x14ac:dyDescent="0.3">
      <c r="A306" t="s">
        <v>60</v>
      </c>
      <c r="B306" t="s">
        <v>0</v>
      </c>
      <c r="C306" t="s">
        <v>101</v>
      </c>
      <c r="D306" t="s">
        <v>36</v>
      </c>
      <c r="E306">
        <v>0.84477296726504747</v>
      </c>
    </row>
    <row r="307" spans="1:5" x14ac:dyDescent="0.3">
      <c r="A307" t="s">
        <v>60</v>
      </c>
      <c r="B307" t="s">
        <v>0</v>
      </c>
      <c r="C307" t="s">
        <v>102</v>
      </c>
      <c r="D307" t="s">
        <v>36</v>
      </c>
      <c r="E307">
        <v>1.3820189181777629</v>
      </c>
    </row>
    <row r="308" spans="1:5" x14ac:dyDescent="0.3">
      <c r="A308" t="s">
        <v>60</v>
      </c>
      <c r="B308" t="s">
        <v>0</v>
      </c>
      <c r="C308" t="s">
        <v>103</v>
      </c>
      <c r="D308" t="s">
        <v>36</v>
      </c>
      <c r="E308">
        <v>0.59565191030422171</v>
      </c>
    </row>
    <row r="309" spans="1:5" x14ac:dyDescent="0.3">
      <c r="A309" t="s">
        <v>60</v>
      </c>
      <c r="B309" t="s">
        <v>0</v>
      </c>
      <c r="C309" t="s">
        <v>104</v>
      </c>
      <c r="D309" t="s">
        <v>36</v>
      </c>
      <c r="E309">
        <v>1.27253446447508</v>
      </c>
    </row>
    <row r="310" spans="1:5" x14ac:dyDescent="0.3">
      <c r="A310" t="s">
        <v>60</v>
      </c>
      <c r="B310" t="s">
        <v>0</v>
      </c>
      <c r="C310" t="s">
        <v>105</v>
      </c>
      <c r="D310" t="s">
        <v>36</v>
      </c>
      <c r="E310"/>
    </row>
    <row r="311" spans="1:5" x14ac:dyDescent="0.3">
      <c r="A311" t="s">
        <v>60</v>
      </c>
      <c r="B311" t="s">
        <v>0</v>
      </c>
      <c r="C311" t="s">
        <v>106</v>
      </c>
      <c r="D311" t="s">
        <v>36</v>
      </c>
      <c r="E311">
        <v>3.4818277113949621</v>
      </c>
    </row>
    <row r="312" spans="1:5" x14ac:dyDescent="0.3">
      <c r="A312" t="s">
        <v>60</v>
      </c>
      <c r="B312" t="s">
        <v>0</v>
      </c>
      <c r="C312" t="s">
        <v>107</v>
      </c>
      <c r="D312" t="s">
        <v>36</v>
      </c>
      <c r="E312">
        <v>0.8689481819833863</v>
      </c>
    </row>
    <row r="313" spans="1:5" x14ac:dyDescent="0.3">
      <c r="A313" t="s">
        <v>60</v>
      </c>
      <c r="B313" t="s">
        <v>0</v>
      </c>
      <c r="C313" t="s">
        <v>108</v>
      </c>
      <c r="D313" t="s">
        <v>36</v>
      </c>
      <c r="E313">
        <v>1.6134503838548839</v>
      </c>
    </row>
    <row r="314" spans="1:5" x14ac:dyDescent="0.3">
      <c r="A314" t="s">
        <v>60</v>
      </c>
      <c r="B314" t="s">
        <v>0</v>
      </c>
      <c r="C314" t="s">
        <v>109</v>
      </c>
      <c r="D314" t="s">
        <v>36</v>
      </c>
      <c r="E314">
        <v>0.9355462567405276</v>
      </c>
    </row>
    <row r="315" spans="1:5" x14ac:dyDescent="0.3">
      <c r="A315" t="s">
        <v>60</v>
      </c>
      <c r="B315" t="s">
        <v>0</v>
      </c>
      <c r="C315" t="s">
        <v>110</v>
      </c>
      <c r="D315" t="s">
        <v>36</v>
      </c>
      <c r="E315">
        <v>2.0682523267838682</v>
      </c>
    </row>
    <row r="316" spans="1:5" x14ac:dyDescent="0.3">
      <c r="A316" t="s">
        <v>60</v>
      </c>
      <c r="B316" t="s">
        <v>0</v>
      </c>
      <c r="C316" t="s">
        <v>111</v>
      </c>
      <c r="D316" t="s">
        <v>36</v>
      </c>
      <c r="E316">
        <v>0.4464285714285714</v>
      </c>
    </row>
    <row r="317" spans="1:5" x14ac:dyDescent="0.3">
      <c r="A317" t="s">
        <v>60</v>
      </c>
      <c r="B317" t="s">
        <v>0</v>
      </c>
      <c r="C317" t="s">
        <v>112</v>
      </c>
      <c r="D317" t="s">
        <v>36</v>
      </c>
      <c r="E317">
        <v>1.317122593718338</v>
      </c>
    </row>
    <row r="318" spans="1:5" x14ac:dyDescent="0.3">
      <c r="A318" t="s">
        <v>60</v>
      </c>
      <c r="B318" t="s">
        <v>0</v>
      </c>
      <c r="C318" t="s">
        <v>113</v>
      </c>
      <c r="D318" t="s">
        <v>36</v>
      </c>
      <c r="E318">
        <v>1.0792047437263099</v>
      </c>
    </row>
    <row r="319" spans="1:5" x14ac:dyDescent="0.3">
      <c r="A319" t="s">
        <v>60</v>
      </c>
      <c r="B319" t="s">
        <v>0</v>
      </c>
      <c r="C319" t="s">
        <v>114</v>
      </c>
      <c r="D319" t="s">
        <v>36</v>
      </c>
      <c r="E319">
        <v>1.584004123945457</v>
      </c>
    </row>
    <row r="320" spans="1:5" x14ac:dyDescent="0.3">
      <c r="A320" t="s">
        <v>60</v>
      </c>
      <c r="B320" t="s">
        <v>0</v>
      </c>
      <c r="C320" t="s">
        <v>115</v>
      </c>
      <c r="D320" t="s">
        <v>36</v>
      </c>
      <c r="E320">
        <v>0.98407157265489076</v>
      </c>
    </row>
    <row r="321" spans="1:5" x14ac:dyDescent="0.3">
      <c r="A321" t="s">
        <v>60</v>
      </c>
      <c r="B321" t="s">
        <v>0</v>
      </c>
      <c r="C321" t="s">
        <v>116</v>
      </c>
      <c r="D321" t="s">
        <v>36</v>
      </c>
      <c r="E321">
        <v>6.3043332112642254</v>
      </c>
    </row>
    <row r="322" spans="1:5" x14ac:dyDescent="0.3">
      <c r="A322" t="s">
        <v>61</v>
      </c>
      <c r="B322" t="s">
        <v>69</v>
      </c>
      <c r="C322" t="s">
        <v>69</v>
      </c>
      <c r="D322" t="s">
        <v>33</v>
      </c>
      <c r="E322">
        <v>33.586094071306</v>
      </c>
    </row>
    <row r="323" spans="1:5" x14ac:dyDescent="0.3">
      <c r="A323" t="s">
        <v>61</v>
      </c>
      <c r="B323" t="s">
        <v>70</v>
      </c>
      <c r="C323" t="s">
        <v>78</v>
      </c>
      <c r="D323" t="s">
        <v>33</v>
      </c>
      <c r="E323">
        <v>32.11526993336237</v>
      </c>
    </row>
    <row r="324" spans="1:5" x14ac:dyDescent="0.3">
      <c r="A324" t="s">
        <v>61</v>
      </c>
      <c r="B324" t="s">
        <v>70</v>
      </c>
      <c r="C324" t="s">
        <v>79</v>
      </c>
      <c r="D324" t="s">
        <v>33</v>
      </c>
      <c r="E324">
        <v>33.06288344065225</v>
      </c>
    </row>
    <row r="325" spans="1:5" x14ac:dyDescent="0.3">
      <c r="A325" t="s">
        <v>61</v>
      </c>
      <c r="B325" t="s">
        <v>70</v>
      </c>
      <c r="C325" t="s">
        <v>80</v>
      </c>
      <c r="D325" t="s">
        <v>33</v>
      </c>
      <c r="E325">
        <v>35.910001572046269</v>
      </c>
    </row>
    <row r="326" spans="1:5" x14ac:dyDescent="0.3">
      <c r="A326" t="s">
        <v>61</v>
      </c>
      <c r="B326" t="s">
        <v>70</v>
      </c>
      <c r="C326" t="s">
        <v>81</v>
      </c>
      <c r="D326" t="s">
        <v>33</v>
      </c>
      <c r="E326">
        <v>36.13714394100208</v>
      </c>
    </row>
    <row r="327" spans="1:5" x14ac:dyDescent="0.3">
      <c r="A327" t="s">
        <v>61</v>
      </c>
      <c r="B327" t="s">
        <v>71</v>
      </c>
      <c r="C327" t="s">
        <v>82</v>
      </c>
      <c r="D327" t="s">
        <v>33</v>
      </c>
      <c r="E327">
        <v>31.1736204735051</v>
      </c>
    </row>
    <row r="328" spans="1:5" x14ac:dyDescent="0.3">
      <c r="A328" t="s">
        <v>61</v>
      </c>
      <c r="B328" t="s">
        <v>71</v>
      </c>
      <c r="C328" t="s">
        <v>83</v>
      </c>
      <c r="D328" t="s">
        <v>33</v>
      </c>
      <c r="E328">
        <v>33.385099451301663</v>
      </c>
    </row>
    <row r="329" spans="1:5" x14ac:dyDescent="0.3">
      <c r="A329" t="s">
        <v>61</v>
      </c>
      <c r="B329" t="s">
        <v>71</v>
      </c>
      <c r="C329" t="s">
        <v>84</v>
      </c>
      <c r="D329" t="s">
        <v>33</v>
      </c>
      <c r="E329">
        <v>35.289531809604277</v>
      </c>
    </row>
    <row r="330" spans="1:5" x14ac:dyDescent="0.3">
      <c r="A330" t="s">
        <v>61</v>
      </c>
      <c r="B330" t="s">
        <v>71</v>
      </c>
      <c r="C330" t="s">
        <v>85</v>
      </c>
      <c r="D330" t="s">
        <v>33</v>
      </c>
      <c r="E330">
        <v>34.90499896104005</v>
      </c>
    </row>
    <row r="331" spans="1:5" x14ac:dyDescent="0.3">
      <c r="A331" t="s">
        <v>61</v>
      </c>
      <c r="B331" t="s">
        <v>72</v>
      </c>
      <c r="C331" t="s">
        <v>86</v>
      </c>
      <c r="D331" t="s">
        <v>33</v>
      </c>
      <c r="E331">
        <v>33.555298570473227</v>
      </c>
    </row>
    <row r="332" spans="1:5" x14ac:dyDescent="0.3">
      <c r="A332" t="s">
        <v>61</v>
      </c>
      <c r="B332" t="s">
        <v>72</v>
      </c>
      <c r="C332" t="s">
        <v>87</v>
      </c>
      <c r="D332" t="s">
        <v>33</v>
      </c>
      <c r="E332">
        <v>33.618661821602117</v>
      </c>
    </row>
    <row r="333" spans="1:5" x14ac:dyDescent="0.3">
      <c r="A333" t="s">
        <v>61</v>
      </c>
      <c r="B333" t="s">
        <v>73</v>
      </c>
      <c r="C333" t="s">
        <v>88</v>
      </c>
      <c r="D333" t="s">
        <v>33</v>
      </c>
      <c r="E333">
        <v>33.445346774884342</v>
      </c>
    </row>
    <row r="334" spans="1:5" x14ac:dyDescent="0.3">
      <c r="A334" t="s">
        <v>61</v>
      </c>
      <c r="B334" t="s">
        <v>73</v>
      </c>
      <c r="C334" t="s">
        <v>89</v>
      </c>
      <c r="D334" t="s">
        <v>33</v>
      </c>
      <c r="E334">
        <v>33.482136924104793</v>
      </c>
    </row>
    <row r="335" spans="1:5" x14ac:dyDescent="0.3">
      <c r="A335" t="s">
        <v>61</v>
      </c>
      <c r="B335" t="s">
        <v>74</v>
      </c>
      <c r="C335" t="s">
        <v>90</v>
      </c>
      <c r="D335" t="s">
        <v>33</v>
      </c>
      <c r="E335">
        <v>32.671991975530887</v>
      </c>
    </row>
    <row r="336" spans="1:5" x14ac:dyDescent="0.3">
      <c r="A336" t="s">
        <v>61</v>
      </c>
      <c r="B336" t="s">
        <v>74</v>
      </c>
      <c r="C336" t="s">
        <v>91</v>
      </c>
      <c r="D336" t="s">
        <v>33</v>
      </c>
      <c r="E336">
        <v>33.795029765218999</v>
      </c>
    </row>
    <row r="337" spans="1:5" x14ac:dyDescent="0.3">
      <c r="A337" t="s">
        <v>61</v>
      </c>
      <c r="B337" t="s">
        <v>75</v>
      </c>
      <c r="C337" t="s">
        <v>92</v>
      </c>
      <c r="D337" t="s">
        <v>33</v>
      </c>
      <c r="E337">
        <v>34.791187472815317</v>
      </c>
    </row>
    <row r="338" spans="1:5" x14ac:dyDescent="0.3">
      <c r="A338" t="s">
        <v>61</v>
      </c>
      <c r="B338" t="s">
        <v>75</v>
      </c>
      <c r="C338" t="s">
        <v>93</v>
      </c>
      <c r="D338" t="s">
        <v>33</v>
      </c>
      <c r="E338">
        <v>35.821506815676372</v>
      </c>
    </row>
    <row r="339" spans="1:5" x14ac:dyDescent="0.3">
      <c r="A339" t="s">
        <v>61</v>
      </c>
      <c r="B339" t="s">
        <v>75</v>
      </c>
      <c r="C339" t="s">
        <v>94</v>
      </c>
      <c r="D339" t="s">
        <v>33</v>
      </c>
      <c r="E339">
        <v>31.74222989754762</v>
      </c>
    </row>
    <row r="340" spans="1:5" x14ac:dyDescent="0.3">
      <c r="A340" t="s">
        <v>61</v>
      </c>
      <c r="B340" t="s">
        <v>75</v>
      </c>
      <c r="C340" t="s">
        <v>95</v>
      </c>
      <c r="D340" t="s">
        <v>33</v>
      </c>
      <c r="E340">
        <v>35.727767838038048</v>
      </c>
    </row>
    <row r="341" spans="1:5" x14ac:dyDescent="0.3">
      <c r="A341" t="s">
        <v>61</v>
      </c>
      <c r="B341" t="s">
        <v>76</v>
      </c>
      <c r="C341" t="s">
        <v>96</v>
      </c>
      <c r="D341" t="s">
        <v>33</v>
      </c>
      <c r="E341">
        <v>27.534906245685239</v>
      </c>
    </row>
    <row r="342" spans="1:5" x14ac:dyDescent="0.3">
      <c r="A342" t="s">
        <v>61</v>
      </c>
      <c r="B342" t="s">
        <v>76</v>
      </c>
      <c r="C342" t="s">
        <v>97</v>
      </c>
      <c r="D342" t="s">
        <v>33</v>
      </c>
      <c r="E342">
        <v>27.33551555977968</v>
      </c>
    </row>
    <row r="343" spans="1:5" x14ac:dyDescent="0.3">
      <c r="A343" t="s">
        <v>61</v>
      </c>
      <c r="B343" t="s">
        <v>76</v>
      </c>
      <c r="C343" t="s">
        <v>98</v>
      </c>
      <c r="D343" t="s">
        <v>33</v>
      </c>
      <c r="E343">
        <v>39.151792244143657</v>
      </c>
    </row>
    <row r="344" spans="1:5" x14ac:dyDescent="0.3">
      <c r="A344" t="s">
        <v>61</v>
      </c>
      <c r="B344" t="s">
        <v>0</v>
      </c>
      <c r="C344" t="s">
        <v>99</v>
      </c>
      <c r="D344" t="s">
        <v>33</v>
      </c>
      <c r="E344">
        <v>63.688573989759632</v>
      </c>
    </row>
    <row r="345" spans="1:5" x14ac:dyDescent="0.3">
      <c r="A345" t="s">
        <v>61</v>
      </c>
      <c r="B345" t="s">
        <v>0</v>
      </c>
      <c r="C345" t="s">
        <v>100</v>
      </c>
      <c r="D345" t="s">
        <v>33</v>
      </c>
      <c r="E345">
        <v>23.647570828919161</v>
      </c>
    </row>
    <row r="346" spans="1:5" x14ac:dyDescent="0.3">
      <c r="A346" t="s">
        <v>61</v>
      </c>
      <c r="B346" t="s">
        <v>0</v>
      </c>
      <c r="C346" t="s">
        <v>101</v>
      </c>
      <c r="D346" t="s">
        <v>33</v>
      </c>
      <c r="E346">
        <v>32.920536635706917</v>
      </c>
    </row>
    <row r="347" spans="1:5" x14ac:dyDescent="0.3">
      <c r="A347" t="s">
        <v>61</v>
      </c>
      <c r="B347" t="s">
        <v>0</v>
      </c>
      <c r="C347" t="s">
        <v>102</v>
      </c>
      <c r="D347" t="s">
        <v>33</v>
      </c>
      <c r="E347">
        <v>30.460539344371689</v>
      </c>
    </row>
    <row r="348" spans="1:5" x14ac:dyDescent="0.3">
      <c r="A348" t="s">
        <v>61</v>
      </c>
      <c r="B348" t="s">
        <v>0</v>
      </c>
      <c r="C348" t="s">
        <v>103</v>
      </c>
      <c r="D348" t="s">
        <v>33</v>
      </c>
      <c r="E348">
        <v>41.498090806361333</v>
      </c>
    </row>
    <row r="349" spans="1:5" x14ac:dyDescent="0.3">
      <c r="A349" t="s">
        <v>61</v>
      </c>
      <c r="B349" t="s">
        <v>0</v>
      </c>
      <c r="C349" t="s">
        <v>104</v>
      </c>
      <c r="D349" t="s">
        <v>33</v>
      </c>
      <c r="E349">
        <v>16.111111111111111</v>
      </c>
    </row>
    <row r="350" spans="1:5" x14ac:dyDescent="0.3">
      <c r="A350" t="s">
        <v>61</v>
      </c>
      <c r="B350" t="s">
        <v>0</v>
      </c>
      <c r="C350" t="s">
        <v>105</v>
      </c>
      <c r="D350" t="s">
        <v>33</v>
      </c>
      <c r="E350"/>
    </row>
    <row r="351" spans="1:5" x14ac:dyDescent="0.3">
      <c r="A351" t="s">
        <v>61</v>
      </c>
      <c r="B351" t="s">
        <v>0</v>
      </c>
      <c r="C351" t="s">
        <v>106</v>
      </c>
      <c r="D351" t="s">
        <v>33</v>
      </c>
      <c r="E351">
        <v>36.331733813118348</v>
      </c>
    </row>
    <row r="352" spans="1:5" x14ac:dyDescent="0.3">
      <c r="A352" t="s">
        <v>61</v>
      </c>
      <c r="B352" t="s">
        <v>0</v>
      </c>
      <c r="C352" t="s">
        <v>107</v>
      </c>
      <c r="D352" t="s">
        <v>33</v>
      </c>
      <c r="E352">
        <v>33.817751788014142</v>
      </c>
    </row>
    <row r="353" spans="1:5" x14ac:dyDescent="0.3">
      <c r="A353" t="s">
        <v>61</v>
      </c>
      <c r="B353" t="s">
        <v>0</v>
      </c>
      <c r="C353" t="s">
        <v>108</v>
      </c>
      <c r="D353" t="s">
        <v>33</v>
      </c>
      <c r="E353">
        <v>19.116954392149282</v>
      </c>
    </row>
    <row r="354" spans="1:5" x14ac:dyDescent="0.3">
      <c r="A354" t="s">
        <v>61</v>
      </c>
      <c r="B354" t="s">
        <v>0</v>
      </c>
      <c r="C354" t="s">
        <v>109</v>
      </c>
      <c r="D354" t="s">
        <v>33</v>
      </c>
      <c r="E354">
        <v>47.921509797128138</v>
      </c>
    </row>
    <row r="355" spans="1:5" x14ac:dyDescent="0.3">
      <c r="A355" t="s">
        <v>61</v>
      </c>
      <c r="B355" t="s">
        <v>0</v>
      </c>
      <c r="C355" t="s">
        <v>110</v>
      </c>
      <c r="D355" t="s">
        <v>33</v>
      </c>
      <c r="E355">
        <v>24.035281146637271</v>
      </c>
    </row>
    <row r="356" spans="1:5" x14ac:dyDescent="0.3">
      <c r="A356" t="s">
        <v>61</v>
      </c>
      <c r="B356" t="s">
        <v>0</v>
      </c>
      <c r="C356" t="s">
        <v>111</v>
      </c>
      <c r="D356" t="s">
        <v>33</v>
      </c>
      <c r="E356">
        <v>46.764961967574237</v>
      </c>
    </row>
    <row r="357" spans="1:5" x14ac:dyDescent="0.3">
      <c r="A357" t="s">
        <v>61</v>
      </c>
      <c r="B357" t="s">
        <v>0</v>
      </c>
      <c r="C357" t="s">
        <v>112</v>
      </c>
      <c r="D357" t="s">
        <v>33</v>
      </c>
      <c r="E357">
        <v>29.156211456363032</v>
      </c>
    </row>
    <row r="358" spans="1:5" x14ac:dyDescent="0.3">
      <c r="A358" t="s">
        <v>61</v>
      </c>
      <c r="B358" t="s">
        <v>0</v>
      </c>
      <c r="C358" t="s">
        <v>113</v>
      </c>
      <c r="D358" t="s">
        <v>33</v>
      </c>
      <c r="E358">
        <v>40.033727491073613</v>
      </c>
    </row>
    <row r="359" spans="1:5" x14ac:dyDescent="0.3">
      <c r="A359" t="s">
        <v>61</v>
      </c>
      <c r="B359" t="s">
        <v>0</v>
      </c>
      <c r="C359" t="s">
        <v>114</v>
      </c>
      <c r="D359" t="s">
        <v>33</v>
      </c>
      <c r="E359">
        <v>22.207868333073709</v>
      </c>
    </row>
    <row r="360" spans="1:5" x14ac:dyDescent="0.3">
      <c r="A360" t="s">
        <v>61</v>
      </c>
      <c r="B360" t="s">
        <v>0</v>
      </c>
      <c r="C360" t="s">
        <v>115</v>
      </c>
      <c r="D360" t="s">
        <v>33</v>
      </c>
      <c r="E360">
        <v>30.414158075809929</v>
      </c>
    </row>
    <row r="361" spans="1:5" x14ac:dyDescent="0.3">
      <c r="A361" t="s">
        <v>61</v>
      </c>
      <c r="B361" t="s">
        <v>0</v>
      </c>
      <c r="C361" t="s">
        <v>116</v>
      </c>
      <c r="D361" t="s">
        <v>33</v>
      </c>
      <c r="E361">
        <v>24.287787004647761</v>
      </c>
    </row>
    <row r="362" spans="1:5" x14ac:dyDescent="0.3">
      <c r="A362" t="s">
        <v>61</v>
      </c>
      <c r="B362" t="s">
        <v>69</v>
      </c>
      <c r="C362" t="s">
        <v>69</v>
      </c>
      <c r="D362" t="s">
        <v>34</v>
      </c>
      <c r="E362">
        <v>53.297753843337183</v>
      </c>
    </row>
    <row r="363" spans="1:5" x14ac:dyDescent="0.3">
      <c r="A363" t="s">
        <v>61</v>
      </c>
      <c r="B363" t="s">
        <v>70</v>
      </c>
      <c r="C363" t="s">
        <v>78</v>
      </c>
      <c r="D363" t="s">
        <v>34</v>
      </c>
      <c r="E363">
        <v>53.929653044556012</v>
      </c>
    </row>
    <row r="364" spans="1:5" x14ac:dyDescent="0.3">
      <c r="A364" t="s">
        <v>61</v>
      </c>
      <c r="B364" t="s">
        <v>70</v>
      </c>
      <c r="C364" t="s">
        <v>79</v>
      </c>
      <c r="D364" t="s">
        <v>34</v>
      </c>
      <c r="E364">
        <v>52.967360173815301</v>
      </c>
    </row>
    <row r="365" spans="1:5" x14ac:dyDescent="0.3">
      <c r="A365" t="s">
        <v>61</v>
      </c>
      <c r="B365" t="s">
        <v>70</v>
      </c>
      <c r="C365" t="s">
        <v>80</v>
      </c>
      <c r="D365" t="s">
        <v>34</v>
      </c>
      <c r="E365">
        <v>53.243030541721502</v>
      </c>
    </row>
    <row r="366" spans="1:5" x14ac:dyDescent="0.3">
      <c r="A366" t="s">
        <v>61</v>
      </c>
      <c r="B366" t="s">
        <v>70</v>
      </c>
      <c r="C366" t="s">
        <v>81</v>
      </c>
      <c r="D366" t="s">
        <v>34</v>
      </c>
      <c r="E366">
        <v>53.273224480326107</v>
      </c>
    </row>
    <row r="367" spans="1:5" x14ac:dyDescent="0.3">
      <c r="A367" t="s">
        <v>61</v>
      </c>
      <c r="B367" t="s">
        <v>71</v>
      </c>
      <c r="C367" t="s">
        <v>82</v>
      </c>
      <c r="D367" t="s">
        <v>34</v>
      </c>
      <c r="E367">
        <v>52.625145652657949</v>
      </c>
    </row>
    <row r="368" spans="1:5" x14ac:dyDescent="0.3">
      <c r="A368" t="s">
        <v>61</v>
      </c>
      <c r="B368" t="s">
        <v>71</v>
      </c>
      <c r="C368" t="s">
        <v>83</v>
      </c>
      <c r="D368" t="s">
        <v>34</v>
      </c>
      <c r="E368">
        <v>53.559456549015508</v>
      </c>
    </row>
    <row r="369" spans="1:5" x14ac:dyDescent="0.3">
      <c r="A369" t="s">
        <v>61</v>
      </c>
      <c r="B369" t="s">
        <v>71</v>
      </c>
      <c r="C369" t="s">
        <v>84</v>
      </c>
      <c r="D369" t="s">
        <v>34</v>
      </c>
      <c r="E369">
        <v>53.504757351993938</v>
      </c>
    </row>
    <row r="370" spans="1:5" x14ac:dyDescent="0.3">
      <c r="A370" t="s">
        <v>61</v>
      </c>
      <c r="B370" t="s">
        <v>71</v>
      </c>
      <c r="C370" t="s">
        <v>85</v>
      </c>
      <c r="D370" t="s">
        <v>34</v>
      </c>
      <c r="E370">
        <v>53.188975960734972</v>
      </c>
    </row>
    <row r="371" spans="1:5" x14ac:dyDescent="0.3">
      <c r="A371" t="s">
        <v>61</v>
      </c>
      <c r="B371" t="s">
        <v>72</v>
      </c>
      <c r="C371" t="s">
        <v>86</v>
      </c>
      <c r="D371" t="s">
        <v>34</v>
      </c>
      <c r="E371">
        <v>53.346357410793729</v>
      </c>
    </row>
    <row r="372" spans="1:5" x14ac:dyDescent="0.3">
      <c r="A372" t="s">
        <v>61</v>
      </c>
      <c r="B372" t="s">
        <v>72</v>
      </c>
      <c r="C372" t="s">
        <v>87</v>
      </c>
      <c r="D372" t="s">
        <v>34</v>
      </c>
      <c r="E372">
        <v>53.246353190461953</v>
      </c>
    </row>
    <row r="373" spans="1:5" x14ac:dyDescent="0.3">
      <c r="A373" t="s">
        <v>61</v>
      </c>
      <c r="B373" t="s">
        <v>73</v>
      </c>
      <c r="C373" t="s">
        <v>88</v>
      </c>
      <c r="D373" t="s">
        <v>34</v>
      </c>
      <c r="E373">
        <v>52.200938144125637</v>
      </c>
    </row>
    <row r="374" spans="1:5" x14ac:dyDescent="0.3">
      <c r="A374" t="s">
        <v>61</v>
      </c>
      <c r="B374" t="s">
        <v>73</v>
      </c>
      <c r="C374" t="s">
        <v>89</v>
      </c>
      <c r="D374" t="s">
        <v>34</v>
      </c>
      <c r="E374">
        <v>54.290155443381103</v>
      </c>
    </row>
    <row r="375" spans="1:5" x14ac:dyDescent="0.3">
      <c r="A375" t="s">
        <v>61</v>
      </c>
      <c r="B375" t="s">
        <v>74</v>
      </c>
      <c r="C375" t="s">
        <v>90</v>
      </c>
      <c r="D375" t="s">
        <v>34</v>
      </c>
      <c r="E375">
        <v>53.722435831868673</v>
      </c>
    </row>
    <row r="376" spans="1:5" x14ac:dyDescent="0.3">
      <c r="A376" t="s">
        <v>61</v>
      </c>
      <c r="B376" t="s">
        <v>74</v>
      </c>
      <c r="C376" t="s">
        <v>91</v>
      </c>
      <c r="D376" t="s">
        <v>34</v>
      </c>
      <c r="E376">
        <v>53.244045048119823</v>
      </c>
    </row>
    <row r="377" spans="1:5" x14ac:dyDescent="0.3">
      <c r="A377" t="s">
        <v>61</v>
      </c>
      <c r="B377" t="s">
        <v>75</v>
      </c>
      <c r="C377" t="s">
        <v>92</v>
      </c>
      <c r="D377" t="s">
        <v>34</v>
      </c>
      <c r="E377">
        <v>54.888270363123901</v>
      </c>
    </row>
    <row r="378" spans="1:5" x14ac:dyDescent="0.3">
      <c r="A378" t="s">
        <v>61</v>
      </c>
      <c r="B378" t="s">
        <v>75</v>
      </c>
      <c r="C378" t="s">
        <v>93</v>
      </c>
      <c r="D378" t="s">
        <v>34</v>
      </c>
      <c r="E378">
        <v>52.114855970474927</v>
      </c>
    </row>
    <row r="379" spans="1:5" x14ac:dyDescent="0.3">
      <c r="A379" t="s">
        <v>61</v>
      </c>
      <c r="B379" t="s">
        <v>75</v>
      </c>
      <c r="C379" t="s">
        <v>94</v>
      </c>
      <c r="D379" t="s">
        <v>34</v>
      </c>
      <c r="E379">
        <v>54.233423521515491</v>
      </c>
    </row>
    <row r="380" spans="1:5" x14ac:dyDescent="0.3">
      <c r="A380" t="s">
        <v>61</v>
      </c>
      <c r="B380" t="s">
        <v>75</v>
      </c>
      <c r="C380" t="s">
        <v>95</v>
      </c>
      <c r="D380" t="s">
        <v>34</v>
      </c>
      <c r="E380">
        <v>51.423955740888474</v>
      </c>
    </row>
    <row r="381" spans="1:5" x14ac:dyDescent="0.3">
      <c r="A381" t="s">
        <v>61</v>
      </c>
      <c r="B381" t="s">
        <v>76</v>
      </c>
      <c r="C381" t="s">
        <v>96</v>
      </c>
      <c r="D381" t="s">
        <v>34</v>
      </c>
      <c r="E381">
        <v>56.564353582696029</v>
      </c>
    </row>
    <row r="382" spans="1:5" x14ac:dyDescent="0.3">
      <c r="A382" t="s">
        <v>61</v>
      </c>
      <c r="B382" t="s">
        <v>76</v>
      </c>
      <c r="C382" t="s">
        <v>97</v>
      </c>
      <c r="D382" t="s">
        <v>34</v>
      </c>
      <c r="E382">
        <v>56.314009836739409</v>
      </c>
    </row>
    <row r="383" spans="1:5" x14ac:dyDescent="0.3">
      <c r="A383" t="s">
        <v>61</v>
      </c>
      <c r="B383" t="s">
        <v>76</v>
      </c>
      <c r="C383" t="s">
        <v>98</v>
      </c>
      <c r="D383" t="s">
        <v>34</v>
      </c>
      <c r="E383">
        <v>50.444371752371417</v>
      </c>
    </row>
    <row r="384" spans="1:5" x14ac:dyDescent="0.3">
      <c r="A384" t="s">
        <v>61</v>
      </c>
      <c r="B384" t="s">
        <v>0</v>
      </c>
      <c r="C384" t="s">
        <v>99</v>
      </c>
      <c r="D384" t="s">
        <v>34</v>
      </c>
      <c r="E384">
        <v>33.837419537814078</v>
      </c>
    </row>
    <row r="385" spans="1:5" x14ac:dyDescent="0.3">
      <c r="A385" t="s">
        <v>61</v>
      </c>
      <c r="B385" t="s">
        <v>0</v>
      </c>
      <c r="C385" t="s">
        <v>100</v>
      </c>
      <c r="D385" t="s">
        <v>34</v>
      </c>
      <c r="E385">
        <v>63.166447647879437</v>
      </c>
    </row>
    <row r="386" spans="1:5" x14ac:dyDescent="0.3">
      <c r="A386" t="s">
        <v>61</v>
      </c>
      <c r="B386" t="s">
        <v>0</v>
      </c>
      <c r="C386" t="s">
        <v>101</v>
      </c>
      <c r="D386" t="s">
        <v>34</v>
      </c>
      <c r="E386">
        <v>53.044375644994837</v>
      </c>
    </row>
    <row r="387" spans="1:5" x14ac:dyDescent="0.3">
      <c r="A387" t="s">
        <v>61</v>
      </c>
      <c r="B387" t="s">
        <v>0</v>
      </c>
      <c r="C387" t="s">
        <v>102</v>
      </c>
      <c r="D387" t="s">
        <v>34</v>
      </c>
      <c r="E387">
        <v>60.406550171028947</v>
      </c>
    </row>
    <row r="388" spans="1:5" x14ac:dyDescent="0.3">
      <c r="A388" t="s">
        <v>61</v>
      </c>
      <c r="B388" t="s">
        <v>0</v>
      </c>
      <c r="C388" t="s">
        <v>103</v>
      </c>
      <c r="D388" t="s">
        <v>34</v>
      </c>
      <c r="E388">
        <v>49.21158753447186</v>
      </c>
    </row>
    <row r="389" spans="1:5" x14ac:dyDescent="0.3">
      <c r="A389" t="s">
        <v>61</v>
      </c>
      <c r="B389" t="s">
        <v>0</v>
      </c>
      <c r="C389" t="s">
        <v>104</v>
      </c>
      <c r="D389" t="s">
        <v>34</v>
      </c>
      <c r="E389">
        <v>58.888888888888893</v>
      </c>
    </row>
    <row r="390" spans="1:5" x14ac:dyDescent="0.3">
      <c r="A390" t="s">
        <v>61</v>
      </c>
      <c r="B390" t="s">
        <v>0</v>
      </c>
      <c r="C390" t="s">
        <v>105</v>
      </c>
      <c r="D390" t="s">
        <v>34</v>
      </c>
      <c r="E390"/>
    </row>
    <row r="391" spans="1:5" x14ac:dyDescent="0.3">
      <c r="A391" t="s">
        <v>61</v>
      </c>
      <c r="B391" t="s">
        <v>0</v>
      </c>
      <c r="C391" t="s">
        <v>106</v>
      </c>
      <c r="D391" t="s">
        <v>34</v>
      </c>
      <c r="E391">
        <v>51.988659110337053</v>
      </c>
    </row>
    <row r="392" spans="1:5" x14ac:dyDescent="0.3">
      <c r="A392" t="s">
        <v>61</v>
      </c>
      <c r="B392" t="s">
        <v>0</v>
      </c>
      <c r="C392" t="s">
        <v>107</v>
      </c>
      <c r="D392" t="s">
        <v>34</v>
      </c>
      <c r="E392">
        <v>53.320346984979622</v>
      </c>
    </row>
    <row r="393" spans="1:5" x14ac:dyDescent="0.3">
      <c r="A393" t="s">
        <v>61</v>
      </c>
      <c r="B393" t="s">
        <v>0</v>
      </c>
      <c r="C393" t="s">
        <v>108</v>
      </c>
      <c r="D393" t="s">
        <v>34</v>
      </c>
      <c r="E393">
        <v>62.49702118981282</v>
      </c>
    </row>
    <row r="394" spans="1:5" x14ac:dyDescent="0.3">
      <c r="A394" t="s">
        <v>61</v>
      </c>
      <c r="B394" t="s">
        <v>0</v>
      </c>
      <c r="C394" t="s">
        <v>109</v>
      </c>
      <c r="D394" t="s">
        <v>34</v>
      </c>
      <c r="E394">
        <v>44.352191947010859</v>
      </c>
    </row>
    <row r="395" spans="1:5" x14ac:dyDescent="0.3">
      <c r="A395" t="s">
        <v>61</v>
      </c>
      <c r="B395" t="s">
        <v>0</v>
      </c>
      <c r="C395" t="s">
        <v>110</v>
      </c>
      <c r="D395" t="s">
        <v>34</v>
      </c>
      <c r="E395">
        <v>54.355016538037482</v>
      </c>
    </row>
    <row r="396" spans="1:5" x14ac:dyDescent="0.3">
      <c r="A396" t="s">
        <v>61</v>
      </c>
      <c r="B396" t="s">
        <v>0</v>
      </c>
      <c r="C396" t="s">
        <v>111</v>
      </c>
      <c r="D396" t="s">
        <v>34</v>
      </c>
      <c r="E396">
        <v>45.030658739868883</v>
      </c>
    </row>
    <row r="397" spans="1:5" x14ac:dyDescent="0.3">
      <c r="A397" t="s">
        <v>61</v>
      </c>
      <c r="B397" t="s">
        <v>0</v>
      </c>
      <c r="C397" t="s">
        <v>112</v>
      </c>
      <c r="D397" t="s">
        <v>34</v>
      </c>
      <c r="E397">
        <v>56.904711107148373</v>
      </c>
    </row>
    <row r="398" spans="1:5" x14ac:dyDescent="0.3">
      <c r="A398" t="s">
        <v>61</v>
      </c>
      <c r="B398" t="s">
        <v>0</v>
      </c>
      <c r="C398" t="s">
        <v>113</v>
      </c>
      <c r="D398" t="s">
        <v>34</v>
      </c>
      <c r="E398">
        <v>52.241447794743983</v>
      </c>
    </row>
    <row r="399" spans="1:5" x14ac:dyDescent="0.3">
      <c r="A399" t="s">
        <v>61</v>
      </c>
      <c r="B399" t="s">
        <v>0</v>
      </c>
      <c r="C399" t="s">
        <v>114</v>
      </c>
      <c r="D399" t="s">
        <v>34</v>
      </c>
      <c r="E399">
        <v>59.146824733322667</v>
      </c>
    </row>
    <row r="400" spans="1:5" x14ac:dyDescent="0.3">
      <c r="A400" t="s">
        <v>61</v>
      </c>
      <c r="B400" t="s">
        <v>0</v>
      </c>
      <c r="C400" t="s">
        <v>115</v>
      </c>
      <c r="D400" t="s">
        <v>34</v>
      </c>
      <c r="E400">
        <v>61.196389327013122</v>
      </c>
    </row>
    <row r="401" spans="1:5" x14ac:dyDescent="0.3">
      <c r="A401" t="s">
        <v>61</v>
      </c>
      <c r="B401" t="s">
        <v>0</v>
      </c>
      <c r="C401" t="s">
        <v>116</v>
      </c>
      <c r="D401" t="s">
        <v>34</v>
      </c>
      <c r="E401">
        <v>50.312580306208389</v>
      </c>
    </row>
    <row r="402" spans="1:5" x14ac:dyDescent="0.3">
      <c r="A402" t="s">
        <v>61</v>
      </c>
      <c r="B402" t="s">
        <v>69</v>
      </c>
      <c r="C402" t="s">
        <v>69</v>
      </c>
      <c r="D402" t="s">
        <v>35</v>
      </c>
      <c r="E402">
        <v>10.937457294447031</v>
      </c>
    </row>
    <row r="403" spans="1:5" x14ac:dyDescent="0.3">
      <c r="A403" t="s">
        <v>61</v>
      </c>
      <c r="B403" t="s">
        <v>70</v>
      </c>
      <c r="C403" t="s">
        <v>78</v>
      </c>
      <c r="D403" t="s">
        <v>35</v>
      </c>
      <c r="E403">
        <v>12.4225445128184</v>
      </c>
    </row>
    <row r="404" spans="1:5" x14ac:dyDescent="0.3">
      <c r="A404" t="s">
        <v>61</v>
      </c>
      <c r="B404" t="s">
        <v>70</v>
      </c>
      <c r="C404" t="s">
        <v>79</v>
      </c>
      <c r="D404" t="s">
        <v>35</v>
      </c>
      <c r="E404">
        <v>11.322238982805059</v>
      </c>
    </row>
    <row r="405" spans="1:5" x14ac:dyDescent="0.3">
      <c r="A405" t="s">
        <v>61</v>
      </c>
      <c r="B405" t="s">
        <v>70</v>
      </c>
      <c r="C405" t="s">
        <v>80</v>
      </c>
      <c r="D405" t="s">
        <v>35</v>
      </c>
      <c r="E405">
        <v>8.9054635997903038</v>
      </c>
    </row>
    <row r="406" spans="1:5" x14ac:dyDescent="0.3">
      <c r="A406" t="s">
        <v>61</v>
      </c>
      <c r="B406" t="s">
        <v>70</v>
      </c>
      <c r="C406" t="s">
        <v>81</v>
      </c>
      <c r="D406" t="s">
        <v>35</v>
      </c>
      <c r="E406">
        <v>8.4590731313274858</v>
      </c>
    </row>
    <row r="407" spans="1:5" x14ac:dyDescent="0.3">
      <c r="A407" t="s">
        <v>61</v>
      </c>
      <c r="B407" t="s">
        <v>71</v>
      </c>
      <c r="C407" t="s">
        <v>82</v>
      </c>
      <c r="D407" t="s">
        <v>35</v>
      </c>
      <c r="E407">
        <v>13.34179707858393</v>
      </c>
    </row>
    <row r="408" spans="1:5" x14ac:dyDescent="0.3">
      <c r="A408" t="s">
        <v>61</v>
      </c>
      <c r="B408" t="s">
        <v>71</v>
      </c>
      <c r="C408" t="s">
        <v>83</v>
      </c>
      <c r="D408" t="s">
        <v>35</v>
      </c>
      <c r="E408">
        <v>10.749253891635931</v>
      </c>
    </row>
    <row r="409" spans="1:5" x14ac:dyDescent="0.3">
      <c r="A409" t="s">
        <v>61</v>
      </c>
      <c r="B409" t="s">
        <v>71</v>
      </c>
      <c r="C409" t="s">
        <v>84</v>
      </c>
      <c r="D409" t="s">
        <v>35</v>
      </c>
      <c r="E409">
        <v>9.412472211365543</v>
      </c>
    </row>
    <row r="410" spans="1:5" x14ac:dyDescent="0.3">
      <c r="A410" t="s">
        <v>61</v>
      </c>
      <c r="B410" t="s">
        <v>71</v>
      </c>
      <c r="C410" t="s">
        <v>85</v>
      </c>
      <c r="D410" t="s">
        <v>35</v>
      </c>
      <c r="E410">
        <v>10.73677294205933</v>
      </c>
    </row>
    <row r="411" spans="1:5" x14ac:dyDescent="0.3">
      <c r="A411" t="s">
        <v>61</v>
      </c>
      <c r="B411" t="s">
        <v>72</v>
      </c>
      <c r="C411" t="s">
        <v>86</v>
      </c>
      <c r="D411" t="s">
        <v>35</v>
      </c>
      <c r="E411">
        <v>10.8491154174719</v>
      </c>
    </row>
    <row r="412" spans="1:5" x14ac:dyDescent="0.3">
      <c r="A412" t="s">
        <v>61</v>
      </c>
      <c r="B412" t="s">
        <v>72</v>
      </c>
      <c r="C412" t="s">
        <v>87</v>
      </c>
      <c r="D412" t="s">
        <v>35</v>
      </c>
      <c r="E412">
        <v>11.03088315576484</v>
      </c>
    </row>
    <row r="413" spans="1:5" x14ac:dyDescent="0.3">
      <c r="A413" t="s">
        <v>61</v>
      </c>
      <c r="B413" t="s">
        <v>73</v>
      </c>
      <c r="C413" t="s">
        <v>88</v>
      </c>
      <c r="D413" t="s">
        <v>35</v>
      </c>
      <c r="E413">
        <v>11.68487699642904</v>
      </c>
    </row>
    <row r="414" spans="1:5" x14ac:dyDescent="0.3">
      <c r="A414" t="s">
        <v>61</v>
      </c>
      <c r="B414" t="s">
        <v>73</v>
      </c>
      <c r="C414" t="s">
        <v>89</v>
      </c>
      <c r="D414" t="s">
        <v>35</v>
      </c>
      <c r="E414">
        <v>10.43732587177726</v>
      </c>
    </row>
    <row r="415" spans="1:5" x14ac:dyDescent="0.3">
      <c r="A415" t="s">
        <v>61</v>
      </c>
      <c r="B415" t="s">
        <v>74</v>
      </c>
      <c r="C415" t="s">
        <v>90</v>
      </c>
      <c r="D415" t="s">
        <v>35</v>
      </c>
      <c r="E415">
        <v>11.60212724651681</v>
      </c>
    </row>
    <row r="416" spans="1:5" x14ac:dyDescent="0.3">
      <c r="A416" t="s">
        <v>61</v>
      </c>
      <c r="B416" t="s">
        <v>74</v>
      </c>
      <c r="C416" t="s">
        <v>91</v>
      </c>
      <c r="D416" t="s">
        <v>35</v>
      </c>
      <c r="E416">
        <v>10.718869660113519</v>
      </c>
    </row>
    <row r="417" spans="1:5" x14ac:dyDescent="0.3">
      <c r="A417" t="s">
        <v>61</v>
      </c>
      <c r="B417" t="s">
        <v>75</v>
      </c>
      <c r="C417" t="s">
        <v>92</v>
      </c>
      <c r="D417" t="s">
        <v>35</v>
      </c>
      <c r="E417">
        <v>9.2975227741604378</v>
      </c>
    </row>
    <row r="418" spans="1:5" x14ac:dyDescent="0.3">
      <c r="A418" t="s">
        <v>61</v>
      </c>
      <c r="B418" t="s">
        <v>75</v>
      </c>
      <c r="C418" t="s">
        <v>93</v>
      </c>
      <c r="D418" t="s">
        <v>35</v>
      </c>
      <c r="E418">
        <v>9.626996828155896</v>
      </c>
    </row>
    <row r="419" spans="1:5" x14ac:dyDescent="0.3">
      <c r="A419" t="s">
        <v>61</v>
      </c>
      <c r="B419" t="s">
        <v>75</v>
      </c>
      <c r="C419" t="s">
        <v>94</v>
      </c>
      <c r="D419" t="s">
        <v>35</v>
      </c>
      <c r="E419">
        <v>11.824878119773819</v>
      </c>
    </row>
    <row r="420" spans="1:5" x14ac:dyDescent="0.3">
      <c r="A420" t="s">
        <v>61</v>
      </c>
      <c r="B420" t="s">
        <v>75</v>
      </c>
      <c r="C420" t="s">
        <v>95</v>
      </c>
      <c r="D420" t="s">
        <v>35</v>
      </c>
      <c r="E420">
        <v>10.70858506147137</v>
      </c>
    </row>
    <row r="421" spans="1:5" x14ac:dyDescent="0.3">
      <c r="A421" t="s">
        <v>61</v>
      </c>
      <c r="B421" t="s">
        <v>76</v>
      </c>
      <c r="C421" t="s">
        <v>96</v>
      </c>
      <c r="D421" t="s">
        <v>35</v>
      </c>
      <c r="E421">
        <v>14.33358937670641</v>
      </c>
    </row>
    <row r="422" spans="1:5" x14ac:dyDescent="0.3">
      <c r="A422" t="s">
        <v>61</v>
      </c>
      <c r="B422" t="s">
        <v>76</v>
      </c>
      <c r="C422" t="s">
        <v>97</v>
      </c>
      <c r="D422" t="s">
        <v>35</v>
      </c>
      <c r="E422">
        <v>14.2901189454599</v>
      </c>
    </row>
    <row r="423" spans="1:5" x14ac:dyDescent="0.3">
      <c r="A423" t="s">
        <v>61</v>
      </c>
      <c r="B423" t="s">
        <v>76</v>
      </c>
      <c r="C423" t="s">
        <v>98</v>
      </c>
      <c r="D423" t="s">
        <v>35</v>
      </c>
      <c r="E423">
        <v>7.8793968334774434</v>
      </c>
    </row>
    <row r="424" spans="1:5" x14ac:dyDescent="0.3">
      <c r="A424" t="s">
        <v>61</v>
      </c>
      <c r="B424" t="s">
        <v>0</v>
      </c>
      <c r="C424" t="s">
        <v>99</v>
      </c>
      <c r="D424" t="s">
        <v>35</v>
      </c>
      <c r="E424">
        <v>1.513271512714419</v>
      </c>
    </row>
    <row r="425" spans="1:5" x14ac:dyDescent="0.3">
      <c r="A425" t="s">
        <v>61</v>
      </c>
      <c r="B425" t="s">
        <v>0</v>
      </c>
      <c r="C425" t="s">
        <v>100</v>
      </c>
      <c r="D425" t="s">
        <v>35</v>
      </c>
      <c r="E425">
        <v>11.094741749424079</v>
      </c>
    </row>
    <row r="426" spans="1:5" x14ac:dyDescent="0.3">
      <c r="A426" t="s">
        <v>61</v>
      </c>
      <c r="B426" t="s">
        <v>0</v>
      </c>
      <c r="C426" t="s">
        <v>101</v>
      </c>
      <c r="D426" t="s">
        <v>35</v>
      </c>
      <c r="E426">
        <v>13.003095975232201</v>
      </c>
    </row>
    <row r="427" spans="1:5" x14ac:dyDescent="0.3">
      <c r="A427" t="s">
        <v>61</v>
      </c>
      <c r="B427" t="s">
        <v>0</v>
      </c>
      <c r="C427" t="s">
        <v>102</v>
      </c>
      <c r="D427" t="s">
        <v>35</v>
      </c>
      <c r="E427">
        <v>6.3545255579198026</v>
      </c>
    </row>
    <row r="428" spans="1:5" x14ac:dyDescent="0.3">
      <c r="A428" t="s">
        <v>61</v>
      </c>
      <c r="B428" t="s">
        <v>0</v>
      </c>
      <c r="C428" t="s">
        <v>103</v>
      </c>
      <c r="D428" t="s">
        <v>35</v>
      </c>
      <c r="E428">
        <v>6.7983057642227633</v>
      </c>
    </row>
    <row r="429" spans="1:5" x14ac:dyDescent="0.3">
      <c r="A429" t="s">
        <v>61</v>
      </c>
      <c r="B429" t="s">
        <v>0</v>
      </c>
      <c r="C429" t="s">
        <v>104</v>
      </c>
      <c r="D429" t="s">
        <v>35</v>
      </c>
      <c r="E429">
        <v>23.666666666666671</v>
      </c>
    </row>
    <row r="430" spans="1:5" x14ac:dyDescent="0.3">
      <c r="A430" t="s">
        <v>61</v>
      </c>
      <c r="B430" t="s">
        <v>0</v>
      </c>
      <c r="C430" t="s">
        <v>105</v>
      </c>
      <c r="D430" t="s">
        <v>35</v>
      </c>
      <c r="E430"/>
    </row>
    <row r="431" spans="1:5" x14ac:dyDescent="0.3">
      <c r="A431" t="s">
        <v>61</v>
      </c>
      <c r="B431" t="s">
        <v>0</v>
      </c>
      <c r="C431" t="s">
        <v>106</v>
      </c>
      <c r="D431" t="s">
        <v>35</v>
      </c>
      <c r="E431">
        <v>9.8052308787697271</v>
      </c>
    </row>
    <row r="432" spans="1:5" x14ac:dyDescent="0.3">
      <c r="A432" t="s">
        <v>61</v>
      </c>
      <c r="B432" t="s">
        <v>0</v>
      </c>
      <c r="C432" t="s">
        <v>107</v>
      </c>
      <c r="D432" t="s">
        <v>35</v>
      </c>
      <c r="E432">
        <v>11.83365582784897</v>
      </c>
    </row>
    <row r="433" spans="1:5" x14ac:dyDescent="0.3">
      <c r="A433" t="s">
        <v>61</v>
      </c>
      <c r="B433" t="s">
        <v>0</v>
      </c>
      <c r="C433" t="s">
        <v>108</v>
      </c>
      <c r="D433" t="s">
        <v>35</v>
      </c>
      <c r="E433">
        <v>16.967968191039589</v>
      </c>
    </row>
    <row r="434" spans="1:5" x14ac:dyDescent="0.3">
      <c r="A434" t="s">
        <v>61</v>
      </c>
      <c r="B434" t="s">
        <v>0</v>
      </c>
      <c r="C434" t="s">
        <v>109</v>
      </c>
      <c r="D434" t="s">
        <v>35</v>
      </c>
      <c r="E434">
        <v>4.5328085226904342</v>
      </c>
    </row>
    <row r="435" spans="1:5" x14ac:dyDescent="0.3">
      <c r="A435" t="s">
        <v>61</v>
      </c>
      <c r="B435" t="s">
        <v>0</v>
      </c>
      <c r="C435" t="s">
        <v>110</v>
      </c>
      <c r="D435" t="s">
        <v>35</v>
      </c>
      <c r="E435">
        <v>19.5148842337376</v>
      </c>
    </row>
    <row r="436" spans="1:5" x14ac:dyDescent="0.3">
      <c r="A436" t="s">
        <v>61</v>
      </c>
      <c r="B436" t="s">
        <v>0</v>
      </c>
      <c r="C436" t="s">
        <v>111</v>
      </c>
      <c r="D436" t="s">
        <v>35</v>
      </c>
      <c r="E436">
        <v>6.3583939517315864</v>
      </c>
    </row>
    <row r="437" spans="1:5" x14ac:dyDescent="0.3">
      <c r="A437" t="s">
        <v>61</v>
      </c>
      <c r="B437" t="s">
        <v>0</v>
      </c>
      <c r="C437" t="s">
        <v>112</v>
      </c>
      <c r="D437" t="s">
        <v>35</v>
      </c>
      <c r="E437">
        <v>9.9268595237235946</v>
      </c>
    </row>
    <row r="438" spans="1:5" x14ac:dyDescent="0.3">
      <c r="A438" t="s">
        <v>61</v>
      </c>
      <c r="B438" t="s">
        <v>0</v>
      </c>
      <c r="C438" t="s">
        <v>113</v>
      </c>
      <c r="D438" t="s">
        <v>35</v>
      </c>
      <c r="E438">
        <v>7.0043466501982437</v>
      </c>
    </row>
    <row r="439" spans="1:5" x14ac:dyDescent="0.3">
      <c r="A439" t="s">
        <v>61</v>
      </c>
      <c r="B439" t="s">
        <v>0</v>
      </c>
      <c r="C439" t="s">
        <v>114</v>
      </c>
      <c r="D439" t="s">
        <v>35</v>
      </c>
      <c r="E439">
        <v>15.48960713942618</v>
      </c>
    </row>
    <row r="440" spans="1:5" x14ac:dyDescent="0.3">
      <c r="A440" t="s">
        <v>61</v>
      </c>
      <c r="B440" t="s">
        <v>0</v>
      </c>
      <c r="C440" t="s">
        <v>115</v>
      </c>
      <c r="D440" t="s">
        <v>35</v>
      </c>
      <c r="E440">
        <v>7.5445980878127994</v>
      </c>
    </row>
    <row r="441" spans="1:5" x14ac:dyDescent="0.3">
      <c r="A441" t="s">
        <v>61</v>
      </c>
      <c r="B441" t="s">
        <v>0</v>
      </c>
      <c r="C441" t="s">
        <v>116</v>
      </c>
      <c r="D441" t="s">
        <v>35</v>
      </c>
      <c r="E441">
        <v>20.41654297924843</v>
      </c>
    </row>
    <row r="442" spans="1:5" x14ac:dyDescent="0.3">
      <c r="A442" t="s">
        <v>61</v>
      </c>
      <c r="B442" t="s">
        <v>69</v>
      </c>
      <c r="C442" t="s">
        <v>69</v>
      </c>
      <c r="D442" t="s">
        <v>36</v>
      </c>
      <c r="E442">
        <v>2.1786947909097698</v>
      </c>
    </row>
    <row r="443" spans="1:5" x14ac:dyDescent="0.3">
      <c r="A443" t="s">
        <v>61</v>
      </c>
      <c r="B443" t="s">
        <v>70</v>
      </c>
      <c r="C443" t="s">
        <v>78</v>
      </c>
      <c r="D443" t="s">
        <v>36</v>
      </c>
      <c r="E443">
        <v>1.5325325092632209</v>
      </c>
    </row>
    <row r="444" spans="1:5" x14ac:dyDescent="0.3">
      <c r="A444" t="s">
        <v>61</v>
      </c>
      <c r="B444" t="s">
        <v>70</v>
      </c>
      <c r="C444" t="s">
        <v>79</v>
      </c>
      <c r="D444" t="s">
        <v>36</v>
      </c>
      <c r="E444">
        <v>2.6475174027273929</v>
      </c>
    </row>
    <row r="445" spans="1:5" x14ac:dyDescent="0.3">
      <c r="A445" t="s">
        <v>61</v>
      </c>
      <c r="B445" t="s">
        <v>70</v>
      </c>
      <c r="C445" t="s">
        <v>80</v>
      </c>
      <c r="D445" t="s">
        <v>36</v>
      </c>
      <c r="E445">
        <v>1.9415042864419341</v>
      </c>
    </row>
    <row r="446" spans="1:5" x14ac:dyDescent="0.3">
      <c r="A446" t="s">
        <v>61</v>
      </c>
      <c r="B446" t="s">
        <v>70</v>
      </c>
      <c r="C446" t="s">
        <v>81</v>
      </c>
      <c r="D446" t="s">
        <v>36</v>
      </c>
      <c r="E446">
        <v>2.1305584473443591</v>
      </c>
    </row>
    <row r="447" spans="1:5" x14ac:dyDescent="0.3">
      <c r="A447" t="s">
        <v>61</v>
      </c>
      <c r="B447" t="s">
        <v>71</v>
      </c>
      <c r="C447" t="s">
        <v>82</v>
      </c>
      <c r="D447" t="s">
        <v>36</v>
      </c>
      <c r="E447">
        <v>2.859436795253016</v>
      </c>
    </row>
    <row r="448" spans="1:5" x14ac:dyDescent="0.3">
      <c r="A448" t="s">
        <v>61</v>
      </c>
      <c r="B448" t="s">
        <v>71</v>
      </c>
      <c r="C448" t="s">
        <v>83</v>
      </c>
      <c r="D448" t="s">
        <v>36</v>
      </c>
      <c r="E448">
        <v>2.3061901080469189</v>
      </c>
    </row>
    <row r="449" spans="1:5" x14ac:dyDescent="0.3">
      <c r="A449" t="s">
        <v>61</v>
      </c>
      <c r="B449" t="s">
        <v>71</v>
      </c>
      <c r="C449" t="s">
        <v>84</v>
      </c>
      <c r="D449" t="s">
        <v>36</v>
      </c>
      <c r="E449">
        <v>1.7932386270362519</v>
      </c>
    </row>
    <row r="450" spans="1:5" x14ac:dyDescent="0.3">
      <c r="A450" t="s">
        <v>61</v>
      </c>
      <c r="B450" t="s">
        <v>71</v>
      </c>
      <c r="C450" t="s">
        <v>85</v>
      </c>
      <c r="D450" t="s">
        <v>36</v>
      </c>
      <c r="E450">
        <v>1.1692521361656361</v>
      </c>
    </row>
    <row r="451" spans="1:5" x14ac:dyDescent="0.3">
      <c r="A451" t="s">
        <v>61</v>
      </c>
      <c r="B451" t="s">
        <v>72</v>
      </c>
      <c r="C451" t="s">
        <v>86</v>
      </c>
      <c r="D451" t="s">
        <v>36</v>
      </c>
      <c r="E451">
        <v>2.2492286012611311</v>
      </c>
    </row>
    <row r="452" spans="1:5" x14ac:dyDescent="0.3">
      <c r="A452" t="s">
        <v>61</v>
      </c>
      <c r="B452" t="s">
        <v>72</v>
      </c>
      <c r="C452" t="s">
        <v>87</v>
      </c>
      <c r="D452" t="s">
        <v>36</v>
      </c>
      <c r="E452">
        <v>2.1041018321711049</v>
      </c>
    </row>
    <row r="453" spans="1:5" x14ac:dyDescent="0.3">
      <c r="A453" t="s">
        <v>61</v>
      </c>
      <c r="B453" t="s">
        <v>73</v>
      </c>
      <c r="C453" t="s">
        <v>88</v>
      </c>
      <c r="D453" t="s">
        <v>36</v>
      </c>
      <c r="E453">
        <v>2.6688380845609769</v>
      </c>
    </row>
    <row r="454" spans="1:5" x14ac:dyDescent="0.3">
      <c r="A454" t="s">
        <v>61</v>
      </c>
      <c r="B454" t="s">
        <v>73</v>
      </c>
      <c r="C454" t="s">
        <v>89</v>
      </c>
      <c r="D454" t="s">
        <v>36</v>
      </c>
      <c r="E454">
        <v>1.790381760736852</v>
      </c>
    </row>
    <row r="455" spans="1:5" x14ac:dyDescent="0.3">
      <c r="A455" t="s">
        <v>61</v>
      </c>
      <c r="B455" t="s">
        <v>74</v>
      </c>
      <c r="C455" t="s">
        <v>90</v>
      </c>
      <c r="D455" t="s">
        <v>36</v>
      </c>
      <c r="E455">
        <v>2.003444946083639</v>
      </c>
    </row>
    <row r="456" spans="1:5" x14ac:dyDescent="0.3">
      <c r="A456" t="s">
        <v>61</v>
      </c>
      <c r="B456" t="s">
        <v>74</v>
      </c>
      <c r="C456" t="s">
        <v>91</v>
      </c>
      <c r="D456" t="s">
        <v>36</v>
      </c>
      <c r="E456">
        <v>2.2420555265476678</v>
      </c>
    </row>
    <row r="457" spans="1:5" x14ac:dyDescent="0.3">
      <c r="A457" t="s">
        <v>61</v>
      </c>
      <c r="B457" t="s">
        <v>75</v>
      </c>
      <c r="C457" t="s">
        <v>92</v>
      </c>
      <c r="D457" t="s">
        <v>36</v>
      </c>
      <c r="E457">
        <v>1.023019389900315</v>
      </c>
    </row>
    <row r="458" spans="1:5" x14ac:dyDescent="0.3">
      <c r="A458" t="s">
        <v>61</v>
      </c>
      <c r="B458" t="s">
        <v>75</v>
      </c>
      <c r="C458" t="s">
        <v>93</v>
      </c>
      <c r="D458" t="s">
        <v>36</v>
      </c>
      <c r="E458">
        <v>2.4366403856928049</v>
      </c>
    </row>
    <row r="459" spans="1:5" x14ac:dyDescent="0.3">
      <c r="A459" t="s">
        <v>61</v>
      </c>
      <c r="B459" t="s">
        <v>75</v>
      </c>
      <c r="C459" t="s">
        <v>94</v>
      </c>
      <c r="D459" t="s">
        <v>36</v>
      </c>
      <c r="E459">
        <v>2.1994684611630841</v>
      </c>
    </row>
    <row r="460" spans="1:5" x14ac:dyDescent="0.3">
      <c r="A460" t="s">
        <v>61</v>
      </c>
      <c r="B460" t="s">
        <v>75</v>
      </c>
      <c r="C460" t="s">
        <v>95</v>
      </c>
      <c r="D460" t="s">
        <v>36</v>
      </c>
      <c r="E460">
        <v>2.139691359602089</v>
      </c>
    </row>
    <row r="461" spans="1:5" x14ac:dyDescent="0.3">
      <c r="A461" t="s">
        <v>61</v>
      </c>
      <c r="B461" t="s">
        <v>76</v>
      </c>
      <c r="C461" t="s">
        <v>96</v>
      </c>
      <c r="D461" t="s">
        <v>36</v>
      </c>
      <c r="E461">
        <v>1.5671507949122949</v>
      </c>
    </row>
    <row r="462" spans="1:5" x14ac:dyDescent="0.3">
      <c r="A462" t="s">
        <v>61</v>
      </c>
      <c r="B462" t="s">
        <v>76</v>
      </c>
      <c r="C462" t="s">
        <v>97</v>
      </c>
      <c r="D462" t="s">
        <v>36</v>
      </c>
      <c r="E462">
        <v>2.0603556580210189</v>
      </c>
    </row>
    <row r="463" spans="1:5" x14ac:dyDescent="0.3">
      <c r="A463" t="s">
        <v>61</v>
      </c>
      <c r="B463" t="s">
        <v>76</v>
      </c>
      <c r="C463" t="s">
        <v>98</v>
      </c>
      <c r="D463" t="s">
        <v>36</v>
      </c>
      <c r="E463">
        <v>2.5244391700074682</v>
      </c>
    </row>
    <row r="464" spans="1:5" x14ac:dyDescent="0.3">
      <c r="A464" t="s">
        <v>61</v>
      </c>
      <c r="B464" t="s">
        <v>0</v>
      </c>
      <c r="C464" t="s">
        <v>99</v>
      </c>
      <c r="D464" t="s">
        <v>36</v>
      </c>
      <c r="E464">
        <v>0.9607349597119319</v>
      </c>
    </row>
    <row r="465" spans="1:5" x14ac:dyDescent="0.3">
      <c r="A465" t="s">
        <v>61</v>
      </c>
      <c r="B465" t="s">
        <v>0</v>
      </c>
      <c r="C465" t="s">
        <v>100</v>
      </c>
      <c r="D465" t="s">
        <v>36</v>
      </c>
      <c r="E465">
        <v>2.0912397737773158</v>
      </c>
    </row>
    <row r="466" spans="1:5" x14ac:dyDescent="0.3">
      <c r="A466" t="s">
        <v>61</v>
      </c>
      <c r="B466" t="s">
        <v>0</v>
      </c>
      <c r="C466" t="s">
        <v>101</v>
      </c>
      <c r="D466" t="s">
        <v>36</v>
      </c>
      <c r="E466">
        <v>1.031991744066048</v>
      </c>
    </row>
    <row r="467" spans="1:5" x14ac:dyDescent="0.3">
      <c r="A467" t="s">
        <v>61</v>
      </c>
      <c r="B467" t="s">
        <v>0</v>
      </c>
      <c r="C467" t="s">
        <v>102</v>
      </c>
      <c r="D467" t="s">
        <v>36</v>
      </c>
      <c r="E467">
        <v>2.7783849266795122</v>
      </c>
    </row>
    <row r="468" spans="1:5" x14ac:dyDescent="0.3">
      <c r="A468" t="s">
        <v>61</v>
      </c>
      <c r="B468" t="s">
        <v>0</v>
      </c>
      <c r="C468" t="s">
        <v>103</v>
      </c>
      <c r="D468" t="s">
        <v>36</v>
      </c>
      <c r="E468">
        <v>2.4920158949440512</v>
      </c>
    </row>
    <row r="469" spans="1:5" x14ac:dyDescent="0.3">
      <c r="A469" t="s">
        <v>61</v>
      </c>
      <c r="B469" t="s">
        <v>0</v>
      </c>
      <c r="C469" t="s">
        <v>104</v>
      </c>
      <c r="D469" t="s">
        <v>36</v>
      </c>
      <c r="E469">
        <v>1.3333333333333339</v>
      </c>
    </row>
    <row r="470" spans="1:5" x14ac:dyDescent="0.3">
      <c r="A470" t="s">
        <v>61</v>
      </c>
      <c r="B470" t="s">
        <v>0</v>
      </c>
      <c r="C470" t="s">
        <v>105</v>
      </c>
      <c r="D470" t="s">
        <v>36</v>
      </c>
      <c r="E470"/>
    </row>
    <row r="471" spans="1:5" x14ac:dyDescent="0.3">
      <c r="A471" t="s">
        <v>61</v>
      </c>
      <c r="B471" t="s">
        <v>0</v>
      </c>
      <c r="C471" t="s">
        <v>106</v>
      </c>
      <c r="D471" t="s">
        <v>36</v>
      </c>
      <c r="E471">
        <v>1.8743761977748841</v>
      </c>
    </row>
    <row r="472" spans="1:5" x14ac:dyDescent="0.3">
      <c r="A472" t="s">
        <v>61</v>
      </c>
      <c r="B472" t="s">
        <v>0</v>
      </c>
      <c r="C472" t="s">
        <v>107</v>
      </c>
      <c r="D472" t="s">
        <v>36</v>
      </c>
      <c r="E472">
        <v>1.02824539915727</v>
      </c>
    </row>
    <row r="473" spans="1:5" x14ac:dyDescent="0.3">
      <c r="A473" t="s">
        <v>61</v>
      </c>
      <c r="B473" t="s">
        <v>0</v>
      </c>
      <c r="C473" t="s">
        <v>108</v>
      </c>
      <c r="D473" t="s">
        <v>36</v>
      </c>
      <c r="E473">
        <v>1.418056226998301</v>
      </c>
    </row>
    <row r="474" spans="1:5" x14ac:dyDescent="0.3">
      <c r="A474" t="s">
        <v>61</v>
      </c>
      <c r="B474" t="s">
        <v>0</v>
      </c>
      <c r="C474" t="s">
        <v>109</v>
      </c>
      <c r="D474" t="s">
        <v>36</v>
      </c>
      <c r="E474">
        <v>3.1934897331705661</v>
      </c>
    </row>
    <row r="475" spans="1:5" x14ac:dyDescent="0.3">
      <c r="A475" t="s">
        <v>61</v>
      </c>
      <c r="B475" t="s">
        <v>0</v>
      </c>
      <c r="C475" t="s">
        <v>110</v>
      </c>
      <c r="D475" t="s">
        <v>36</v>
      </c>
      <c r="E475">
        <v>2.0948180815876509</v>
      </c>
    </row>
    <row r="476" spans="1:5" x14ac:dyDescent="0.3">
      <c r="A476" t="s">
        <v>61</v>
      </c>
      <c r="B476" t="s">
        <v>0</v>
      </c>
      <c r="C476" t="s">
        <v>111</v>
      </c>
      <c r="D476" t="s">
        <v>36</v>
      </c>
      <c r="E476">
        <v>1.8459853408252991</v>
      </c>
    </row>
    <row r="477" spans="1:5" x14ac:dyDescent="0.3">
      <c r="A477" t="s">
        <v>61</v>
      </c>
      <c r="B477" t="s">
        <v>0</v>
      </c>
      <c r="C477" t="s">
        <v>112</v>
      </c>
      <c r="D477" t="s">
        <v>36</v>
      </c>
      <c r="E477">
        <v>4.0122179127649789</v>
      </c>
    </row>
    <row r="478" spans="1:5" x14ac:dyDescent="0.3">
      <c r="A478" t="s">
        <v>61</v>
      </c>
      <c r="B478" t="s">
        <v>0</v>
      </c>
      <c r="C478" t="s">
        <v>113</v>
      </c>
      <c r="D478" t="s">
        <v>36</v>
      </c>
      <c r="E478">
        <v>0.72047806398416037</v>
      </c>
    </row>
    <row r="479" spans="1:5" x14ac:dyDescent="0.3">
      <c r="A479" t="s">
        <v>61</v>
      </c>
      <c r="B479" t="s">
        <v>0</v>
      </c>
      <c r="C479" t="s">
        <v>114</v>
      </c>
      <c r="D479" t="s">
        <v>36</v>
      </c>
      <c r="E479">
        <v>3.1556997941774432</v>
      </c>
    </row>
    <row r="480" spans="1:5" x14ac:dyDescent="0.3">
      <c r="A480" t="s">
        <v>61</v>
      </c>
      <c r="B480" t="s">
        <v>0</v>
      </c>
      <c r="C480" t="s">
        <v>115</v>
      </c>
      <c r="D480" t="s">
        <v>36</v>
      </c>
      <c r="E480">
        <v>0.84485450936415651</v>
      </c>
    </row>
    <row r="481" spans="1:5" x14ac:dyDescent="0.3">
      <c r="A481" t="s">
        <v>61</v>
      </c>
      <c r="B481" t="s">
        <v>0</v>
      </c>
      <c r="C481" t="s">
        <v>116</v>
      </c>
      <c r="D481" t="s">
        <v>36</v>
      </c>
      <c r="E481">
        <v>4.9830897098954656</v>
      </c>
    </row>
    <row r="482" spans="1:5" x14ac:dyDescent="0.3">
      <c r="A482" t="s">
        <v>62</v>
      </c>
      <c r="B482" t="s">
        <v>69</v>
      </c>
      <c r="C482" t="s">
        <v>69</v>
      </c>
      <c r="D482" t="s">
        <v>33</v>
      </c>
      <c r="E482">
        <v>27.686924654698359</v>
      </c>
    </row>
    <row r="483" spans="1:5" x14ac:dyDescent="0.3">
      <c r="A483" t="s">
        <v>62</v>
      </c>
      <c r="B483" t="s">
        <v>70</v>
      </c>
      <c r="C483" t="s">
        <v>78</v>
      </c>
      <c r="D483" t="s">
        <v>33</v>
      </c>
      <c r="E483">
        <v>27.813069970139669</v>
      </c>
    </row>
    <row r="484" spans="1:5" x14ac:dyDescent="0.3">
      <c r="A484" t="s">
        <v>62</v>
      </c>
      <c r="B484" t="s">
        <v>70</v>
      </c>
      <c r="C484" t="s">
        <v>79</v>
      </c>
      <c r="D484" t="s">
        <v>33</v>
      </c>
      <c r="E484">
        <v>26.9607195724194</v>
      </c>
    </row>
    <row r="485" spans="1:5" x14ac:dyDescent="0.3">
      <c r="A485" t="s">
        <v>62</v>
      </c>
      <c r="B485" t="s">
        <v>70</v>
      </c>
      <c r="C485" t="s">
        <v>80</v>
      </c>
      <c r="D485" t="s">
        <v>33</v>
      </c>
      <c r="E485">
        <v>28.65187440813024</v>
      </c>
    </row>
    <row r="486" spans="1:5" x14ac:dyDescent="0.3">
      <c r="A486" t="s">
        <v>62</v>
      </c>
      <c r="B486" t="s">
        <v>70</v>
      </c>
      <c r="C486" t="s">
        <v>81</v>
      </c>
      <c r="D486" t="s">
        <v>33</v>
      </c>
      <c r="E486">
        <v>28.636679162134079</v>
      </c>
    </row>
    <row r="487" spans="1:5" x14ac:dyDescent="0.3">
      <c r="A487" t="s">
        <v>62</v>
      </c>
      <c r="B487" t="s">
        <v>71</v>
      </c>
      <c r="C487" t="s">
        <v>82</v>
      </c>
      <c r="D487" t="s">
        <v>33</v>
      </c>
      <c r="E487">
        <v>23.795838117881729</v>
      </c>
    </row>
    <row r="488" spans="1:5" x14ac:dyDescent="0.3">
      <c r="A488" t="s">
        <v>62</v>
      </c>
      <c r="B488" t="s">
        <v>71</v>
      </c>
      <c r="C488" t="s">
        <v>83</v>
      </c>
      <c r="D488" t="s">
        <v>33</v>
      </c>
      <c r="E488">
        <v>28.626412477768039</v>
      </c>
    </row>
    <row r="489" spans="1:5" x14ac:dyDescent="0.3">
      <c r="A489" t="s">
        <v>62</v>
      </c>
      <c r="B489" t="s">
        <v>71</v>
      </c>
      <c r="C489" t="s">
        <v>84</v>
      </c>
      <c r="D489" t="s">
        <v>33</v>
      </c>
      <c r="E489">
        <v>28.956671763088</v>
      </c>
    </row>
    <row r="490" spans="1:5" x14ac:dyDescent="0.3">
      <c r="A490" t="s">
        <v>62</v>
      </c>
      <c r="B490" t="s">
        <v>71</v>
      </c>
      <c r="C490" t="s">
        <v>85</v>
      </c>
      <c r="D490" t="s">
        <v>33</v>
      </c>
      <c r="E490">
        <v>28.132685602163949</v>
      </c>
    </row>
    <row r="491" spans="1:5" x14ac:dyDescent="0.3">
      <c r="A491" t="s">
        <v>62</v>
      </c>
      <c r="B491" t="s">
        <v>72</v>
      </c>
      <c r="C491" t="s">
        <v>86</v>
      </c>
      <c r="D491" t="s">
        <v>33</v>
      </c>
      <c r="E491">
        <v>27.732637978584162</v>
      </c>
    </row>
    <row r="492" spans="1:5" x14ac:dyDescent="0.3">
      <c r="A492" t="s">
        <v>62</v>
      </c>
      <c r="B492" t="s">
        <v>72</v>
      </c>
      <c r="C492" t="s">
        <v>87</v>
      </c>
      <c r="D492" t="s">
        <v>33</v>
      </c>
      <c r="E492">
        <v>27.640554161142269</v>
      </c>
    </row>
    <row r="493" spans="1:5" x14ac:dyDescent="0.3">
      <c r="A493" t="s">
        <v>62</v>
      </c>
      <c r="B493" t="s">
        <v>73</v>
      </c>
      <c r="C493" t="s">
        <v>88</v>
      </c>
      <c r="D493" t="s">
        <v>33</v>
      </c>
      <c r="E493">
        <v>26.921710747410732</v>
      </c>
    </row>
    <row r="494" spans="1:5" x14ac:dyDescent="0.3">
      <c r="A494" t="s">
        <v>62</v>
      </c>
      <c r="B494" t="s">
        <v>73</v>
      </c>
      <c r="C494" t="s">
        <v>89</v>
      </c>
      <c r="D494" t="s">
        <v>33</v>
      </c>
      <c r="E494">
        <v>28.155923693413978</v>
      </c>
    </row>
    <row r="495" spans="1:5" x14ac:dyDescent="0.3">
      <c r="A495" t="s">
        <v>62</v>
      </c>
      <c r="B495" t="s">
        <v>74</v>
      </c>
      <c r="C495" t="s">
        <v>90</v>
      </c>
      <c r="D495" t="s">
        <v>33</v>
      </c>
      <c r="E495">
        <v>27.371361529296411</v>
      </c>
    </row>
    <row r="496" spans="1:5" x14ac:dyDescent="0.3">
      <c r="A496" t="s">
        <v>62</v>
      </c>
      <c r="B496" t="s">
        <v>74</v>
      </c>
      <c r="C496" t="s">
        <v>91</v>
      </c>
      <c r="D496" t="s">
        <v>33</v>
      </c>
      <c r="E496">
        <v>27.90086662304137</v>
      </c>
    </row>
    <row r="497" spans="1:5" x14ac:dyDescent="0.3">
      <c r="A497" t="s">
        <v>62</v>
      </c>
      <c r="B497" t="s">
        <v>75</v>
      </c>
      <c r="C497" t="s">
        <v>92</v>
      </c>
      <c r="D497" t="s">
        <v>33</v>
      </c>
      <c r="E497">
        <v>26.695209124677159</v>
      </c>
    </row>
    <row r="498" spans="1:5" x14ac:dyDescent="0.3">
      <c r="A498" t="s">
        <v>62</v>
      </c>
      <c r="B498" t="s">
        <v>75</v>
      </c>
      <c r="C498" t="s">
        <v>93</v>
      </c>
      <c r="D498" t="s">
        <v>33</v>
      </c>
      <c r="E498">
        <v>28.228064620393909</v>
      </c>
    </row>
    <row r="499" spans="1:5" x14ac:dyDescent="0.3">
      <c r="A499" t="s">
        <v>62</v>
      </c>
      <c r="B499" t="s">
        <v>75</v>
      </c>
      <c r="C499" t="s">
        <v>94</v>
      </c>
      <c r="D499" t="s">
        <v>33</v>
      </c>
      <c r="E499">
        <v>28.061915898873028</v>
      </c>
    </row>
    <row r="500" spans="1:5" x14ac:dyDescent="0.3">
      <c r="A500" t="s">
        <v>62</v>
      </c>
      <c r="B500" t="s">
        <v>75</v>
      </c>
      <c r="C500" t="s">
        <v>95</v>
      </c>
      <c r="D500" t="s">
        <v>33</v>
      </c>
      <c r="E500">
        <v>27.339261274967559</v>
      </c>
    </row>
    <row r="501" spans="1:5" x14ac:dyDescent="0.3">
      <c r="A501" t="s">
        <v>62</v>
      </c>
      <c r="B501" t="s">
        <v>76</v>
      </c>
      <c r="C501" t="s">
        <v>96</v>
      </c>
      <c r="D501" t="s">
        <v>33</v>
      </c>
      <c r="E501">
        <v>27.444517951868558</v>
      </c>
    </row>
    <row r="502" spans="1:5" x14ac:dyDescent="0.3">
      <c r="A502" t="s">
        <v>62</v>
      </c>
      <c r="B502" t="s">
        <v>76</v>
      </c>
      <c r="C502" t="s">
        <v>97</v>
      </c>
      <c r="D502" t="s">
        <v>33</v>
      </c>
      <c r="E502">
        <v>26.97005907450853</v>
      </c>
    </row>
    <row r="503" spans="1:5" x14ac:dyDescent="0.3">
      <c r="A503" t="s">
        <v>62</v>
      </c>
      <c r="B503" t="s">
        <v>76</v>
      </c>
      <c r="C503" t="s">
        <v>98</v>
      </c>
      <c r="D503" t="s">
        <v>33</v>
      </c>
      <c r="E503">
        <v>28.383108468955381</v>
      </c>
    </row>
    <row r="504" spans="1:5" x14ac:dyDescent="0.3">
      <c r="A504" t="s">
        <v>62</v>
      </c>
      <c r="B504" t="s">
        <v>0</v>
      </c>
      <c r="C504" t="s">
        <v>99</v>
      </c>
      <c r="D504" t="s">
        <v>33</v>
      </c>
      <c r="E504">
        <v>31.476543520119289</v>
      </c>
    </row>
    <row r="505" spans="1:5" x14ac:dyDescent="0.3">
      <c r="A505" t="s">
        <v>62</v>
      </c>
      <c r="B505" t="s">
        <v>0</v>
      </c>
      <c r="C505" t="s">
        <v>100</v>
      </c>
      <c r="D505" t="s">
        <v>33</v>
      </c>
      <c r="E505">
        <v>14.446366782006921</v>
      </c>
    </row>
    <row r="506" spans="1:5" x14ac:dyDescent="0.3">
      <c r="A506" t="s">
        <v>62</v>
      </c>
      <c r="B506" t="s">
        <v>0</v>
      </c>
      <c r="C506" t="s">
        <v>101</v>
      </c>
      <c r="D506" t="s">
        <v>33</v>
      </c>
      <c r="E506">
        <v>33.104631217838772</v>
      </c>
    </row>
    <row r="507" spans="1:5" x14ac:dyDescent="0.3">
      <c r="A507" t="s">
        <v>62</v>
      </c>
      <c r="B507" t="s">
        <v>0</v>
      </c>
      <c r="C507" t="s">
        <v>102</v>
      </c>
      <c r="D507" t="s">
        <v>33</v>
      </c>
      <c r="E507">
        <v>44.836937760045323</v>
      </c>
    </row>
    <row r="508" spans="1:5" x14ac:dyDescent="0.3">
      <c r="A508" t="s">
        <v>62</v>
      </c>
      <c r="B508" t="s">
        <v>0</v>
      </c>
      <c r="C508" t="s">
        <v>103</v>
      </c>
      <c r="D508" t="s">
        <v>33</v>
      </c>
      <c r="E508">
        <v>28.792231783750751</v>
      </c>
    </row>
    <row r="509" spans="1:5" x14ac:dyDescent="0.3">
      <c r="A509" t="s">
        <v>62</v>
      </c>
      <c r="B509" t="s">
        <v>0</v>
      </c>
      <c r="C509" t="s">
        <v>104</v>
      </c>
      <c r="D509" t="s">
        <v>33</v>
      </c>
      <c r="E509">
        <v>16.922350410369209</v>
      </c>
    </row>
    <row r="510" spans="1:5" x14ac:dyDescent="0.3">
      <c r="A510" t="s">
        <v>62</v>
      </c>
      <c r="B510" t="s">
        <v>0</v>
      </c>
      <c r="C510" t="s">
        <v>105</v>
      </c>
      <c r="D510" t="s">
        <v>33</v>
      </c>
      <c r="E510">
        <v>27.712746027192299</v>
      </c>
    </row>
    <row r="511" spans="1:5" x14ac:dyDescent="0.3">
      <c r="A511" t="s">
        <v>62</v>
      </c>
      <c r="B511" t="s">
        <v>0</v>
      </c>
      <c r="C511" t="s">
        <v>106</v>
      </c>
      <c r="D511" t="s">
        <v>33</v>
      </c>
      <c r="E511">
        <v>23.962743437764608</v>
      </c>
    </row>
    <row r="512" spans="1:5" x14ac:dyDescent="0.3">
      <c r="A512" t="s">
        <v>62</v>
      </c>
      <c r="B512" t="s">
        <v>0</v>
      </c>
      <c r="C512" t="s">
        <v>107</v>
      </c>
      <c r="D512" t="s">
        <v>33</v>
      </c>
      <c r="E512">
        <v>28.321519642867852</v>
      </c>
    </row>
    <row r="513" spans="1:5" x14ac:dyDescent="0.3">
      <c r="A513" t="s">
        <v>62</v>
      </c>
      <c r="B513" t="s">
        <v>0</v>
      </c>
      <c r="C513" t="s">
        <v>108</v>
      </c>
      <c r="D513" t="s">
        <v>33</v>
      </c>
      <c r="E513">
        <v>28.410593663148461</v>
      </c>
    </row>
    <row r="514" spans="1:5" x14ac:dyDescent="0.3">
      <c r="A514" t="s">
        <v>62</v>
      </c>
      <c r="B514" t="s">
        <v>0</v>
      </c>
      <c r="C514" t="s">
        <v>109</v>
      </c>
      <c r="D514" t="s">
        <v>33</v>
      </c>
      <c r="E514">
        <v>24.442538593481991</v>
      </c>
    </row>
    <row r="515" spans="1:5" x14ac:dyDescent="0.3">
      <c r="A515" t="s">
        <v>62</v>
      </c>
      <c r="B515" t="s">
        <v>0</v>
      </c>
      <c r="C515" t="s">
        <v>110</v>
      </c>
      <c r="D515" t="s">
        <v>33</v>
      </c>
      <c r="E515">
        <v>23.190125213052369</v>
      </c>
    </row>
    <row r="516" spans="1:5" x14ac:dyDescent="0.3">
      <c r="A516" t="s">
        <v>62</v>
      </c>
      <c r="B516" t="s">
        <v>0</v>
      </c>
      <c r="C516" t="s">
        <v>111</v>
      </c>
      <c r="D516" t="s">
        <v>33</v>
      </c>
      <c r="E516">
        <v>32.391826908856373</v>
      </c>
    </row>
    <row r="517" spans="1:5" x14ac:dyDescent="0.3">
      <c r="A517" t="s">
        <v>62</v>
      </c>
      <c r="B517" t="s">
        <v>0</v>
      </c>
      <c r="C517" t="s">
        <v>112</v>
      </c>
      <c r="D517" t="s">
        <v>33</v>
      </c>
      <c r="E517">
        <v>25.865051903114189</v>
      </c>
    </row>
    <row r="518" spans="1:5" x14ac:dyDescent="0.3">
      <c r="A518" t="s">
        <v>62</v>
      </c>
      <c r="B518" t="s">
        <v>0</v>
      </c>
      <c r="C518" t="s">
        <v>113</v>
      </c>
      <c r="D518" t="s">
        <v>33</v>
      </c>
      <c r="E518">
        <v>54.696499778466993</v>
      </c>
    </row>
    <row r="519" spans="1:5" x14ac:dyDescent="0.3">
      <c r="A519" t="s">
        <v>62</v>
      </c>
      <c r="B519" t="s">
        <v>0</v>
      </c>
      <c r="C519" t="s">
        <v>114</v>
      </c>
      <c r="D519" t="s">
        <v>33</v>
      </c>
      <c r="E519">
        <v>26.57187364466391</v>
      </c>
    </row>
    <row r="520" spans="1:5" x14ac:dyDescent="0.3">
      <c r="A520" t="s">
        <v>62</v>
      </c>
      <c r="B520" t="s">
        <v>0</v>
      </c>
      <c r="C520" t="s">
        <v>115</v>
      </c>
      <c r="D520" t="s">
        <v>33</v>
      </c>
      <c r="E520">
        <v>20.759717314487631</v>
      </c>
    </row>
    <row r="521" spans="1:5" x14ac:dyDescent="0.3">
      <c r="A521" t="s">
        <v>62</v>
      </c>
      <c r="B521" t="s">
        <v>0</v>
      </c>
      <c r="C521" t="s">
        <v>116</v>
      </c>
      <c r="D521" t="s">
        <v>33</v>
      </c>
      <c r="E521">
        <v>10.742757992131571</v>
      </c>
    </row>
    <row r="522" spans="1:5" x14ac:dyDescent="0.3">
      <c r="A522" t="s">
        <v>62</v>
      </c>
      <c r="B522" t="s">
        <v>69</v>
      </c>
      <c r="C522" t="s">
        <v>69</v>
      </c>
      <c r="D522" t="s">
        <v>34</v>
      </c>
      <c r="E522">
        <v>50.313056106908348</v>
      </c>
    </row>
    <row r="523" spans="1:5" x14ac:dyDescent="0.3">
      <c r="A523" t="s">
        <v>62</v>
      </c>
      <c r="B523" t="s">
        <v>70</v>
      </c>
      <c r="C523" t="s">
        <v>78</v>
      </c>
      <c r="D523" t="s">
        <v>34</v>
      </c>
      <c r="E523">
        <v>48.450417187004177</v>
      </c>
    </row>
    <row r="524" spans="1:5" x14ac:dyDescent="0.3">
      <c r="A524" t="s">
        <v>62</v>
      </c>
      <c r="B524" t="s">
        <v>70</v>
      </c>
      <c r="C524" t="s">
        <v>79</v>
      </c>
      <c r="D524" t="s">
        <v>34</v>
      </c>
      <c r="E524">
        <v>50.217264931327037</v>
      </c>
    </row>
    <row r="525" spans="1:5" x14ac:dyDescent="0.3">
      <c r="A525" t="s">
        <v>62</v>
      </c>
      <c r="B525" t="s">
        <v>70</v>
      </c>
      <c r="C525" t="s">
        <v>80</v>
      </c>
      <c r="D525" t="s">
        <v>34</v>
      </c>
      <c r="E525">
        <v>52.035291994445537</v>
      </c>
    </row>
    <row r="526" spans="1:5" x14ac:dyDescent="0.3">
      <c r="A526" t="s">
        <v>62</v>
      </c>
      <c r="B526" t="s">
        <v>70</v>
      </c>
      <c r="C526" t="s">
        <v>81</v>
      </c>
      <c r="D526" t="s">
        <v>34</v>
      </c>
      <c r="E526">
        <v>53.147433644089404</v>
      </c>
    </row>
    <row r="527" spans="1:5" x14ac:dyDescent="0.3">
      <c r="A527" t="s">
        <v>62</v>
      </c>
      <c r="B527" t="s">
        <v>71</v>
      </c>
      <c r="C527" t="s">
        <v>82</v>
      </c>
      <c r="D527" t="s">
        <v>34</v>
      </c>
      <c r="E527">
        <v>51.71822870476683</v>
      </c>
    </row>
    <row r="528" spans="1:5" x14ac:dyDescent="0.3">
      <c r="A528" t="s">
        <v>62</v>
      </c>
      <c r="B528" t="s">
        <v>71</v>
      </c>
      <c r="C528" t="s">
        <v>83</v>
      </c>
      <c r="D528" t="s">
        <v>34</v>
      </c>
      <c r="E528">
        <v>49.388370568344783</v>
      </c>
    </row>
    <row r="529" spans="1:5" x14ac:dyDescent="0.3">
      <c r="A529" t="s">
        <v>62</v>
      </c>
      <c r="B529" t="s">
        <v>71</v>
      </c>
      <c r="C529" t="s">
        <v>84</v>
      </c>
      <c r="D529" t="s">
        <v>34</v>
      </c>
      <c r="E529">
        <v>50.391451142649743</v>
      </c>
    </row>
    <row r="530" spans="1:5" x14ac:dyDescent="0.3">
      <c r="A530" t="s">
        <v>62</v>
      </c>
      <c r="B530" t="s">
        <v>71</v>
      </c>
      <c r="C530" t="s">
        <v>85</v>
      </c>
      <c r="D530" t="s">
        <v>34</v>
      </c>
      <c r="E530">
        <v>50.782641610840507</v>
      </c>
    </row>
    <row r="531" spans="1:5" x14ac:dyDescent="0.3">
      <c r="A531" t="s">
        <v>62</v>
      </c>
      <c r="B531" t="s">
        <v>72</v>
      </c>
      <c r="C531" t="s">
        <v>86</v>
      </c>
      <c r="D531" t="s">
        <v>34</v>
      </c>
      <c r="E531">
        <v>50.633770744998444</v>
      </c>
    </row>
    <row r="532" spans="1:5" x14ac:dyDescent="0.3">
      <c r="A532" t="s">
        <v>62</v>
      </c>
      <c r="B532" t="s">
        <v>72</v>
      </c>
      <c r="C532" t="s">
        <v>87</v>
      </c>
      <c r="D532" t="s">
        <v>34</v>
      </c>
      <c r="E532">
        <v>49.987730910778382</v>
      </c>
    </row>
    <row r="533" spans="1:5" x14ac:dyDescent="0.3">
      <c r="A533" t="s">
        <v>62</v>
      </c>
      <c r="B533" t="s">
        <v>73</v>
      </c>
      <c r="C533" t="s">
        <v>88</v>
      </c>
      <c r="D533" t="s">
        <v>34</v>
      </c>
      <c r="E533">
        <v>50.923006174565813</v>
      </c>
    </row>
    <row r="534" spans="1:5" x14ac:dyDescent="0.3">
      <c r="A534" t="s">
        <v>62</v>
      </c>
      <c r="B534" t="s">
        <v>73</v>
      </c>
      <c r="C534" t="s">
        <v>89</v>
      </c>
      <c r="D534" t="s">
        <v>34</v>
      </c>
      <c r="E534">
        <v>49.97212894015847</v>
      </c>
    </row>
    <row r="535" spans="1:5" x14ac:dyDescent="0.3">
      <c r="A535" t="s">
        <v>62</v>
      </c>
      <c r="B535" t="s">
        <v>74</v>
      </c>
      <c r="C535" t="s">
        <v>90</v>
      </c>
      <c r="D535" t="s">
        <v>34</v>
      </c>
      <c r="E535">
        <v>50.657755014928703</v>
      </c>
    </row>
    <row r="536" spans="1:5" x14ac:dyDescent="0.3">
      <c r="A536" t="s">
        <v>62</v>
      </c>
      <c r="B536" t="s">
        <v>74</v>
      </c>
      <c r="C536" t="s">
        <v>91</v>
      </c>
      <c r="D536" t="s">
        <v>34</v>
      </c>
      <c r="E536">
        <v>50.182649573283634</v>
      </c>
    </row>
    <row r="537" spans="1:5" x14ac:dyDescent="0.3">
      <c r="A537" t="s">
        <v>62</v>
      </c>
      <c r="B537" t="s">
        <v>75</v>
      </c>
      <c r="C537" t="s">
        <v>92</v>
      </c>
      <c r="D537" t="s">
        <v>34</v>
      </c>
      <c r="E537">
        <v>50.891594680842204</v>
      </c>
    </row>
    <row r="538" spans="1:5" x14ac:dyDescent="0.3">
      <c r="A538" t="s">
        <v>62</v>
      </c>
      <c r="B538" t="s">
        <v>75</v>
      </c>
      <c r="C538" t="s">
        <v>93</v>
      </c>
      <c r="D538" t="s">
        <v>34</v>
      </c>
      <c r="E538">
        <v>50.06247632591392</v>
      </c>
    </row>
    <row r="539" spans="1:5" x14ac:dyDescent="0.3">
      <c r="A539" t="s">
        <v>62</v>
      </c>
      <c r="B539" t="s">
        <v>75</v>
      </c>
      <c r="C539" t="s">
        <v>94</v>
      </c>
      <c r="D539" t="s">
        <v>34</v>
      </c>
      <c r="E539">
        <v>48.816933468841569</v>
      </c>
    </row>
    <row r="540" spans="1:5" x14ac:dyDescent="0.3">
      <c r="A540" t="s">
        <v>62</v>
      </c>
      <c r="B540" t="s">
        <v>75</v>
      </c>
      <c r="C540" t="s">
        <v>95</v>
      </c>
      <c r="D540" t="s">
        <v>34</v>
      </c>
      <c r="E540">
        <v>54.868244222906867</v>
      </c>
    </row>
    <row r="541" spans="1:5" x14ac:dyDescent="0.3">
      <c r="A541" t="s">
        <v>62</v>
      </c>
      <c r="B541" t="s">
        <v>76</v>
      </c>
      <c r="C541" t="s">
        <v>96</v>
      </c>
      <c r="D541" t="s">
        <v>34</v>
      </c>
      <c r="E541">
        <v>48.877285246845823</v>
      </c>
    </row>
    <row r="542" spans="1:5" x14ac:dyDescent="0.3">
      <c r="A542" t="s">
        <v>62</v>
      </c>
      <c r="B542" t="s">
        <v>76</v>
      </c>
      <c r="C542" t="s">
        <v>97</v>
      </c>
      <c r="D542" t="s">
        <v>34</v>
      </c>
      <c r="E542">
        <v>49.627379801142958</v>
      </c>
    </row>
    <row r="543" spans="1:5" x14ac:dyDescent="0.3">
      <c r="A543" t="s">
        <v>62</v>
      </c>
      <c r="B543" t="s">
        <v>76</v>
      </c>
      <c r="C543" t="s">
        <v>98</v>
      </c>
      <c r="D543" t="s">
        <v>34</v>
      </c>
      <c r="E543">
        <v>51.754542465480391</v>
      </c>
    </row>
    <row r="544" spans="1:5" x14ac:dyDescent="0.3">
      <c r="A544" t="s">
        <v>62</v>
      </c>
      <c r="B544" t="s">
        <v>0</v>
      </c>
      <c r="C544" t="s">
        <v>99</v>
      </c>
      <c r="D544" t="s">
        <v>34</v>
      </c>
      <c r="E544">
        <v>58.186275437231707</v>
      </c>
    </row>
    <row r="545" spans="1:5" x14ac:dyDescent="0.3">
      <c r="A545" t="s">
        <v>62</v>
      </c>
      <c r="B545" t="s">
        <v>0</v>
      </c>
      <c r="C545" t="s">
        <v>100</v>
      </c>
      <c r="D545" t="s">
        <v>34</v>
      </c>
      <c r="E545">
        <v>54.152249134948093</v>
      </c>
    </row>
    <row r="546" spans="1:5" x14ac:dyDescent="0.3">
      <c r="A546" t="s">
        <v>62</v>
      </c>
      <c r="B546" t="s">
        <v>0</v>
      </c>
      <c r="C546" t="s">
        <v>101</v>
      </c>
      <c r="D546" t="s">
        <v>34</v>
      </c>
      <c r="E546">
        <v>53.173241852487138</v>
      </c>
    </row>
    <row r="547" spans="1:5" x14ac:dyDescent="0.3">
      <c r="A547" t="s">
        <v>62</v>
      </c>
      <c r="B547" t="s">
        <v>0</v>
      </c>
      <c r="C547" t="s">
        <v>102</v>
      </c>
      <c r="D547" t="s">
        <v>34</v>
      </c>
      <c r="E547">
        <v>45.393373175806552</v>
      </c>
    </row>
    <row r="548" spans="1:5" x14ac:dyDescent="0.3">
      <c r="A548" t="s">
        <v>62</v>
      </c>
      <c r="B548" t="s">
        <v>0</v>
      </c>
      <c r="C548" t="s">
        <v>103</v>
      </c>
      <c r="D548" t="s">
        <v>34</v>
      </c>
      <c r="E548">
        <v>52.586258669014981</v>
      </c>
    </row>
    <row r="549" spans="1:5" x14ac:dyDescent="0.3">
      <c r="A549" t="s">
        <v>62</v>
      </c>
      <c r="B549" t="s">
        <v>0</v>
      </c>
      <c r="C549" t="s">
        <v>104</v>
      </c>
      <c r="D549" t="s">
        <v>34</v>
      </c>
      <c r="E549">
        <v>53.505351118442213</v>
      </c>
    </row>
    <row r="550" spans="1:5" x14ac:dyDescent="0.3">
      <c r="A550" t="s">
        <v>62</v>
      </c>
      <c r="B550" t="s">
        <v>0</v>
      </c>
      <c r="C550" t="s">
        <v>105</v>
      </c>
      <c r="D550" t="s">
        <v>34</v>
      </c>
      <c r="E550">
        <v>46.617032826978132</v>
      </c>
    </row>
    <row r="551" spans="1:5" x14ac:dyDescent="0.3">
      <c r="A551" t="s">
        <v>62</v>
      </c>
      <c r="B551" t="s">
        <v>0</v>
      </c>
      <c r="C551" t="s">
        <v>106</v>
      </c>
      <c r="D551" t="s">
        <v>34</v>
      </c>
      <c r="E551">
        <v>53.429297205757827</v>
      </c>
    </row>
    <row r="552" spans="1:5" x14ac:dyDescent="0.3">
      <c r="A552" t="s">
        <v>62</v>
      </c>
      <c r="B552" t="s">
        <v>0</v>
      </c>
      <c r="C552" t="s">
        <v>107</v>
      </c>
      <c r="D552" t="s">
        <v>34</v>
      </c>
      <c r="E552">
        <v>47.240492268915823</v>
      </c>
    </row>
    <row r="553" spans="1:5" x14ac:dyDescent="0.3">
      <c r="A553" t="s">
        <v>62</v>
      </c>
      <c r="B553" t="s">
        <v>0</v>
      </c>
      <c r="C553" t="s">
        <v>108</v>
      </c>
      <c r="D553" t="s">
        <v>34</v>
      </c>
      <c r="E553">
        <v>50.442065070170251</v>
      </c>
    </row>
    <row r="554" spans="1:5" x14ac:dyDescent="0.3">
      <c r="A554" t="s">
        <v>62</v>
      </c>
      <c r="B554" t="s">
        <v>0</v>
      </c>
      <c r="C554" t="s">
        <v>109</v>
      </c>
      <c r="D554" t="s">
        <v>34</v>
      </c>
      <c r="E554">
        <v>50.514579759862777</v>
      </c>
    </row>
    <row r="555" spans="1:5" x14ac:dyDescent="0.3">
      <c r="A555" t="s">
        <v>62</v>
      </c>
      <c r="B555" t="s">
        <v>0</v>
      </c>
      <c r="C555" t="s">
        <v>110</v>
      </c>
      <c r="D555" t="s">
        <v>34</v>
      </c>
      <c r="E555">
        <v>46.386929138987739</v>
      </c>
    </row>
    <row r="556" spans="1:5" x14ac:dyDescent="0.3">
      <c r="A556" t="s">
        <v>62</v>
      </c>
      <c r="B556" t="s">
        <v>0</v>
      </c>
      <c r="C556" t="s">
        <v>111</v>
      </c>
      <c r="D556" t="s">
        <v>34</v>
      </c>
      <c r="E556">
        <v>49.321428838555981</v>
      </c>
    </row>
    <row r="557" spans="1:5" x14ac:dyDescent="0.3">
      <c r="A557" t="s">
        <v>62</v>
      </c>
      <c r="B557" t="s">
        <v>0</v>
      </c>
      <c r="C557" t="s">
        <v>112</v>
      </c>
      <c r="D557" t="s">
        <v>34</v>
      </c>
      <c r="E557">
        <v>65.397923875432525</v>
      </c>
    </row>
    <row r="558" spans="1:5" x14ac:dyDescent="0.3">
      <c r="A558" t="s">
        <v>62</v>
      </c>
      <c r="B558" t="s">
        <v>0</v>
      </c>
      <c r="C558" t="s">
        <v>113</v>
      </c>
      <c r="D558" t="s">
        <v>34</v>
      </c>
      <c r="E558">
        <v>39.078422684980062</v>
      </c>
    </row>
    <row r="559" spans="1:5" x14ac:dyDescent="0.3">
      <c r="A559" t="s">
        <v>62</v>
      </c>
      <c r="B559" t="s">
        <v>0</v>
      </c>
      <c r="C559" t="s">
        <v>114</v>
      </c>
      <c r="D559" t="s">
        <v>34</v>
      </c>
      <c r="E559">
        <v>46.386566229342698</v>
      </c>
    </row>
    <row r="560" spans="1:5" x14ac:dyDescent="0.3">
      <c r="A560" t="s">
        <v>62</v>
      </c>
      <c r="B560" t="s">
        <v>0</v>
      </c>
      <c r="C560" t="s">
        <v>115</v>
      </c>
      <c r="D560" t="s">
        <v>34</v>
      </c>
      <c r="E560">
        <v>58.745583038869263</v>
      </c>
    </row>
    <row r="561" spans="1:5" x14ac:dyDescent="0.3">
      <c r="A561" t="s">
        <v>62</v>
      </c>
      <c r="B561" t="s">
        <v>0</v>
      </c>
      <c r="C561" t="s">
        <v>116</v>
      </c>
      <c r="D561" t="s">
        <v>34</v>
      </c>
      <c r="E561">
        <v>32.354129855202132</v>
      </c>
    </row>
    <row r="562" spans="1:5" x14ac:dyDescent="0.3">
      <c r="A562" t="s">
        <v>62</v>
      </c>
      <c r="B562" t="s">
        <v>69</v>
      </c>
      <c r="C562" t="s">
        <v>69</v>
      </c>
      <c r="D562" t="s">
        <v>35</v>
      </c>
      <c r="E562">
        <v>17.775446213782612</v>
      </c>
    </row>
    <row r="563" spans="1:5" x14ac:dyDescent="0.3">
      <c r="A563" t="s">
        <v>62</v>
      </c>
      <c r="B563" t="s">
        <v>70</v>
      </c>
      <c r="C563" t="s">
        <v>78</v>
      </c>
      <c r="D563" t="s">
        <v>35</v>
      </c>
      <c r="E563">
        <v>18.584268062841851</v>
      </c>
    </row>
    <row r="564" spans="1:5" x14ac:dyDescent="0.3">
      <c r="A564" t="s">
        <v>62</v>
      </c>
      <c r="B564" t="s">
        <v>70</v>
      </c>
      <c r="C564" t="s">
        <v>79</v>
      </c>
      <c r="D564" t="s">
        <v>35</v>
      </c>
      <c r="E564">
        <v>18.39851991193353</v>
      </c>
    </row>
    <row r="565" spans="1:5" x14ac:dyDescent="0.3">
      <c r="A565" t="s">
        <v>62</v>
      </c>
      <c r="B565" t="s">
        <v>70</v>
      </c>
      <c r="C565" t="s">
        <v>80</v>
      </c>
      <c r="D565" t="s">
        <v>35</v>
      </c>
      <c r="E565">
        <v>16.349273784360172</v>
      </c>
    </row>
    <row r="566" spans="1:5" x14ac:dyDescent="0.3">
      <c r="A566" t="s">
        <v>62</v>
      </c>
      <c r="B566" t="s">
        <v>70</v>
      </c>
      <c r="C566" t="s">
        <v>81</v>
      </c>
      <c r="D566" t="s">
        <v>35</v>
      </c>
      <c r="E566">
        <v>15.25149915657877</v>
      </c>
    </row>
    <row r="567" spans="1:5" x14ac:dyDescent="0.3">
      <c r="A567" t="s">
        <v>62</v>
      </c>
      <c r="B567" t="s">
        <v>71</v>
      </c>
      <c r="C567" t="s">
        <v>82</v>
      </c>
      <c r="D567" t="s">
        <v>35</v>
      </c>
      <c r="E567">
        <v>20.04536108421992</v>
      </c>
    </row>
    <row r="568" spans="1:5" x14ac:dyDescent="0.3">
      <c r="A568" t="s">
        <v>62</v>
      </c>
      <c r="B568" t="s">
        <v>71</v>
      </c>
      <c r="C568" t="s">
        <v>83</v>
      </c>
      <c r="D568" t="s">
        <v>35</v>
      </c>
      <c r="E568">
        <v>17.59937710752552</v>
      </c>
    </row>
    <row r="569" spans="1:5" x14ac:dyDescent="0.3">
      <c r="A569" t="s">
        <v>62</v>
      </c>
      <c r="B569" t="s">
        <v>71</v>
      </c>
      <c r="C569" t="s">
        <v>84</v>
      </c>
      <c r="D569" t="s">
        <v>35</v>
      </c>
      <c r="E569">
        <v>16.72170484925973</v>
      </c>
    </row>
    <row r="570" spans="1:5" x14ac:dyDescent="0.3">
      <c r="A570" t="s">
        <v>62</v>
      </c>
      <c r="B570" t="s">
        <v>71</v>
      </c>
      <c r="C570" t="s">
        <v>85</v>
      </c>
      <c r="D570" t="s">
        <v>35</v>
      </c>
      <c r="E570">
        <v>17.01562768479171</v>
      </c>
    </row>
    <row r="571" spans="1:5" x14ac:dyDescent="0.3">
      <c r="A571" t="s">
        <v>62</v>
      </c>
      <c r="B571" t="s">
        <v>72</v>
      </c>
      <c r="C571" t="s">
        <v>86</v>
      </c>
      <c r="D571" t="s">
        <v>35</v>
      </c>
      <c r="E571">
        <v>17.609238219169612</v>
      </c>
    </row>
    <row r="572" spans="1:5" x14ac:dyDescent="0.3">
      <c r="A572" t="s">
        <v>62</v>
      </c>
      <c r="B572" t="s">
        <v>72</v>
      </c>
      <c r="C572" t="s">
        <v>87</v>
      </c>
      <c r="D572" t="s">
        <v>35</v>
      </c>
      <c r="E572">
        <v>17.944043596078131</v>
      </c>
    </row>
    <row r="573" spans="1:5" x14ac:dyDescent="0.3">
      <c r="A573" t="s">
        <v>62</v>
      </c>
      <c r="B573" t="s">
        <v>73</v>
      </c>
      <c r="C573" t="s">
        <v>88</v>
      </c>
      <c r="D573" t="s">
        <v>35</v>
      </c>
      <c r="E573">
        <v>17.469247957686079</v>
      </c>
    </row>
    <row r="574" spans="1:5" x14ac:dyDescent="0.3">
      <c r="A574" t="s">
        <v>62</v>
      </c>
      <c r="B574" t="s">
        <v>73</v>
      </c>
      <c r="C574" t="s">
        <v>89</v>
      </c>
      <c r="D574" t="s">
        <v>35</v>
      </c>
      <c r="E574">
        <v>18.015766164738562</v>
      </c>
    </row>
    <row r="575" spans="1:5" x14ac:dyDescent="0.3">
      <c r="A575" t="s">
        <v>62</v>
      </c>
      <c r="B575" t="s">
        <v>74</v>
      </c>
      <c r="C575" t="s">
        <v>90</v>
      </c>
      <c r="D575" t="s">
        <v>35</v>
      </c>
      <c r="E575">
        <v>17.47688858770243</v>
      </c>
    </row>
    <row r="576" spans="1:5" x14ac:dyDescent="0.3">
      <c r="A576" t="s">
        <v>62</v>
      </c>
      <c r="B576" t="s">
        <v>74</v>
      </c>
      <c r="C576" t="s">
        <v>91</v>
      </c>
      <c r="D576" t="s">
        <v>35</v>
      </c>
      <c r="E576">
        <v>17.856183302758961</v>
      </c>
    </row>
    <row r="577" spans="1:5" x14ac:dyDescent="0.3">
      <c r="A577" t="s">
        <v>62</v>
      </c>
      <c r="B577" t="s">
        <v>75</v>
      </c>
      <c r="C577" t="s">
        <v>92</v>
      </c>
      <c r="D577" t="s">
        <v>35</v>
      </c>
      <c r="E577">
        <v>18.378161511946779</v>
      </c>
    </row>
    <row r="578" spans="1:5" x14ac:dyDescent="0.3">
      <c r="A578" t="s">
        <v>62</v>
      </c>
      <c r="B578" t="s">
        <v>75</v>
      </c>
      <c r="C578" t="s">
        <v>93</v>
      </c>
      <c r="D578" t="s">
        <v>35</v>
      </c>
      <c r="E578">
        <v>17.267240555194562</v>
      </c>
    </row>
    <row r="579" spans="1:5" x14ac:dyDescent="0.3">
      <c r="A579" t="s">
        <v>62</v>
      </c>
      <c r="B579" t="s">
        <v>75</v>
      </c>
      <c r="C579" t="s">
        <v>94</v>
      </c>
      <c r="D579" t="s">
        <v>35</v>
      </c>
      <c r="E579">
        <v>18.599858745347799</v>
      </c>
    </row>
    <row r="580" spans="1:5" x14ac:dyDescent="0.3">
      <c r="A580" t="s">
        <v>62</v>
      </c>
      <c r="B580" t="s">
        <v>75</v>
      </c>
      <c r="C580" t="s">
        <v>95</v>
      </c>
      <c r="D580" t="s">
        <v>35</v>
      </c>
      <c r="E580">
        <v>13.97357621812373</v>
      </c>
    </row>
    <row r="581" spans="1:5" x14ac:dyDescent="0.3">
      <c r="A581" t="s">
        <v>62</v>
      </c>
      <c r="B581" t="s">
        <v>76</v>
      </c>
      <c r="C581" t="s">
        <v>96</v>
      </c>
      <c r="D581" t="s">
        <v>35</v>
      </c>
      <c r="E581">
        <v>19.77115640002955</v>
      </c>
    </row>
    <row r="582" spans="1:5" x14ac:dyDescent="0.3">
      <c r="A582" t="s">
        <v>62</v>
      </c>
      <c r="B582" t="s">
        <v>76</v>
      </c>
      <c r="C582" t="s">
        <v>97</v>
      </c>
      <c r="D582" t="s">
        <v>35</v>
      </c>
      <c r="E582">
        <v>18.31199936986512</v>
      </c>
    </row>
    <row r="583" spans="1:5" x14ac:dyDescent="0.3">
      <c r="A583" t="s">
        <v>62</v>
      </c>
      <c r="B583" t="s">
        <v>76</v>
      </c>
      <c r="C583" t="s">
        <v>98</v>
      </c>
      <c r="D583" t="s">
        <v>35</v>
      </c>
      <c r="E583">
        <v>16.08556703395816</v>
      </c>
    </row>
    <row r="584" spans="1:5" x14ac:dyDescent="0.3">
      <c r="A584" t="s">
        <v>62</v>
      </c>
      <c r="B584" t="s">
        <v>0</v>
      </c>
      <c r="C584" t="s">
        <v>99</v>
      </c>
      <c r="D584" t="s">
        <v>35</v>
      </c>
      <c r="E584">
        <v>9.1341168484877713</v>
      </c>
    </row>
    <row r="585" spans="1:5" x14ac:dyDescent="0.3">
      <c r="A585" t="s">
        <v>62</v>
      </c>
      <c r="B585" t="s">
        <v>0</v>
      </c>
      <c r="C585" t="s">
        <v>100</v>
      </c>
      <c r="D585" t="s">
        <v>35</v>
      </c>
      <c r="E585">
        <v>28.287197231833911</v>
      </c>
    </row>
    <row r="586" spans="1:5" x14ac:dyDescent="0.3">
      <c r="A586" t="s">
        <v>62</v>
      </c>
      <c r="B586" t="s">
        <v>0</v>
      </c>
      <c r="C586" t="s">
        <v>101</v>
      </c>
      <c r="D586" t="s">
        <v>35</v>
      </c>
      <c r="E586">
        <v>10.806174957118349</v>
      </c>
    </row>
    <row r="587" spans="1:5" x14ac:dyDescent="0.3">
      <c r="A587" t="s">
        <v>62</v>
      </c>
      <c r="B587" t="s">
        <v>0</v>
      </c>
      <c r="C587" t="s">
        <v>102</v>
      </c>
      <c r="D587" t="s">
        <v>35</v>
      </c>
      <c r="E587">
        <v>8.3791157899883277</v>
      </c>
    </row>
    <row r="588" spans="1:5" x14ac:dyDescent="0.3">
      <c r="A588" t="s">
        <v>62</v>
      </c>
      <c r="B588" t="s">
        <v>0</v>
      </c>
      <c r="C588" t="s">
        <v>103</v>
      </c>
      <c r="D588" t="s">
        <v>35</v>
      </c>
      <c r="E588">
        <v>16.704449425367311</v>
      </c>
    </row>
    <row r="589" spans="1:5" x14ac:dyDescent="0.3">
      <c r="A589" t="s">
        <v>62</v>
      </c>
      <c r="B589" t="s">
        <v>0</v>
      </c>
      <c r="C589" t="s">
        <v>104</v>
      </c>
      <c r="D589" t="s">
        <v>35</v>
      </c>
      <c r="E589">
        <v>26.243099438332148</v>
      </c>
    </row>
    <row r="590" spans="1:5" x14ac:dyDescent="0.3">
      <c r="A590" t="s">
        <v>62</v>
      </c>
      <c r="B590" t="s">
        <v>0</v>
      </c>
      <c r="C590" t="s">
        <v>105</v>
      </c>
      <c r="D590" t="s">
        <v>35</v>
      </c>
      <c r="E590">
        <v>20.288159045097149</v>
      </c>
    </row>
    <row r="591" spans="1:5" x14ac:dyDescent="0.3">
      <c r="A591" t="s">
        <v>62</v>
      </c>
      <c r="B591" t="s">
        <v>0</v>
      </c>
      <c r="C591" t="s">
        <v>106</v>
      </c>
      <c r="D591" t="s">
        <v>35</v>
      </c>
      <c r="E591">
        <v>20.745131244707871</v>
      </c>
    </row>
    <row r="592" spans="1:5" x14ac:dyDescent="0.3">
      <c r="A592" t="s">
        <v>62</v>
      </c>
      <c r="B592" t="s">
        <v>0</v>
      </c>
      <c r="C592" t="s">
        <v>107</v>
      </c>
      <c r="D592" t="s">
        <v>35</v>
      </c>
      <c r="E592">
        <v>16.112587734319639</v>
      </c>
    </row>
    <row r="593" spans="1:5" x14ac:dyDescent="0.3">
      <c r="A593" t="s">
        <v>62</v>
      </c>
      <c r="B593" t="s">
        <v>0</v>
      </c>
      <c r="C593" t="s">
        <v>108</v>
      </c>
      <c r="D593" t="s">
        <v>35</v>
      </c>
      <c r="E593">
        <v>17.468364711256541</v>
      </c>
    </row>
    <row r="594" spans="1:5" x14ac:dyDescent="0.3">
      <c r="A594" t="s">
        <v>62</v>
      </c>
      <c r="B594" t="s">
        <v>0</v>
      </c>
      <c r="C594" t="s">
        <v>109</v>
      </c>
      <c r="D594" t="s">
        <v>35</v>
      </c>
      <c r="E594">
        <v>20.154373927958829</v>
      </c>
    </row>
    <row r="595" spans="1:5" x14ac:dyDescent="0.3">
      <c r="A595" t="s">
        <v>62</v>
      </c>
      <c r="B595" t="s">
        <v>0</v>
      </c>
      <c r="C595" t="s">
        <v>110</v>
      </c>
      <c r="D595" t="s">
        <v>35</v>
      </c>
      <c r="E595">
        <v>24.63714535382929</v>
      </c>
    </row>
    <row r="596" spans="1:5" x14ac:dyDescent="0.3">
      <c r="A596" t="s">
        <v>62</v>
      </c>
      <c r="B596" t="s">
        <v>0</v>
      </c>
      <c r="C596" t="s">
        <v>111</v>
      </c>
      <c r="D596" t="s">
        <v>35</v>
      </c>
      <c r="E596">
        <v>11.647138325177499</v>
      </c>
    </row>
    <row r="597" spans="1:5" x14ac:dyDescent="0.3">
      <c r="A597" t="s">
        <v>62</v>
      </c>
      <c r="B597" t="s">
        <v>0</v>
      </c>
      <c r="C597" t="s">
        <v>112</v>
      </c>
      <c r="D597" t="s">
        <v>35</v>
      </c>
      <c r="E597">
        <v>8.0449826989619382</v>
      </c>
    </row>
    <row r="598" spans="1:5" x14ac:dyDescent="0.3">
      <c r="A598" t="s">
        <v>62</v>
      </c>
      <c r="B598" t="s">
        <v>0</v>
      </c>
      <c r="C598" t="s">
        <v>113</v>
      </c>
      <c r="D598" t="s">
        <v>35</v>
      </c>
      <c r="E598">
        <v>5.516171909614533</v>
      </c>
    </row>
    <row r="599" spans="1:5" x14ac:dyDescent="0.3">
      <c r="A599" t="s">
        <v>62</v>
      </c>
      <c r="B599" t="s">
        <v>0</v>
      </c>
      <c r="C599" t="s">
        <v>114</v>
      </c>
      <c r="D599" t="s">
        <v>35</v>
      </c>
      <c r="E599">
        <v>20.592894178289029</v>
      </c>
    </row>
    <row r="600" spans="1:5" x14ac:dyDescent="0.3">
      <c r="A600" t="s">
        <v>62</v>
      </c>
      <c r="B600" t="s">
        <v>0</v>
      </c>
      <c r="C600" t="s">
        <v>115</v>
      </c>
      <c r="D600" t="s">
        <v>35</v>
      </c>
      <c r="E600">
        <v>19.346289752650179</v>
      </c>
    </row>
    <row r="601" spans="1:5" x14ac:dyDescent="0.3">
      <c r="A601" t="s">
        <v>62</v>
      </c>
      <c r="B601" t="s">
        <v>0</v>
      </c>
      <c r="C601" t="s">
        <v>116</v>
      </c>
      <c r="D601" t="s">
        <v>35</v>
      </c>
      <c r="E601">
        <v>38.350282186486183</v>
      </c>
    </row>
    <row r="602" spans="1:5" x14ac:dyDescent="0.3">
      <c r="A602" t="s">
        <v>62</v>
      </c>
      <c r="B602" t="s">
        <v>69</v>
      </c>
      <c r="C602" t="s">
        <v>69</v>
      </c>
      <c r="D602" t="s">
        <v>36</v>
      </c>
      <c r="E602">
        <v>4.2245730246106854</v>
      </c>
    </row>
    <row r="603" spans="1:5" x14ac:dyDescent="0.3">
      <c r="A603" t="s">
        <v>62</v>
      </c>
      <c r="B603" t="s">
        <v>70</v>
      </c>
      <c r="C603" t="s">
        <v>78</v>
      </c>
      <c r="D603" t="s">
        <v>36</v>
      </c>
      <c r="E603">
        <v>5.1522447800143079</v>
      </c>
    </row>
    <row r="604" spans="1:5" x14ac:dyDescent="0.3">
      <c r="A604" t="s">
        <v>62</v>
      </c>
      <c r="B604" t="s">
        <v>70</v>
      </c>
      <c r="C604" t="s">
        <v>79</v>
      </c>
      <c r="D604" t="s">
        <v>36</v>
      </c>
      <c r="E604">
        <v>4.4234955843200341</v>
      </c>
    </row>
    <row r="605" spans="1:5" x14ac:dyDescent="0.3">
      <c r="A605" t="s">
        <v>62</v>
      </c>
      <c r="B605" t="s">
        <v>70</v>
      </c>
      <c r="C605" t="s">
        <v>80</v>
      </c>
      <c r="D605" t="s">
        <v>36</v>
      </c>
      <c r="E605">
        <v>2.963559813064041</v>
      </c>
    </row>
    <row r="606" spans="1:5" x14ac:dyDescent="0.3">
      <c r="A606" t="s">
        <v>62</v>
      </c>
      <c r="B606" t="s">
        <v>70</v>
      </c>
      <c r="C606" t="s">
        <v>81</v>
      </c>
      <c r="D606" t="s">
        <v>36</v>
      </c>
      <c r="E606">
        <v>2.9643880371977489</v>
      </c>
    </row>
    <row r="607" spans="1:5" x14ac:dyDescent="0.3">
      <c r="A607" t="s">
        <v>62</v>
      </c>
      <c r="B607" t="s">
        <v>71</v>
      </c>
      <c r="C607" t="s">
        <v>82</v>
      </c>
      <c r="D607" t="s">
        <v>36</v>
      </c>
      <c r="E607">
        <v>4.4405720931315127</v>
      </c>
    </row>
    <row r="608" spans="1:5" x14ac:dyDescent="0.3">
      <c r="A608" t="s">
        <v>62</v>
      </c>
      <c r="B608" t="s">
        <v>71</v>
      </c>
      <c r="C608" t="s">
        <v>83</v>
      </c>
      <c r="D608" t="s">
        <v>36</v>
      </c>
      <c r="E608">
        <v>4.3858398463616579</v>
      </c>
    </row>
    <row r="609" spans="1:5" x14ac:dyDescent="0.3">
      <c r="A609" t="s">
        <v>62</v>
      </c>
      <c r="B609" t="s">
        <v>71</v>
      </c>
      <c r="C609" t="s">
        <v>84</v>
      </c>
      <c r="D609" t="s">
        <v>36</v>
      </c>
      <c r="E609">
        <v>3.9301722450025278</v>
      </c>
    </row>
    <row r="610" spans="1:5" x14ac:dyDescent="0.3">
      <c r="A610" t="s">
        <v>62</v>
      </c>
      <c r="B610" t="s">
        <v>71</v>
      </c>
      <c r="C610" t="s">
        <v>85</v>
      </c>
      <c r="D610" t="s">
        <v>36</v>
      </c>
      <c r="E610">
        <v>4.0690451022038294</v>
      </c>
    </row>
    <row r="611" spans="1:5" x14ac:dyDescent="0.3">
      <c r="A611" t="s">
        <v>62</v>
      </c>
      <c r="B611" t="s">
        <v>72</v>
      </c>
      <c r="C611" t="s">
        <v>86</v>
      </c>
      <c r="D611" t="s">
        <v>36</v>
      </c>
      <c r="E611">
        <v>4.0243530572477964</v>
      </c>
    </row>
    <row r="612" spans="1:5" x14ac:dyDescent="0.3">
      <c r="A612" t="s">
        <v>62</v>
      </c>
      <c r="B612" t="s">
        <v>72</v>
      </c>
      <c r="C612" t="s">
        <v>87</v>
      </c>
      <c r="D612" t="s">
        <v>36</v>
      </c>
      <c r="E612">
        <v>4.4276713320012293</v>
      </c>
    </row>
    <row r="613" spans="1:5" x14ac:dyDescent="0.3">
      <c r="A613" t="s">
        <v>62</v>
      </c>
      <c r="B613" t="s">
        <v>73</v>
      </c>
      <c r="C613" t="s">
        <v>88</v>
      </c>
      <c r="D613" t="s">
        <v>36</v>
      </c>
      <c r="E613">
        <v>4.6860351203373813</v>
      </c>
    </row>
    <row r="614" spans="1:5" x14ac:dyDescent="0.3">
      <c r="A614" t="s">
        <v>62</v>
      </c>
      <c r="B614" t="s">
        <v>73</v>
      </c>
      <c r="C614" t="s">
        <v>89</v>
      </c>
      <c r="D614" t="s">
        <v>36</v>
      </c>
      <c r="E614">
        <v>3.8561812016890289</v>
      </c>
    </row>
    <row r="615" spans="1:5" x14ac:dyDescent="0.3">
      <c r="A615" t="s">
        <v>62</v>
      </c>
      <c r="B615" t="s">
        <v>74</v>
      </c>
      <c r="C615" t="s">
        <v>90</v>
      </c>
      <c r="D615" t="s">
        <v>36</v>
      </c>
      <c r="E615">
        <v>4.4939948680724564</v>
      </c>
    </row>
    <row r="616" spans="1:5" x14ac:dyDescent="0.3">
      <c r="A616" t="s">
        <v>62</v>
      </c>
      <c r="B616" t="s">
        <v>74</v>
      </c>
      <c r="C616" t="s">
        <v>91</v>
      </c>
      <c r="D616" t="s">
        <v>36</v>
      </c>
      <c r="E616">
        <v>4.06030050091604</v>
      </c>
    </row>
    <row r="617" spans="1:5" x14ac:dyDescent="0.3">
      <c r="A617" t="s">
        <v>62</v>
      </c>
      <c r="B617" t="s">
        <v>75</v>
      </c>
      <c r="C617" t="s">
        <v>92</v>
      </c>
      <c r="D617" t="s">
        <v>36</v>
      </c>
      <c r="E617">
        <v>4.0350346825338734</v>
      </c>
    </row>
    <row r="618" spans="1:5" x14ac:dyDescent="0.3">
      <c r="A618" t="s">
        <v>62</v>
      </c>
      <c r="B618" t="s">
        <v>75</v>
      </c>
      <c r="C618" t="s">
        <v>93</v>
      </c>
      <c r="D618" t="s">
        <v>36</v>
      </c>
      <c r="E618">
        <v>4.442218498497617</v>
      </c>
    </row>
    <row r="619" spans="1:5" x14ac:dyDescent="0.3">
      <c r="A619" t="s">
        <v>62</v>
      </c>
      <c r="B619" t="s">
        <v>75</v>
      </c>
      <c r="C619" t="s">
        <v>94</v>
      </c>
      <c r="D619" t="s">
        <v>36</v>
      </c>
      <c r="E619">
        <v>4.5212918869375978</v>
      </c>
    </row>
    <row r="620" spans="1:5" x14ac:dyDescent="0.3">
      <c r="A620" t="s">
        <v>62</v>
      </c>
      <c r="B620" t="s">
        <v>75</v>
      </c>
      <c r="C620" t="s">
        <v>95</v>
      </c>
      <c r="D620" t="s">
        <v>36</v>
      </c>
      <c r="E620">
        <v>3.8189182840018452</v>
      </c>
    </row>
    <row r="621" spans="1:5" x14ac:dyDescent="0.3">
      <c r="A621" t="s">
        <v>62</v>
      </c>
      <c r="B621" t="s">
        <v>76</v>
      </c>
      <c r="C621" t="s">
        <v>96</v>
      </c>
      <c r="D621" t="s">
        <v>36</v>
      </c>
      <c r="E621">
        <v>3.9070404012560611</v>
      </c>
    </row>
    <row r="622" spans="1:5" x14ac:dyDescent="0.3">
      <c r="A622" t="s">
        <v>62</v>
      </c>
      <c r="B622" t="s">
        <v>76</v>
      </c>
      <c r="C622" t="s">
        <v>97</v>
      </c>
      <c r="D622" t="s">
        <v>36</v>
      </c>
      <c r="E622">
        <v>5.0905617544833861</v>
      </c>
    </row>
    <row r="623" spans="1:5" x14ac:dyDescent="0.3">
      <c r="A623" t="s">
        <v>62</v>
      </c>
      <c r="B623" t="s">
        <v>76</v>
      </c>
      <c r="C623" t="s">
        <v>98</v>
      </c>
      <c r="D623" t="s">
        <v>36</v>
      </c>
      <c r="E623">
        <v>3.7767820316060701</v>
      </c>
    </row>
    <row r="624" spans="1:5" x14ac:dyDescent="0.3">
      <c r="A624" t="s">
        <v>62</v>
      </c>
      <c r="B624" t="s">
        <v>0</v>
      </c>
      <c r="C624" t="s">
        <v>99</v>
      </c>
      <c r="D624" t="s">
        <v>36</v>
      </c>
      <c r="E624">
        <v>1.2030641941612359</v>
      </c>
    </row>
    <row r="625" spans="1:5" x14ac:dyDescent="0.3">
      <c r="A625" t="s">
        <v>62</v>
      </c>
      <c r="B625" t="s">
        <v>0</v>
      </c>
      <c r="C625" t="s">
        <v>100</v>
      </c>
      <c r="D625" t="s">
        <v>36</v>
      </c>
      <c r="E625">
        <v>3.114186851211072</v>
      </c>
    </row>
    <row r="626" spans="1:5" x14ac:dyDescent="0.3">
      <c r="A626" t="s">
        <v>62</v>
      </c>
      <c r="B626" t="s">
        <v>0</v>
      </c>
      <c r="C626" t="s">
        <v>101</v>
      </c>
      <c r="D626" t="s">
        <v>36</v>
      </c>
      <c r="E626">
        <v>2.9159519725557459</v>
      </c>
    </row>
    <row r="627" spans="1:5" x14ac:dyDescent="0.3">
      <c r="A627" t="s">
        <v>62</v>
      </c>
      <c r="B627" t="s">
        <v>0</v>
      </c>
      <c r="C627" t="s">
        <v>102</v>
      </c>
      <c r="D627" t="s">
        <v>36</v>
      </c>
      <c r="E627">
        <v>1.3905732741598129</v>
      </c>
    </row>
    <row r="628" spans="1:5" x14ac:dyDescent="0.3">
      <c r="A628" t="s">
        <v>62</v>
      </c>
      <c r="B628" t="s">
        <v>0</v>
      </c>
      <c r="C628" t="s">
        <v>103</v>
      </c>
      <c r="D628" t="s">
        <v>36</v>
      </c>
      <c r="E628">
        <v>1.9170601218669361</v>
      </c>
    </row>
    <row r="629" spans="1:5" x14ac:dyDescent="0.3">
      <c r="A629" t="s">
        <v>62</v>
      </c>
      <c r="B629" t="s">
        <v>0</v>
      </c>
      <c r="C629" t="s">
        <v>104</v>
      </c>
      <c r="D629" t="s">
        <v>36</v>
      </c>
      <c r="E629">
        <v>3.3291990328564198</v>
      </c>
    </row>
    <row r="630" spans="1:5" x14ac:dyDescent="0.3">
      <c r="A630" t="s">
        <v>62</v>
      </c>
      <c r="B630" t="s">
        <v>0</v>
      </c>
      <c r="C630" t="s">
        <v>105</v>
      </c>
      <c r="D630" t="s">
        <v>36</v>
      </c>
      <c r="E630">
        <v>5.3820621007324201</v>
      </c>
    </row>
    <row r="631" spans="1:5" x14ac:dyDescent="0.3">
      <c r="A631" t="s">
        <v>62</v>
      </c>
      <c r="B631" t="s">
        <v>0</v>
      </c>
      <c r="C631" t="s">
        <v>106</v>
      </c>
      <c r="D631" t="s">
        <v>36</v>
      </c>
      <c r="E631">
        <v>1.862828111769687</v>
      </c>
    </row>
    <row r="632" spans="1:5" x14ac:dyDescent="0.3">
      <c r="A632" t="s">
        <v>62</v>
      </c>
      <c r="B632" t="s">
        <v>0</v>
      </c>
      <c r="C632" t="s">
        <v>107</v>
      </c>
      <c r="D632" t="s">
        <v>36</v>
      </c>
      <c r="E632">
        <v>8.325400353896697</v>
      </c>
    </row>
    <row r="633" spans="1:5" x14ac:dyDescent="0.3">
      <c r="A633" t="s">
        <v>62</v>
      </c>
      <c r="B633" t="s">
        <v>0</v>
      </c>
      <c r="C633" t="s">
        <v>108</v>
      </c>
      <c r="D633" t="s">
        <v>36</v>
      </c>
      <c r="E633">
        <v>3.6789765554247622</v>
      </c>
    </row>
    <row r="634" spans="1:5" x14ac:dyDescent="0.3">
      <c r="A634" t="s">
        <v>62</v>
      </c>
      <c r="B634" t="s">
        <v>0</v>
      </c>
      <c r="C634" t="s">
        <v>109</v>
      </c>
      <c r="D634" t="s">
        <v>36</v>
      </c>
      <c r="E634">
        <v>4.8885077186963981</v>
      </c>
    </row>
    <row r="635" spans="1:5" x14ac:dyDescent="0.3">
      <c r="A635" t="s">
        <v>62</v>
      </c>
      <c r="B635" t="s">
        <v>0</v>
      </c>
      <c r="C635" t="s">
        <v>110</v>
      </c>
      <c r="D635" t="s">
        <v>36</v>
      </c>
      <c r="E635">
        <v>5.7858002941306026</v>
      </c>
    </row>
    <row r="636" spans="1:5" x14ac:dyDescent="0.3">
      <c r="A636" t="s">
        <v>62</v>
      </c>
      <c r="B636" t="s">
        <v>0</v>
      </c>
      <c r="C636" t="s">
        <v>111</v>
      </c>
      <c r="D636" t="s">
        <v>36</v>
      </c>
      <c r="E636">
        <v>6.6396059274101482</v>
      </c>
    </row>
    <row r="637" spans="1:5" x14ac:dyDescent="0.3">
      <c r="A637" t="s">
        <v>62</v>
      </c>
      <c r="B637" t="s">
        <v>0</v>
      </c>
      <c r="C637" t="s">
        <v>112</v>
      </c>
      <c r="D637" t="s">
        <v>36</v>
      </c>
      <c r="E637">
        <v>0.69204152249134954</v>
      </c>
    </row>
    <row r="638" spans="1:5" x14ac:dyDescent="0.3">
      <c r="A638" t="s">
        <v>62</v>
      </c>
      <c r="B638" t="s">
        <v>0</v>
      </c>
      <c r="C638" t="s">
        <v>113</v>
      </c>
      <c r="D638" t="s">
        <v>36</v>
      </c>
      <c r="E638">
        <v>0.70890562693841386</v>
      </c>
    </row>
    <row r="639" spans="1:5" x14ac:dyDescent="0.3">
      <c r="A639" t="s">
        <v>62</v>
      </c>
      <c r="B639" t="s">
        <v>0</v>
      </c>
      <c r="C639" t="s">
        <v>114</v>
      </c>
      <c r="D639" t="s">
        <v>36</v>
      </c>
      <c r="E639">
        <v>6.448665947704364</v>
      </c>
    </row>
    <row r="640" spans="1:5" x14ac:dyDescent="0.3">
      <c r="A640" t="s">
        <v>62</v>
      </c>
      <c r="B640" t="s">
        <v>0</v>
      </c>
      <c r="C640" t="s">
        <v>115</v>
      </c>
      <c r="D640" t="s">
        <v>36</v>
      </c>
      <c r="E640">
        <v>1.148409893992933</v>
      </c>
    </row>
    <row r="641" spans="1:5" x14ac:dyDescent="0.3">
      <c r="A641" t="s">
        <v>62</v>
      </c>
      <c r="B641" t="s">
        <v>0</v>
      </c>
      <c r="C641" t="s">
        <v>116</v>
      </c>
      <c r="D641" t="s">
        <v>36</v>
      </c>
      <c r="E641">
        <v>18.552829966180159</v>
      </c>
    </row>
    <row r="642" spans="1:5" x14ac:dyDescent="0.3">
      <c r="A642" t="s">
        <v>63</v>
      </c>
      <c r="B642" t="s">
        <v>69</v>
      </c>
      <c r="C642" t="s">
        <v>69</v>
      </c>
      <c r="D642" t="s">
        <v>33</v>
      </c>
      <c r="E642">
        <v>24.52594367386229</v>
      </c>
    </row>
    <row r="643" spans="1:5" x14ac:dyDescent="0.3">
      <c r="A643" t="s">
        <v>63</v>
      </c>
      <c r="B643" t="s">
        <v>70</v>
      </c>
      <c r="C643" t="s">
        <v>78</v>
      </c>
      <c r="D643" t="s">
        <v>33</v>
      </c>
      <c r="E643">
        <v>25.073559554773929</v>
      </c>
    </row>
    <row r="644" spans="1:5" x14ac:dyDescent="0.3">
      <c r="A644" t="s">
        <v>63</v>
      </c>
      <c r="B644" t="s">
        <v>70</v>
      </c>
      <c r="C644" t="s">
        <v>79</v>
      </c>
      <c r="D644" t="s">
        <v>33</v>
      </c>
      <c r="E644">
        <v>24.321455085582489</v>
      </c>
    </row>
    <row r="645" spans="1:5" x14ac:dyDescent="0.3">
      <c r="A645" t="s">
        <v>63</v>
      </c>
      <c r="B645" t="s">
        <v>70</v>
      </c>
      <c r="C645" t="s">
        <v>80</v>
      </c>
      <c r="D645" t="s">
        <v>33</v>
      </c>
      <c r="E645">
        <v>23.209347639963038</v>
      </c>
    </row>
    <row r="646" spans="1:5" x14ac:dyDescent="0.3">
      <c r="A646" t="s">
        <v>63</v>
      </c>
      <c r="B646" t="s">
        <v>70</v>
      </c>
      <c r="C646" t="s">
        <v>81</v>
      </c>
      <c r="D646" t="s">
        <v>33</v>
      </c>
      <c r="E646">
        <v>26.991612344687841</v>
      </c>
    </row>
    <row r="647" spans="1:5" x14ac:dyDescent="0.3">
      <c r="A647" t="s">
        <v>63</v>
      </c>
      <c r="B647" t="s">
        <v>71</v>
      </c>
      <c r="C647" t="s">
        <v>82</v>
      </c>
      <c r="D647" t="s">
        <v>33</v>
      </c>
      <c r="E647">
        <v>21.978388012816598</v>
      </c>
    </row>
    <row r="648" spans="1:5" x14ac:dyDescent="0.3">
      <c r="A648" t="s">
        <v>63</v>
      </c>
      <c r="B648" t="s">
        <v>71</v>
      </c>
      <c r="C648" t="s">
        <v>83</v>
      </c>
      <c r="D648" t="s">
        <v>33</v>
      </c>
      <c r="E648">
        <v>24.901425938699369</v>
      </c>
    </row>
    <row r="649" spans="1:5" x14ac:dyDescent="0.3">
      <c r="A649" t="s">
        <v>63</v>
      </c>
      <c r="B649" t="s">
        <v>71</v>
      </c>
      <c r="C649" t="s">
        <v>84</v>
      </c>
      <c r="D649" t="s">
        <v>33</v>
      </c>
      <c r="E649">
        <v>25.381871733233151</v>
      </c>
    </row>
    <row r="650" spans="1:5" x14ac:dyDescent="0.3">
      <c r="A650" t="s">
        <v>63</v>
      </c>
      <c r="B650" t="s">
        <v>71</v>
      </c>
      <c r="C650" t="s">
        <v>85</v>
      </c>
      <c r="D650" t="s">
        <v>33</v>
      </c>
      <c r="E650">
        <v>25.525049840357859</v>
      </c>
    </row>
    <row r="651" spans="1:5" x14ac:dyDescent="0.3">
      <c r="A651" t="s">
        <v>63</v>
      </c>
      <c r="B651" t="s">
        <v>72</v>
      </c>
      <c r="C651" t="s">
        <v>86</v>
      </c>
      <c r="D651" t="s">
        <v>33</v>
      </c>
      <c r="E651">
        <v>24.566329649774669</v>
      </c>
    </row>
    <row r="652" spans="1:5" x14ac:dyDescent="0.3">
      <c r="A652" t="s">
        <v>63</v>
      </c>
      <c r="B652" t="s">
        <v>72</v>
      </c>
      <c r="C652" t="s">
        <v>87</v>
      </c>
      <c r="D652" t="s">
        <v>33</v>
      </c>
      <c r="E652">
        <v>24.483931121113368</v>
      </c>
    </row>
    <row r="653" spans="1:5" x14ac:dyDescent="0.3">
      <c r="A653" t="s">
        <v>63</v>
      </c>
      <c r="B653" t="s">
        <v>73</v>
      </c>
      <c r="C653" t="s">
        <v>88</v>
      </c>
      <c r="D653" t="s">
        <v>33</v>
      </c>
      <c r="E653">
        <v>23.77593311792846</v>
      </c>
    </row>
    <row r="654" spans="1:5" x14ac:dyDescent="0.3">
      <c r="A654" t="s">
        <v>63</v>
      </c>
      <c r="B654" t="s">
        <v>73</v>
      </c>
      <c r="C654" t="s">
        <v>89</v>
      </c>
      <c r="D654" t="s">
        <v>33</v>
      </c>
      <c r="E654">
        <v>25.099564445548921</v>
      </c>
    </row>
    <row r="655" spans="1:5" x14ac:dyDescent="0.3">
      <c r="A655" t="s">
        <v>63</v>
      </c>
      <c r="B655" t="s">
        <v>74</v>
      </c>
      <c r="C655" t="s">
        <v>90</v>
      </c>
      <c r="D655" t="s">
        <v>33</v>
      </c>
      <c r="E655">
        <v>24.813906576773039</v>
      </c>
    </row>
    <row r="656" spans="1:5" x14ac:dyDescent="0.3">
      <c r="A656" t="s">
        <v>63</v>
      </c>
      <c r="B656" t="s">
        <v>74</v>
      </c>
      <c r="C656" t="s">
        <v>91</v>
      </c>
      <c r="D656" t="s">
        <v>33</v>
      </c>
      <c r="E656">
        <v>24.452242282587481</v>
      </c>
    </row>
    <row r="657" spans="1:5" x14ac:dyDescent="0.3">
      <c r="A657" t="s">
        <v>63</v>
      </c>
      <c r="B657" t="s">
        <v>75</v>
      </c>
      <c r="C657" t="s">
        <v>92</v>
      </c>
      <c r="D657" t="s">
        <v>33</v>
      </c>
      <c r="E657">
        <v>24.695944910214269</v>
      </c>
    </row>
    <row r="658" spans="1:5" x14ac:dyDescent="0.3">
      <c r="A658" t="s">
        <v>63</v>
      </c>
      <c r="B658" t="s">
        <v>75</v>
      </c>
      <c r="C658" t="s">
        <v>93</v>
      </c>
      <c r="D658" t="s">
        <v>33</v>
      </c>
      <c r="E658">
        <v>23.84825333715386</v>
      </c>
    </row>
    <row r="659" spans="1:5" x14ac:dyDescent="0.3">
      <c r="A659" t="s">
        <v>63</v>
      </c>
      <c r="B659" t="s">
        <v>75</v>
      </c>
      <c r="C659" t="s">
        <v>94</v>
      </c>
      <c r="D659" t="s">
        <v>33</v>
      </c>
      <c r="E659">
        <v>24.921689754676031</v>
      </c>
    </row>
    <row r="660" spans="1:5" x14ac:dyDescent="0.3">
      <c r="A660" t="s">
        <v>63</v>
      </c>
      <c r="B660" t="s">
        <v>75</v>
      </c>
      <c r="C660" t="s">
        <v>95</v>
      </c>
      <c r="D660" t="s">
        <v>33</v>
      </c>
      <c r="E660">
        <v>25.330368530558388</v>
      </c>
    </row>
    <row r="661" spans="1:5" x14ac:dyDescent="0.3">
      <c r="A661" t="s">
        <v>63</v>
      </c>
      <c r="B661" t="s">
        <v>76</v>
      </c>
      <c r="C661" t="s">
        <v>96</v>
      </c>
      <c r="D661" t="s">
        <v>33</v>
      </c>
      <c r="E661">
        <v>23.383187557426439</v>
      </c>
    </row>
    <row r="662" spans="1:5" x14ac:dyDescent="0.3">
      <c r="A662" t="s">
        <v>63</v>
      </c>
      <c r="B662" t="s">
        <v>76</v>
      </c>
      <c r="C662" t="s">
        <v>97</v>
      </c>
      <c r="D662" t="s">
        <v>33</v>
      </c>
      <c r="E662">
        <v>24.615110334609231</v>
      </c>
    </row>
    <row r="663" spans="1:5" x14ac:dyDescent="0.3">
      <c r="A663" t="s">
        <v>63</v>
      </c>
      <c r="B663" t="s">
        <v>76</v>
      </c>
      <c r="C663" t="s">
        <v>98</v>
      </c>
      <c r="D663" t="s">
        <v>33</v>
      </c>
      <c r="E663">
        <v>24.976084143854159</v>
      </c>
    </row>
    <row r="664" spans="1:5" x14ac:dyDescent="0.3">
      <c r="A664" t="s">
        <v>63</v>
      </c>
      <c r="B664" t="s">
        <v>0</v>
      </c>
      <c r="C664" t="s">
        <v>99</v>
      </c>
      <c r="D664" t="s">
        <v>33</v>
      </c>
      <c r="E664">
        <v>44.270186776704669</v>
      </c>
    </row>
    <row r="665" spans="1:5" x14ac:dyDescent="0.3">
      <c r="A665" t="s">
        <v>63</v>
      </c>
      <c r="B665" t="s">
        <v>0</v>
      </c>
      <c r="C665" t="s">
        <v>100</v>
      </c>
      <c r="D665" t="s">
        <v>33</v>
      </c>
      <c r="E665">
        <v>14.81481481481481</v>
      </c>
    </row>
    <row r="666" spans="1:5" x14ac:dyDescent="0.3">
      <c r="A666" t="s">
        <v>63</v>
      </c>
      <c r="B666" t="s">
        <v>0</v>
      </c>
      <c r="C666" t="s">
        <v>101</v>
      </c>
      <c r="D666" t="s">
        <v>33</v>
      </c>
      <c r="E666">
        <v>24.97868712702472</v>
      </c>
    </row>
    <row r="667" spans="1:5" x14ac:dyDescent="0.3">
      <c r="A667" t="s">
        <v>63</v>
      </c>
      <c r="B667" t="s">
        <v>0</v>
      </c>
      <c r="C667" t="s">
        <v>102</v>
      </c>
      <c r="D667" t="s">
        <v>33</v>
      </c>
      <c r="E667">
        <v>27.68609785537631</v>
      </c>
    </row>
    <row r="668" spans="1:5" x14ac:dyDescent="0.3">
      <c r="A668" t="s">
        <v>63</v>
      </c>
      <c r="B668" t="s">
        <v>0</v>
      </c>
      <c r="C668" t="s">
        <v>103</v>
      </c>
      <c r="D668" t="s">
        <v>33</v>
      </c>
      <c r="E668">
        <v>27.576450972044839</v>
      </c>
    </row>
    <row r="669" spans="1:5" x14ac:dyDescent="0.3">
      <c r="A669" t="s">
        <v>63</v>
      </c>
      <c r="B669" t="s">
        <v>0</v>
      </c>
      <c r="C669" t="s">
        <v>104</v>
      </c>
      <c r="D669" t="s">
        <v>33</v>
      </c>
      <c r="E669">
        <v>17.23044397463002</v>
      </c>
    </row>
    <row r="670" spans="1:5" x14ac:dyDescent="0.3">
      <c r="A670" t="s">
        <v>63</v>
      </c>
      <c r="B670" t="s">
        <v>0</v>
      </c>
      <c r="C670" t="s">
        <v>105</v>
      </c>
      <c r="D670" t="s">
        <v>33</v>
      </c>
      <c r="E670">
        <v>22.72379012155886</v>
      </c>
    </row>
    <row r="671" spans="1:5" x14ac:dyDescent="0.3">
      <c r="A671" t="s">
        <v>63</v>
      </c>
      <c r="B671" t="s">
        <v>0</v>
      </c>
      <c r="C671" t="s">
        <v>106</v>
      </c>
      <c r="D671" t="s">
        <v>33</v>
      </c>
      <c r="E671">
        <v>18.460192475940509</v>
      </c>
    </row>
    <row r="672" spans="1:5" x14ac:dyDescent="0.3">
      <c r="A672" t="s">
        <v>63</v>
      </c>
      <c r="B672" t="s">
        <v>0</v>
      </c>
      <c r="C672" t="s">
        <v>107</v>
      </c>
      <c r="D672" t="s">
        <v>33</v>
      </c>
      <c r="E672">
        <v>27.67926188768331</v>
      </c>
    </row>
    <row r="673" spans="1:5" x14ac:dyDescent="0.3">
      <c r="A673" t="s">
        <v>63</v>
      </c>
      <c r="B673" t="s">
        <v>0</v>
      </c>
      <c r="C673" t="s">
        <v>108</v>
      </c>
      <c r="D673" t="s">
        <v>33</v>
      </c>
      <c r="E673">
        <v>29.239230772154251</v>
      </c>
    </row>
    <row r="674" spans="1:5" x14ac:dyDescent="0.3">
      <c r="A674" t="s">
        <v>63</v>
      </c>
      <c r="B674" t="s">
        <v>0</v>
      </c>
      <c r="C674" t="s">
        <v>109</v>
      </c>
      <c r="D674" t="s">
        <v>33</v>
      </c>
      <c r="E674">
        <v>32.130584192439862</v>
      </c>
    </row>
    <row r="675" spans="1:5" x14ac:dyDescent="0.3">
      <c r="A675" t="s">
        <v>63</v>
      </c>
      <c r="B675" t="s">
        <v>0</v>
      </c>
      <c r="C675" t="s">
        <v>110</v>
      </c>
      <c r="D675" t="s">
        <v>33</v>
      </c>
      <c r="E675">
        <v>25.75282572215005</v>
      </c>
    </row>
    <row r="676" spans="1:5" x14ac:dyDescent="0.3">
      <c r="A676" t="s">
        <v>63</v>
      </c>
      <c r="B676" t="s">
        <v>0</v>
      </c>
      <c r="C676" t="s">
        <v>111</v>
      </c>
      <c r="D676" t="s">
        <v>33</v>
      </c>
      <c r="E676">
        <v>18.124341412012651</v>
      </c>
    </row>
    <row r="677" spans="1:5" x14ac:dyDescent="0.3">
      <c r="A677" t="s">
        <v>63</v>
      </c>
      <c r="B677" t="s">
        <v>0</v>
      </c>
      <c r="C677" t="s">
        <v>112</v>
      </c>
      <c r="D677" t="s">
        <v>33</v>
      </c>
      <c r="E677">
        <v>21.32743362831858</v>
      </c>
    </row>
    <row r="678" spans="1:5" x14ac:dyDescent="0.3">
      <c r="A678" t="s">
        <v>63</v>
      </c>
      <c r="B678" t="s">
        <v>0</v>
      </c>
      <c r="C678" t="s">
        <v>113</v>
      </c>
      <c r="D678" t="s">
        <v>33</v>
      </c>
      <c r="E678">
        <v>30.227518959913329</v>
      </c>
    </row>
    <row r="679" spans="1:5" x14ac:dyDescent="0.3">
      <c r="A679" t="s">
        <v>63</v>
      </c>
      <c r="B679" t="s">
        <v>0</v>
      </c>
      <c r="C679" t="s">
        <v>114</v>
      </c>
      <c r="D679" t="s">
        <v>33</v>
      </c>
      <c r="E679">
        <v>25.865209753906441</v>
      </c>
    </row>
    <row r="680" spans="1:5" x14ac:dyDescent="0.3">
      <c r="A680" t="s">
        <v>63</v>
      </c>
      <c r="B680" t="s">
        <v>0</v>
      </c>
      <c r="C680" t="s">
        <v>115</v>
      </c>
      <c r="D680" t="s">
        <v>33</v>
      </c>
      <c r="E680">
        <v>9.5067264573991039</v>
      </c>
    </row>
    <row r="681" spans="1:5" x14ac:dyDescent="0.3">
      <c r="A681" t="s">
        <v>63</v>
      </c>
      <c r="B681" t="s">
        <v>0</v>
      </c>
      <c r="C681" t="s">
        <v>116</v>
      </c>
      <c r="D681" t="s">
        <v>33</v>
      </c>
      <c r="E681">
        <v>22.067686316567869</v>
      </c>
    </row>
    <row r="682" spans="1:5" x14ac:dyDescent="0.3">
      <c r="A682" t="s">
        <v>63</v>
      </c>
      <c r="B682" t="s">
        <v>69</v>
      </c>
      <c r="C682" t="s">
        <v>69</v>
      </c>
      <c r="D682" t="s">
        <v>34</v>
      </c>
      <c r="E682">
        <v>53.515881939191701</v>
      </c>
    </row>
    <row r="683" spans="1:5" x14ac:dyDescent="0.3">
      <c r="A683" t="s">
        <v>63</v>
      </c>
      <c r="B683" t="s">
        <v>70</v>
      </c>
      <c r="C683" t="s">
        <v>78</v>
      </c>
      <c r="D683" t="s">
        <v>34</v>
      </c>
      <c r="E683">
        <v>51.700451928874081</v>
      </c>
    </row>
    <row r="684" spans="1:5" x14ac:dyDescent="0.3">
      <c r="A684" t="s">
        <v>63</v>
      </c>
      <c r="B684" t="s">
        <v>70</v>
      </c>
      <c r="C684" t="s">
        <v>79</v>
      </c>
      <c r="D684" t="s">
        <v>34</v>
      </c>
      <c r="E684">
        <v>53.729915950293687</v>
      </c>
    </row>
    <row r="685" spans="1:5" x14ac:dyDescent="0.3">
      <c r="A685" t="s">
        <v>63</v>
      </c>
      <c r="B685" t="s">
        <v>70</v>
      </c>
      <c r="C685" t="s">
        <v>80</v>
      </c>
      <c r="D685" t="s">
        <v>34</v>
      </c>
      <c r="E685">
        <v>54.901621400602643</v>
      </c>
    </row>
    <row r="686" spans="1:5" x14ac:dyDescent="0.3">
      <c r="A686" t="s">
        <v>63</v>
      </c>
      <c r="B686" t="s">
        <v>70</v>
      </c>
      <c r="C686" t="s">
        <v>81</v>
      </c>
      <c r="D686" t="s">
        <v>34</v>
      </c>
      <c r="E686">
        <v>55.554742244001837</v>
      </c>
    </row>
    <row r="687" spans="1:5" x14ac:dyDescent="0.3">
      <c r="A687" t="s">
        <v>63</v>
      </c>
      <c r="B687" t="s">
        <v>71</v>
      </c>
      <c r="C687" t="s">
        <v>82</v>
      </c>
      <c r="D687" t="s">
        <v>34</v>
      </c>
      <c r="E687">
        <v>53.638646839470482</v>
      </c>
    </row>
    <row r="688" spans="1:5" x14ac:dyDescent="0.3">
      <c r="A688" t="s">
        <v>63</v>
      </c>
      <c r="B688" t="s">
        <v>71</v>
      </c>
      <c r="C688" t="s">
        <v>83</v>
      </c>
      <c r="D688" t="s">
        <v>34</v>
      </c>
      <c r="E688">
        <v>53.296545769007317</v>
      </c>
    </row>
    <row r="689" spans="1:5" x14ac:dyDescent="0.3">
      <c r="A689" t="s">
        <v>63</v>
      </c>
      <c r="B689" t="s">
        <v>71</v>
      </c>
      <c r="C689" t="s">
        <v>84</v>
      </c>
      <c r="D689" t="s">
        <v>34</v>
      </c>
      <c r="E689">
        <v>53.731784603330468</v>
      </c>
    </row>
    <row r="690" spans="1:5" x14ac:dyDescent="0.3">
      <c r="A690" t="s">
        <v>63</v>
      </c>
      <c r="B690" t="s">
        <v>71</v>
      </c>
      <c r="C690" t="s">
        <v>85</v>
      </c>
      <c r="D690" t="s">
        <v>34</v>
      </c>
      <c r="E690">
        <v>53.403161246313132</v>
      </c>
    </row>
    <row r="691" spans="1:5" x14ac:dyDescent="0.3">
      <c r="A691" t="s">
        <v>63</v>
      </c>
      <c r="B691" t="s">
        <v>72</v>
      </c>
      <c r="C691" t="s">
        <v>86</v>
      </c>
      <c r="D691" t="s">
        <v>34</v>
      </c>
      <c r="E691">
        <v>54.261716079583103</v>
      </c>
    </row>
    <row r="692" spans="1:5" x14ac:dyDescent="0.3">
      <c r="A692" t="s">
        <v>63</v>
      </c>
      <c r="B692" t="s">
        <v>72</v>
      </c>
      <c r="C692" t="s">
        <v>87</v>
      </c>
      <c r="D692" t="s">
        <v>34</v>
      </c>
      <c r="E692">
        <v>52.740008744171732</v>
      </c>
    </row>
    <row r="693" spans="1:5" x14ac:dyDescent="0.3">
      <c r="A693" t="s">
        <v>63</v>
      </c>
      <c r="B693" t="s">
        <v>73</v>
      </c>
      <c r="C693" t="s">
        <v>88</v>
      </c>
      <c r="D693" t="s">
        <v>34</v>
      </c>
      <c r="E693">
        <v>53.283004670963052</v>
      </c>
    </row>
    <row r="694" spans="1:5" x14ac:dyDescent="0.3">
      <c r="A694" t="s">
        <v>63</v>
      </c>
      <c r="B694" t="s">
        <v>73</v>
      </c>
      <c r="C694" t="s">
        <v>89</v>
      </c>
      <c r="D694" t="s">
        <v>34</v>
      </c>
      <c r="E694">
        <v>53.699504934344198</v>
      </c>
    </row>
    <row r="695" spans="1:5" x14ac:dyDescent="0.3">
      <c r="A695" t="s">
        <v>63</v>
      </c>
      <c r="B695" t="s">
        <v>74</v>
      </c>
      <c r="C695" t="s">
        <v>90</v>
      </c>
      <c r="D695" t="s">
        <v>34</v>
      </c>
      <c r="E695">
        <v>53.316837276765142</v>
      </c>
    </row>
    <row r="696" spans="1:5" x14ac:dyDescent="0.3">
      <c r="A696" t="s">
        <v>63</v>
      </c>
      <c r="B696" t="s">
        <v>74</v>
      </c>
      <c r="C696" t="s">
        <v>91</v>
      </c>
      <c r="D696" t="s">
        <v>34</v>
      </c>
      <c r="E696">
        <v>53.593988362111389</v>
      </c>
    </row>
    <row r="697" spans="1:5" x14ac:dyDescent="0.3">
      <c r="A697" t="s">
        <v>63</v>
      </c>
      <c r="B697" t="s">
        <v>75</v>
      </c>
      <c r="C697" t="s">
        <v>92</v>
      </c>
      <c r="D697" t="s">
        <v>34</v>
      </c>
      <c r="E697">
        <v>53.248541207231128</v>
      </c>
    </row>
    <row r="698" spans="1:5" x14ac:dyDescent="0.3">
      <c r="A698" t="s">
        <v>63</v>
      </c>
      <c r="B698" t="s">
        <v>75</v>
      </c>
      <c r="C698" t="s">
        <v>93</v>
      </c>
      <c r="D698" t="s">
        <v>34</v>
      </c>
      <c r="E698">
        <v>53.5942681292467</v>
      </c>
    </row>
    <row r="699" spans="1:5" x14ac:dyDescent="0.3">
      <c r="A699" t="s">
        <v>63</v>
      </c>
      <c r="B699" t="s">
        <v>75</v>
      </c>
      <c r="C699" t="s">
        <v>94</v>
      </c>
      <c r="D699" t="s">
        <v>34</v>
      </c>
      <c r="E699">
        <v>53.005703520089561</v>
      </c>
    </row>
    <row r="700" spans="1:5" x14ac:dyDescent="0.3">
      <c r="A700" t="s">
        <v>63</v>
      </c>
      <c r="B700" t="s">
        <v>75</v>
      </c>
      <c r="C700" t="s">
        <v>95</v>
      </c>
      <c r="D700" t="s">
        <v>34</v>
      </c>
      <c r="E700">
        <v>54.002621793242753</v>
      </c>
    </row>
    <row r="701" spans="1:5" x14ac:dyDescent="0.3">
      <c r="A701" t="s">
        <v>63</v>
      </c>
      <c r="B701" t="s">
        <v>76</v>
      </c>
      <c r="C701" t="s">
        <v>96</v>
      </c>
      <c r="D701" t="s">
        <v>34</v>
      </c>
      <c r="E701">
        <v>54.055652587593507</v>
      </c>
    </row>
    <row r="702" spans="1:5" x14ac:dyDescent="0.3">
      <c r="A702" t="s">
        <v>63</v>
      </c>
      <c r="B702" t="s">
        <v>76</v>
      </c>
      <c r="C702" t="s">
        <v>97</v>
      </c>
      <c r="D702" t="s">
        <v>34</v>
      </c>
      <c r="E702">
        <v>52.414511166516633</v>
      </c>
    </row>
    <row r="703" spans="1:5" x14ac:dyDescent="0.3">
      <c r="A703" t="s">
        <v>63</v>
      </c>
      <c r="B703" t="s">
        <v>76</v>
      </c>
      <c r="C703" t="s">
        <v>98</v>
      </c>
      <c r="D703" t="s">
        <v>34</v>
      </c>
      <c r="E703">
        <v>53.948799211498802</v>
      </c>
    </row>
    <row r="704" spans="1:5" x14ac:dyDescent="0.3">
      <c r="A704" t="s">
        <v>63</v>
      </c>
      <c r="B704" t="s">
        <v>0</v>
      </c>
      <c r="C704" t="s">
        <v>99</v>
      </c>
      <c r="D704" t="s">
        <v>34</v>
      </c>
      <c r="E704">
        <v>51.276045092449849</v>
      </c>
    </row>
    <row r="705" spans="1:5" x14ac:dyDescent="0.3">
      <c r="A705" t="s">
        <v>63</v>
      </c>
      <c r="B705" t="s">
        <v>0</v>
      </c>
      <c r="C705" t="s">
        <v>100</v>
      </c>
      <c r="D705" t="s">
        <v>34</v>
      </c>
      <c r="E705">
        <v>48.853615520282183</v>
      </c>
    </row>
    <row r="706" spans="1:5" x14ac:dyDescent="0.3">
      <c r="A706" t="s">
        <v>63</v>
      </c>
      <c r="B706" t="s">
        <v>0</v>
      </c>
      <c r="C706" t="s">
        <v>101</v>
      </c>
      <c r="D706" t="s">
        <v>34</v>
      </c>
      <c r="E706">
        <v>58.397271952259167</v>
      </c>
    </row>
    <row r="707" spans="1:5" x14ac:dyDescent="0.3">
      <c r="A707" t="s">
        <v>63</v>
      </c>
      <c r="B707" t="s">
        <v>0</v>
      </c>
      <c r="C707" t="s">
        <v>102</v>
      </c>
      <c r="D707" t="s">
        <v>34</v>
      </c>
      <c r="E707">
        <v>57.388825851331852</v>
      </c>
    </row>
    <row r="708" spans="1:5" x14ac:dyDescent="0.3">
      <c r="A708" t="s">
        <v>63</v>
      </c>
      <c r="B708" t="s">
        <v>0</v>
      </c>
      <c r="C708" t="s">
        <v>103</v>
      </c>
      <c r="D708" t="s">
        <v>34</v>
      </c>
      <c r="E708">
        <v>53.262026394210302</v>
      </c>
    </row>
    <row r="709" spans="1:5" x14ac:dyDescent="0.3">
      <c r="A709" t="s">
        <v>63</v>
      </c>
      <c r="B709" t="s">
        <v>0</v>
      </c>
      <c r="C709" t="s">
        <v>104</v>
      </c>
      <c r="D709" t="s">
        <v>34</v>
      </c>
      <c r="E709">
        <v>52.325581395348841</v>
      </c>
    </row>
    <row r="710" spans="1:5" x14ac:dyDescent="0.3">
      <c r="A710" t="s">
        <v>63</v>
      </c>
      <c r="B710" t="s">
        <v>0</v>
      </c>
      <c r="C710" t="s">
        <v>105</v>
      </c>
      <c r="D710" t="s">
        <v>34</v>
      </c>
      <c r="E710">
        <v>48.830338485941851</v>
      </c>
    </row>
    <row r="711" spans="1:5" x14ac:dyDescent="0.3">
      <c r="A711" t="s">
        <v>63</v>
      </c>
      <c r="B711" t="s">
        <v>0</v>
      </c>
      <c r="C711" t="s">
        <v>106</v>
      </c>
      <c r="D711" t="s">
        <v>34</v>
      </c>
      <c r="E711">
        <v>52.580927384076993</v>
      </c>
    </row>
    <row r="712" spans="1:5" x14ac:dyDescent="0.3">
      <c r="A712" t="s">
        <v>63</v>
      </c>
      <c r="B712" t="s">
        <v>0</v>
      </c>
      <c r="C712" t="s">
        <v>107</v>
      </c>
      <c r="D712" t="s">
        <v>34</v>
      </c>
      <c r="E712">
        <v>57.538012360000288</v>
      </c>
    </row>
    <row r="713" spans="1:5" x14ac:dyDescent="0.3">
      <c r="A713" t="s">
        <v>63</v>
      </c>
      <c r="B713" t="s">
        <v>0</v>
      </c>
      <c r="C713" t="s">
        <v>108</v>
      </c>
      <c r="D713" t="s">
        <v>34</v>
      </c>
      <c r="E713">
        <v>50.151586410439521</v>
      </c>
    </row>
    <row r="714" spans="1:5" x14ac:dyDescent="0.3">
      <c r="A714" t="s">
        <v>63</v>
      </c>
      <c r="B714" t="s">
        <v>0</v>
      </c>
      <c r="C714" t="s">
        <v>109</v>
      </c>
      <c r="D714" t="s">
        <v>34</v>
      </c>
      <c r="E714">
        <v>52.233676975945023</v>
      </c>
    </row>
    <row r="715" spans="1:5" x14ac:dyDescent="0.3">
      <c r="A715" t="s">
        <v>63</v>
      </c>
      <c r="B715" t="s">
        <v>0</v>
      </c>
      <c r="C715" t="s">
        <v>110</v>
      </c>
      <c r="D715" t="s">
        <v>34</v>
      </c>
      <c r="E715">
        <v>54.959077646349208</v>
      </c>
    </row>
    <row r="716" spans="1:5" x14ac:dyDescent="0.3">
      <c r="A716" t="s">
        <v>63</v>
      </c>
      <c r="B716" t="s">
        <v>0</v>
      </c>
      <c r="C716" t="s">
        <v>111</v>
      </c>
      <c r="D716" t="s">
        <v>34</v>
      </c>
      <c r="E716">
        <v>54.899894625922023</v>
      </c>
    </row>
    <row r="717" spans="1:5" x14ac:dyDescent="0.3">
      <c r="A717" t="s">
        <v>63</v>
      </c>
      <c r="B717" t="s">
        <v>0</v>
      </c>
      <c r="C717" t="s">
        <v>112</v>
      </c>
      <c r="D717" t="s">
        <v>34</v>
      </c>
      <c r="E717">
        <v>67.522123893805315</v>
      </c>
    </row>
    <row r="718" spans="1:5" x14ac:dyDescent="0.3">
      <c r="A718" t="s">
        <v>63</v>
      </c>
      <c r="B718" t="s">
        <v>0</v>
      </c>
      <c r="C718" t="s">
        <v>113</v>
      </c>
      <c r="D718" t="s">
        <v>34</v>
      </c>
      <c r="E718">
        <v>52.416034669555799</v>
      </c>
    </row>
    <row r="719" spans="1:5" x14ac:dyDescent="0.3">
      <c r="A719" t="s">
        <v>63</v>
      </c>
      <c r="B719" t="s">
        <v>0</v>
      </c>
      <c r="C719" t="s">
        <v>114</v>
      </c>
      <c r="D719" t="s">
        <v>34</v>
      </c>
      <c r="E719">
        <v>48.043369337551823</v>
      </c>
    </row>
    <row r="720" spans="1:5" x14ac:dyDescent="0.3">
      <c r="A720" t="s">
        <v>63</v>
      </c>
      <c r="B720" t="s">
        <v>0</v>
      </c>
      <c r="C720" t="s">
        <v>115</v>
      </c>
      <c r="D720" t="s">
        <v>34</v>
      </c>
      <c r="E720">
        <v>56.681614349775792</v>
      </c>
    </row>
    <row r="721" spans="1:5" x14ac:dyDescent="0.3">
      <c r="A721" t="s">
        <v>63</v>
      </c>
      <c r="B721" t="s">
        <v>0</v>
      </c>
      <c r="C721" t="s">
        <v>116</v>
      </c>
      <c r="D721" t="s">
        <v>34</v>
      </c>
      <c r="E721">
        <v>44.297832306411451</v>
      </c>
    </row>
    <row r="722" spans="1:5" x14ac:dyDescent="0.3">
      <c r="A722" t="s">
        <v>63</v>
      </c>
      <c r="B722" t="s">
        <v>69</v>
      </c>
      <c r="C722" t="s">
        <v>69</v>
      </c>
      <c r="D722" t="s">
        <v>35</v>
      </c>
      <c r="E722">
        <v>19.426942207076578</v>
      </c>
    </row>
    <row r="723" spans="1:5" x14ac:dyDescent="0.3">
      <c r="A723" t="s">
        <v>63</v>
      </c>
      <c r="B723" t="s">
        <v>70</v>
      </c>
      <c r="C723" t="s">
        <v>78</v>
      </c>
      <c r="D723" t="s">
        <v>35</v>
      </c>
      <c r="E723">
        <v>20.237245639260429</v>
      </c>
    </row>
    <row r="724" spans="1:5" x14ac:dyDescent="0.3">
      <c r="A724" t="s">
        <v>63</v>
      </c>
      <c r="B724" t="s">
        <v>70</v>
      </c>
      <c r="C724" t="s">
        <v>79</v>
      </c>
      <c r="D724" t="s">
        <v>35</v>
      </c>
      <c r="E724">
        <v>19.528188573316271</v>
      </c>
    </row>
    <row r="725" spans="1:5" x14ac:dyDescent="0.3">
      <c r="A725" t="s">
        <v>63</v>
      </c>
      <c r="B725" t="s">
        <v>70</v>
      </c>
      <c r="C725" t="s">
        <v>80</v>
      </c>
      <c r="D725" t="s">
        <v>35</v>
      </c>
      <c r="E725">
        <v>19.777192032718919</v>
      </c>
    </row>
    <row r="726" spans="1:5" x14ac:dyDescent="0.3">
      <c r="A726" t="s">
        <v>63</v>
      </c>
      <c r="B726" t="s">
        <v>70</v>
      </c>
      <c r="C726" t="s">
        <v>81</v>
      </c>
      <c r="D726" t="s">
        <v>35</v>
      </c>
      <c r="E726">
        <v>14.940175524889611</v>
      </c>
    </row>
    <row r="727" spans="1:5" x14ac:dyDescent="0.3">
      <c r="A727" t="s">
        <v>63</v>
      </c>
      <c r="B727" t="s">
        <v>71</v>
      </c>
      <c r="C727" t="s">
        <v>82</v>
      </c>
      <c r="D727" t="s">
        <v>35</v>
      </c>
      <c r="E727">
        <v>21.721824659541031</v>
      </c>
    </row>
    <row r="728" spans="1:5" x14ac:dyDescent="0.3">
      <c r="A728" t="s">
        <v>63</v>
      </c>
      <c r="B728" t="s">
        <v>71</v>
      </c>
      <c r="C728" t="s">
        <v>83</v>
      </c>
      <c r="D728" t="s">
        <v>35</v>
      </c>
      <c r="E728">
        <v>19.31478232677145</v>
      </c>
    </row>
    <row r="729" spans="1:5" x14ac:dyDescent="0.3">
      <c r="A729" t="s">
        <v>63</v>
      </c>
      <c r="B729" t="s">
        <v>71</v>
      </c>
      <c r="C729" t="s">
        <v>84</v>
      </c>
      <c r="D729" t="s">
        <v>35</v>
      </c>
      <c r="E729">
        <v>18.278543990009592</v>
      </c>
    </row>
    <row r="730" spans="1:5" x14ac:dyDescent="0.3">
      <c r="A730" t="s">
        <v>63</v>
      </c>
      <c r="B730" t="s">
        <v>71</v>
      </c>
      <c r="C730" t="s">
        <v>85</v>
      </c>
      <c r="D730" t="s">
        <v>35</v>
      </c>
      <c r="E730">
        <v>18.90924551700931</v>
      </c>
    </row>
    <row r="731" spans="1:5" x14ac:dyDescent="0.3">
      <c r="A731" t="s">
        <v>63</v>
      </c>
      <c r="B731" t="s">
        <v>72</v>
      </c>
      <c r="C731" t="s">
        <v>86</v>
      </c>
      <c r="D731" t="s">
        <v>35</v>
      </c>
      <c r="E731">
        <v>18.725563629987121</v>
      </c>
    </row>
    <row r="732" spans="1:5" x14ac:dyDescent="0.3">
      <c r="A732" t="s">
        <v>63</v>
      </c>
      <c r="B732" t="s">
        <v>72</v>
      </c>
      <c r="C732" t="s">
        <v>87</v>
      </c>
      <c r="D732" t="s">
        <v>35</v>
      </c>
      <c r="E732">
        <v>20.156569356136011</v>
      </c>
    </row>
    <row r="733" spans="1:5" x14ac:dyDescent="0.3">
      <c r="A733" t="s">
        <v>63</v>
      </c>
      <c r="B733" t="s">
        <v>73</v>
      </c>
      <c r="C733" t="s">
        <v>88</v>
      </c>
      <c r="D733" t="s">
        <v>35</v>
      </c>
      <c r="E733">
        <v>20.169317335290081</v>
      </c>
    </row>
    <row r="734" spans="1:5" x14ac:dyDescent="0.3">
      <c r="A734" t="s">
        <v>63</v>
      </c>
      <c r="B734" t="s">
        <v>73</v>
      </c>
      <c r="C734" t="s">
        <v>89</v>
      </c>
      <c r="D734" t="s">
        <v>35</v>
      </c>
      <c r="E734">
        <v>18.846046515500351</v>
      </c>
    </row>
    <row r="735" spans="1:5" x14ac:dyDescent="0.3">
      <c r="A735" t="s">
        <v>63</v>
      </c>
      <c r="B735" t="s">
        <v>74</v>
      </c>
      <c r="C735" t="s">
        <v>90</v>
      </c>
      <c r="D735" t="s">
        <v>35</v>
      </c>
      <c r="E735">
        <v>19.238352202382831</v>
      </c>
    </row>
    <row r="736" spans="1:5" x14ac:dyDescent="0.3">
      <c r="A736" t="s">
        <v>63</v>
      </c>
      <c r="B736" t="s">
        <v>74</v>
      </c>
      <c r="C736" t="s">
        <v>91</v>
      </c>
      <c r="D736" t="s">
        <v>35</v>
      </c>
      <c r="E736">
        <v>19.483049526810291</v>
      </c>
    </row>
    <row r="737" spans="1:5" x14ac:dyDescent="0.3">
      <c r="A737" t="s">
        <v>63</v>
      </c>
      <c r="B737" t="s">
        <v>75</v>
      </c>
      <c r="C737" t="s">
        <v>92</v>
      </c>
      <c r="D737" t="s">
        <v>35</v>
      </c>
      <c r="E737">
        <v>19.994717690633021</v>
      </c>
    </row>
    <row r="738" spans="1:5" x14ac:dyDescent="0.3">
      <c r="A738" t="s">
        <v>63</v>
      </c>
      <c r="B738" t="s">
        <v>75</v>
      </c>
      <c r="C738" t="s">
        <v>93</v>
      </c>
      <c r="D738" t="s">
        <v>35</v>
      </c>
      <c r="E738">
        <v>19.945401687374389</v>
      </c>
    </row>
    <row r="739" spans="1:5" x14ac:dyDescent="0.3">
      <c r="A739" t="s">
        <v>63</v>
      </c>
      <c r="B739" t="s">
        <v>75</v>
      </c>
      <c r="C739" t="s">
        <v>94</v>
      </c>
      <c r="D739" t="s">
        <v>35</v>
      </c>
      <c r="E739">
        <v>19.427029223993319</v>
      </c>
    </row>
    <row r="740" spans="1:5" x14ac:dyDescent="0.3">
      <c r="A740" t="s">
        <v>63</v>
      </c>
      <c r="B740" t="s">
        <v>75</v>
      </c>
      <c r="C740" t="s">
        <v>95</v>
      </c>
      <c r="D740" t="s">
        <v>35</v>
      </c>
      <c r="E740">
        <v>17.391594221882301</v>
      </c>
    </row>
    <row r="741" spans="1:5" x14ac:dyDescent="0.3">
      <c r="A741" t="s">
        <v>63</v>
      </c>
      <c r="B741" t="s">
        <v>76</v>
      </c>
      <c r="C741" t="s">
        <v>96</v>
      </c>
      <c r="D741" t="s">
        <v>35</v>
      </c>
      <c r="E741">
        <v>20.384933765678809</v>
      </c>
    </row>
    <row r="742" spans="1:5" x14ac:dyDescent="0.3">
      <c r="A742" t="s">
        <v>63</v>
      </c>
      <c r="B742" t="s">
        <v>76</v>
      </c>
      <c r="C742" t="s">
        <v>97</v>
      </c>
      <c r="D742" t="s">
        <v>35</v>
      </c>
      <c r="E742">
        <v>19.813466058630389</v>
      </c>
    </row>
    <row r="743" spans="1:5" x14ac:dyDescent="0.3">
      <c r="A743" t="s">
        <v>63</v>
      </c>
      <c r="B743" t="s">
        <v>76</v>
      </c>
      <c r="C743" t="s">
        <v>98</v>
      </c>
      <c r="D743" t="s">
        <v>35</v>
      </c>
      <c r="E743">
        <v>18.76846954900239</v>
      </c>
    </row>
    <row r="744" spans="1:5" x14ac:dyDescent="0.3">
      <c r="A744" t="s">
        <v>63</v>
      </c>
      <c r="B744" t="s">
        <v>0</v>
      </c>
      <c r="C744" t="s">
        <v>99</v>
      </c>
      <c r="D744" t="s">
        <v>35</v>
      </c>
      <c r="E744">
        <v>4.0825586810429808</v>
      </c>
    </row>
    <row r="745" spans="1:5" x14ac:dyDescent="0.3">
      <c r="A745" t="s">
        <v>63</v>
      </c>
      <c r="B745" t="s">
        <v>0</v>
      </c>
      <c r="C745" t="s">
        <v>100</v>
      </c>
      <c r="D745" t="s">
        <v>35</v>
      </c>
      <c r="E745">
        <v>33.950617283950621</v>
      </c>
    </row>
    <row r="746" spans="1:5" x14ac:dyDescent="0.3">
      <c r="A746" t="s">
        <v>63</v>
      </c>
      <c r="B746" t="s">
        <v>0</v>
      </c>
      <c r="C746" t="s">
        <v>101</v>
      </c>
      <c r="D746" t="s">
        <v>35</v>
      </c>
      <c r="E746">
        <v>15.34526854219949</v>
      </c>
    </row>
    <row r="747" spans="1:5" x14ac:dyDescent="0.3">
      <c r="A747" t="s">
        <v>63</v>
      </c>
      <c r="B747" t="s">
        <v>0</v>
      </c>
      <c r="C747" t="s">
        <v>102</v>
      </c>
      <c r="D747" t="s">
        <v>35</v>
      </c>
      <c r="E747">
        <v>13.02721583277164</v>
      </c>
    </row>
    <row r="748" spans="1:5" x14ac:dyDescent="0.3">
      <c r="A748" t="s">
        <v>63</v>
      </c>
      <c r="B748" t="s">
        <v>0</v>
      </c>
      <c r="C748" t="s">
        <v>103</v>
      </c>
      <c r="D748" t="s">
        <v>35</v>
      </c>
      <c r="E748">
        <v>16.747374769405418</v>
      </c>
    </row>
    <row r="749" spans="1:5" x14ac:dyDescent="0.3">
      <c r="A749" t="s">
        <v>63</v>
      </c>
      <c r="B749" t="s">
        <v>0</v>
      </c>
      <c r="C749" t="s">
        <v>104</v>
      </c>
      <c r="D749" t="s">
        <v>35</v>
      </c>
      <c r="E749">
        <v>25.898520084566599</v>
      </c>
    </row>
    <row r="750" spans="1:5" x14ac:dyDescent="0.3">
      <c r="A750" t="s">
        <v>63</v>
      </c>
      <c r="B750" t="s">
        <v>0</v>
      </c>
      <c r="C750" t="s">
        <v>105</v>
      </c>
      <c r="D750" t="s">
        <v>35</v>
      </c>
      <c r="E750">
        <v>22.886934739607391</v>
      </c>
    </row>
    <row r="751" spans="1:5" x14ac:dyDescent="0.3">
      <c r="A751" t="s">
        <v>63</v>
      </c>
      <c r="B751" t="s">
        <v>0</v>
      </c>
      <c r="C751" t="s">
        <v>106</v>
      </c>
      <c r="D751" t="s">
        <v>35</v>
      </c>
      <c r="E751">
        <v>26.42169728783902</v>
      </c>
    </row>
    <row r="752" spans="1:5" x14ac:dyDescent="0.3">
      <c r="A752" t="s">
        <v>63</v>
      </c>
      <c r="B752" t="s">
        <v>0</v>
      </c>
      <c r="C752" t="s">
        <v>107</v>
      </c>
      <c r="D752" t="s">
        <v>35</v>
      </c>
      <c r="E752">
        <v>12.87469635635656</v>
      </c>
    </row>
    <row r="753" spans="1:5" x14ac:dyDescent="0.3">
      <c r="A753" t="s">
        <v>63</v>
      </c>
      <c r="B753" t="s">
        <v>0</v>
      </c>
      <c r="C753" t="s">
        <v>108</v>
      </c>
      <c r="D753" t="s">
        <v>35</v>
      </c>
      <c r="E753">
        <v>16.96281558840116</v>
      </c>
    </row>
    <row r="754" spans="1:5" x14ac:dyDescent="0.3">
      <c r="A754" t="s">
        <v>63</v>
      </c>
      <c r="B754" t="s">
        <v>0</v>
      </c>
      <c r="C754" t="s">
        <v>109</v>
      </c>
      <c r="D754" t="s">
        <v>35</v>
      </c>
      <c r="E754">
        <v>13.4020618556701</v>
      </c>
    </row>
    <row r="755" spans="1:5" x14ac:dyDescent="0.3">
      <c r="A755" t="s">
        <v>63</v>
      </c>
      <c r="B755" t="s">
        <v>0</v>
      </c>
      <c r="C755" t="s">
        <v>110</v>
      </c>
      <c r="D755" t="s">
        <v>35</v>
      </c>
      <c r="E755">
        <v>16.544610823706751</v>
      </c>
    </row>
    <row r="756" spans="1:5" x14ac:dyDescent="0.3">
      <c r="A756" t="s">
        <v>63</v>
      </c>
      <c r="B756" t="s">
        <v>0</v>
      </c>
      <c r="C756" t="s">
        <v>111</v>
      </c>
      <c r="D756" t="s">
        <v>35</v>
      </c>
      <c r="E756">
        <v>22.866174920969438</v>
      </c>
    </row>
    <row r="757" spans="1:5" x14ac:dyDescent="0.3">
      <c r="A757" t="s">
        <v>63</v>
      </c>
      <c r="B757" t="s">
        <v>0</v>
      </c>
      <c r="C757" t="s">
        <v>112</v>
      </c>
      <c r="D757" t="s">
        <v>35</v>
      </c>
      <c r="E757">
        <v>10.61946902654867</v>
      </c>
    </row>
    <row r="758" spans="1:5" x14ac:dyDescent="0.3">
      <c r="A758" t="s">
        <v>63</v>
      </c>
      <c r="B758" t="s">
        <v>0</v>
      </c>
      <c r="C758" t="s">
        <v>113</v>
      </c>
      <c r="D758" t="s">
        <v>35</v>
      </c>
      <c r="E758">
        <v>15.29794149512459</v>
      </c>
    </row>
    <row r="759" spans="1:5" x14ac:dyDescent="0.3">
      <c r="A759" t="s">
        <v>63</v>
      </c>
      <c r="B759" t="s">
        <v>0</v>
      </c>
      <c r="C759" t="s">
        <v>114</v>
      </c>
      <c r="D759" t="s">
        <v>35</v>
      </c>
      <c r="E759">
        <v>22.533108713109939</v>
      </c>
    </row>
    <row r="760" spans="1:5" x14ac:dyDescent="0.3">
      <c r="A760" t="s">
        <v>63</v>
      </c>
      <c r="B760" t="s">
        <v>0</v>
      </c>
      <c r="C760" t="s">
        <v>115</v>
      </c>
      <c r="D760" t="s">
        <v>35</v>
      </c>
      <c r="E760">
        <v>32.197309417040358</v>
      </c>
    </row>
    <row r="761" spans="1:5" x14ac:dyDescent="0.3">
      <c r="A761" t="s">
        <v>63</v>
      </c>
      <c r="B761" t="s">
        <v>0</v>
      </c>
      <c r="C761" t="s">
        <v>116</v>
      </c>
      <c r="D761" t="s">
        <v>35</v>
      </c>
      <c r="E761">
        <v>29.966974817931671</v>
      </c>
    </row>
    <row r="762" spans="1:5" x14ac:dyDescent="0.3">
      <c r="A762" t="s">
        <v>63</v>
      </c>
      <c r="B762" t="s">
        <v>69</v>
      </c>
      <c r="C762" t="s">
        <v>69</v>
      </c>
      <c r="D762" t="s">
        <v>36</v>
      </c>
      <c r="E762">
        <v>2.5312321798694208</v>
      </c>
    </row>
    <row r="763" spans="1:5" x14ac:dyDescent="0.3">
      <c r="A763" t="s">
        <v>63</v>
      </c>
      <c r="B763" t="s">
        <v>70</v>
      </c>
      <c r="C763" t="s">
        <v>78</v>
      </c>
      <c r="D763" t="s">
        <v>36</v>
      </c>
      <c r="E763">
        <v>2.9887428770915552</v>
      </c>
    </row>
    <row r="764" spans="1:5" x14ac:dyDescent="0.3">
      <c r="A764" t="s">
        <v>63</v>
      </c>
      <c r="B764" t="s">
        <v>70</v>
      </c>
      <c r="C764" t="s">
        <v>79</v>
      </c>
      <c r="D764" t="s">
        <v>36</v>
      </c>
      <c r="E764">
        <v>2.4204403908075438</v>
      </c>
    </row>
    <row r="765" spans="1:5" x14ac:dyDescent="0.3">
      <c r="A765" t="s">
        <v>63</v>
      </c>
      <c r="B765" t="s">
        <v>70</v>
      </c>
      <c r="C765" t="s">
        <v>80</v>
      </c>
      <c r="D765" t="s">
        <v>36</v>
      </c>
      <c r="E765">
        <v>2.1118389267154032</v>
      </c>
    </row>
    <row r="766" spans="1:5" x14ac:dyDescent="0.3">
      <c r="A766" t="s">
        <v>63</v>
      </c>
      <c r="B766" t="s">
        <v>70</v>
      </c>
      <c r="C766" t="s">
        <v>81</v>
      </c>
      <c r="D766" t="s">
        <v>36</v>
      </c>
      <c r="E766">
        <v>2.5134698864206722</v>
      </c>
    </row>
    <row r="767" spans="1:5" x14ac:dyDescent="0.3">
      <c r="A767" t="s">
        <v>63</v>
      </c>
      <c r="B767" t="s">
        <v>71</v>
      </c>
      <c r="C767" t="s">
        <v>82</v>
      </c>
      <c r="D767" t="s">
        <v>36</v>
      </c>
      <c r="E767">
        <v>2.6611404881718981</v>
      </c>
    </row>
    <row r="768" spans="1:5" x14ac:dyDescent="0.3">
      <c r="A768" t="s">
        <v>63</v>
      </c>
      <c r="B768" t="s">
        <v>71</v>
      </c>
      <c r="C768" t="s">
        <v>83</v>
      </c>
      <c r="D768" t="s">
        <v>36</v>
      </c>
      <c r="E768">
        <v>2.4872459655218568</v>
      </c>
    </row>
    <row r="769" spans="1:5" x14ac:dyDescent="0.3">
      <c r="A769" t="s">
        <v>63</v>
      </c>
      <c r="B769" t="s">
        <v>71</v>
      </c>
      <c r="C769" t="s">
        <v>84</v>
      </c>
      <c r="D769" t="s">
        <v>36</v>
      </c>
      <c r="E769">
        <v>2.607799673426793</v>
      </c>
    </row>
    <row r="770" spans="1:5" x14ac:dyDescent="0.3">
      <c r="A770" t="s">
        <v>63</v>
      </c>
      <c r="B770" t="s">
        <v>71</v>
      </c>
      <c r="C770" t="s">
        <v>85</v>
      </c>
      <c r="D770" t="s">
        <v>36</v>
      </c>
      <c r="E770">
        <v>2.1625433963197001</v>
      </c>
    </row>
    <row r="771" spans="1:5" x14ac:dyDescent="0.3">
      <c r="A771" t="s">
        <v>63</v>
      </c>
      <c r="B771" t="s">
        <v>72</v>
      </c>
      <c r="C771" t="s">
        <v>86</v>
      </c>
      <c r="D771" t="s">
        <v>36</v>
      </c>
      <c r="E771">
        <v>2.446390640655105</v>
      </c>
    </row>
    <row r="772" spans="1:5" x14ac:dyDescent="0.3">
      <c r="A772" t="s">
        <v>63</v>
      </c>
      <c r="B772" t="s">
        <v>72</v>
      </c>
      <c r="C772" t="s">
        <v>87</v>
      </c>
      <c r="D772" t="s">
        <v>36</v>
      </c>
      <c r="E772">
        <v>2.6194907785788861</v>
      </c>
    </row>
    <row r="773" spans="1:5" x14ac:dyDescent="0.3">
      <c r="A773" t="s">
        <v>63</v>
      </c>
      <c r="B773" t="s">
        <v>73</v>
      </c>
      <c r="C773" t="s">
        <v>88</v>
      </c>
      <c r="D773" t="s">
        <v>36</v>
      </c>
      <c r="E773">
        <v>2.7717448758184049</v>
      </c>
    </row>
    <row r="774" spans="1:5" x14ac:dyDescent="0.3">
      <c r="A774" t="s">
        <v>63</v>
      </c>
      <c r="B774" t="s">
        <v>73</v>
      </c>
      <c r="C774" t="s">
        <v>89</v>
      </c>
      <c r="D774" t="s">
        <v>36</v>
      </c>
      <c r="E774">
        <v>2.3548841046065361</v>
      </c>
    </row>
    <row r="775" spans="1:5" x14ac:dyDescent="0.3">
      <c r="A775" t="s">
        <v>63</v>
      </c>
      <c r="B775" t="s">
        <v>74</v>
      </c>
      <c r="C775" t="s">
        <v>90</v>
      </c>
      <c r="D775" t="s">
        <v>36</v>
      </c>
      <c r="E775">
        <v>2.6309039440790052</v>
      </c>
    </row>
    <row r="776" spans="1:5" x14ac:dyDescent="0.3">
      <c r="A776" t="s">
        <v>63</v>
      </c>
      <c r="B776" t="s">
        <v>74</v>
      </c>
      <c r="C776" t="s">
        <v>91</v>
      </c>
      <c r="D776" t="s">
        <v>36</v>
      </c>
      <c r="E776">
        <v>2.470719828490815</v>
      </c>
    </row>
    <row r="777" spans="1:5" x14ac:dyDescent="0.3">
      <c r="A777" t="s">
        <v>63</v>
      </c>
      <c r="B777" t="s">
        <v>75</v>
      </c>
      <c r="C777" t="s">
        <v>92</v>
      </c>
      <c r="D777" t="s">
        <v>36</v>
      </c>
      <c r="E777">
        <v>2.0607961919215909</v>
      </c>
    </row>
    <row r="778" spans="1:5" x14ac:dyDescent="0.3">
      <c r="A778" t="s">
        <v>63</v>
      </c>
      <c r="B778" t="s">
        <v>75</v>
      </c>
      <c r="C778" t="s">
        <v>93</v>
      </c>
      <c r="D778" t="s">
        <v>36</v>
      </c>
      <c r="E778">
        <v>2.612076846225047</v>
      </c>
    </row>
    <row r="779" spans="1:5" x14ac:dyDescent="0.3">
      <c r="A779" t="s">
        <v>63</v>
      </c>
      <c r="B779" t="s">
        <v>75</v>
      </c>
      <c r="C779" t="s">
        <v>94</v>
      </c>
      <c r="D779" t="s">
        <v>36</v>
      </c>
      <c r="E779">
        <v>2.645577501241084</v>
      </c>
    </row>
    <row r="780" spans="1:5" x14ac:dyDescent="0.3">
      <c r="A780" t="s">
        <v>63</v>
      </c>
      <c r="B780" t="s">
        <v>75</v>
      </c>
      <c r="C780" t="s">
        <v>95</v>
      </c>
      <c r="D780" t="s">
        <v>36</v>
      </c>
      <c r="E780">
        <v>3.2754154543165792</v>
      </c>
    </row>
    <row r="781" spans="1:5" x14ac:dyDescent="0.3">
      <c r="A781" t="s">
        <v>63</v>
      </c>
      <c r="B781" t="s">
        <v>76</v>
      </c>
      <c r="C781" t="s">
        <v>96</v>
      </c>
      <c r="D781" t="s">
        <v>36</v>
      </c>
      <c r="E781">
        <v>2.1762260893012519</v>
      </c>
    </row>
    <row r="782" spans="1:5" x14ac:dyDescent="0.3">
      <c r="A782" t="s">
        <v>63</v>
      </c>
      <c r="B782" t="s">
        <v>76</v>
      </c>
      <c r="C782" t="s">
        <v>97</v>
      </c>
      <c r="D782" t="s">
        <v>36</v>
      </c>
      <c r="E782">
        <v>3.1569124402437598</v>
      </c>
    </row>
    <row r="783" spans="1:5" x14ac:dyDescent="0.3">
      <c r="A783" t="s">
        <v>63</v>
      </c>
      <c r="B783" t="s">
        <v>76</v>
      </c>
      <c r="C783" t="s">
        <v>98</v>
      </c>
      <c r="D783" t="s">
        <v>36</v>
      </c>
      <c r="E783">
        <v>2.3066470956446659</v>
      </c>
    </row>
    <row r="784" spans="1:5" x14ac:dyDescent="0.3">
      <c r="A784" t="s">
        <v>63</v>
      </c>
      <c r="B784" t="s">
        <v>0</v>
      </c>
      <c r="C784" t="s">
        <v>99</v>
      </c>
      <c r="D784" t="s">
        <v>36</v>
      </c>
      <c r="E784">
        <v>0.37120944980249448</v>
      </c>
    </row>
    <row r="785" spans="1:5" x14ac:dyDescent="0.3">
      <c r="A785" t="s">
        <v>63</v>
      </c>
      <c r="B785" t="s">
        <v>0</v>
      </c>
      <c r="C785" t="s">
        <v>100</v>
      </c>
      <c r="D785" t="s">
        <v>36</v>
      </c>
      <c r="E785">
        <v>2.3809523809523809</v>
      </c>
    </row>
    <row r="786" spans="1:5" x14ac:dyDescent="0.3">
      <c r="A786" t="s">
        <v>63</v>
      </c>
      <c r="B786" t="s">
        <v>0</v>
      </c>
      <c r="C786" t="s">
        <v>101</v>
      </c>
      <c r="D786" t="s">
        <v>36</v>
      </c>
      <c r="E786">
        <v>1.2787723785166241</v>
      </c>
    </row>
    <row r="787" spans="1:5" x14ac:dyDescent="0.3">
      <c r="A787" t="s">
        <v>63</v>
      </c>
      <c r="B787" t="s">
        <v>0</v>
      </c>
      <c r="C787" t="s">
        <v>102</v>
      </c>
      <c r="D787" t="s">
        <v>36</v>
      </c>
      <c r="E787">
        <v>1.8978604605201641</v>
      </c>
    </row>
    <row r="788" spans="1:5" x14ac:dyDescent="0.3">
      <c r="A788" t="s">
        <v>63</v>
      </c>
      <c r="B788" t="s">
        <v>0</v>
      </c>
      <c r="C788" t="s">
        <v>103</v>
      </c>
      <c r="D788" t="s">
        <v>36</v>
      </c>
      <c r="E788">
        <v>2.414147864339435</v>
      </c>
    </row>
    <row r="789" spans="1:5" x14ac:dyDescent="0.3">
      <c r="A789" t="s">
        <v>63</v>
      </c>
      <c r="B789" t="s">
        <v>0</v>
      </c>
      <c r="C789" t="s">
        <v>104</v>
      </c>
      <c r="D789" t="s">
        <v>36</v>
      </c>
      <c r="E789">
        <v>4.5454545454545459</v>
      </c>
    </row>
    <row r="790" spans="1:5" x14ac:dyDescent="0.3">
      <c r="A790" t="s">
        <v>63</v>
      </c>
      <c r="B790" t="s">
        <v>0</v>
      </c>
      <c r="C790" t="s">
        <v>105</v>
      </c>
      <c r="D790" t="s">
        <v>36</v>
      </c>
      <c r="E790">
        <v>5.5589366528918926</v>
      </c>
    </row>
    <row r="791" spans="1:5" x14ac:dyDescent="0.3">
      <c r="A791" t="s">
        <v>63</v>
      </c>
      <c r="B791" t="s">
        <v>0</v>
      </c>
      <c r="C791" t="s">
        <v>106</v>
      </c>
      <c r="D791" t="s">
        <v>36</v>
      </c>
      <c r="E791">
        <v>2.537182852143482</v>
      </c>
    </row>
    <row r="792" spans="1:5" x14ac:dyDescent="0.3">
      <c r="A792" t="s">
        <v>63</v>
      </c>
      <c r="B792" t="s">
        <v>0</v>
      </c>
      <c r="C792" t="s">
        <v>107</v>
      </c>
      <c r="D792" t="s">
        <v>36</v>
      </c>
      <c r="E792">
        <v>1.9080293959598511</v>
      </c>
    </row>
    <row r="793" spans="1:5" x14ac:dyDescent="0.3">
      <c r="A793" t="s">
        <v>63</v>
      </c>
      <c r="B793" t="s">
        <v>0</v>
      </c>
      <c r="C793" t="s">
        <v>108</v>
      </c>
      <c r="D793" t="s">
        <v>36</v>
      </c>
      <c r="E793">
        <v>3.646367229005063</v>
      </c>
    </row>
    <row r="794" spans="1:5" x14ac:dyDescent="0.3">
      <c r="A794" t="s">
        <v>63</v>
      </c>
      <c r="B794" t="s">
        <v>0</v>
      </c>
      <c r="C794" t="s">
        <v>109</v>
      </c>
      <c r="D794" t="s">
        <v>36</v>
      </c>
      <c r="E794">
        <v>2.2336769759450168</v>
      </c>
    </row>
    <row r="795" spans="1:5" x14ac:dyDescent="0.3">
      <c r="A795" t="s">
        <v>63</v>
      </c>
      <c r="B795" t="s">
        <v>0</v>
      </c>
      <c r="C795" t="s">
        <v>110</v>
      </c>
      <c r="D795" t="s">
        <v>36</v>
      </c>
      <c r="E795">
        <v>2.7434858077939799</v>
      </c>
    </row>
    <row r="796" spans="1:5" x14ac:dyDescent="0.3">
      <c r="A796" t="s">
        <v>63</v>
      </c>
      <c r="B796" t="s">
        <v>0</v>
      </c>
      <c r="C796" t="s">
        <v>111</v>
      </c>
      <c r="D796" t="s">
        <v>36</v>
      </c>
      <c r="E796">
        <v>4.10958904109589</v>
      </c>
    </row>
    <row r="797" spans="1:5" x14ac:dyDescent="0.3">
      <c r="A797" t="s">
        <v>63</v>
      </c>
      <c r="B797" t="s">
        <v>0</v>
      </c>
      <c r="C797" t="s">
        <v>112</v>
      </c>
      <c r="D797" t="s">
        <v>36</v>
      </c>
      <c r="E797">
        <v>0.53097345132743357</v>
      </c>
    </row>
    <row r="798" spans="1:5" x14ac:dyDescent="0.3">
      <c r="A798" t="s">
        <v>63</v>
      </c>
      <c r="B798" t="s">
        <v>0</v>
      </c>
      <c r="C798" t="s">
        <v>113</v>
      </c>
      <c r="D798" t="s">
        <v>36</v>
      </c>
      <c r="E798">
        <v>2.058504875406284</v>
      </c>
    </row>
    <row r="799" spans="1:5" x14ac:dyDescent="0.3">
      <c r="A799" t="s">
        <v>63</v>
      </c>
      <c r="B799" t="s">
        <v>0</v>
      </c>
      <c r="C799" t="s">
        <v>114</v>
      </c>
      <c r="D799" t="s">
        <v>36</v>
      </c>
      <c r="E799">
        <v>3.5583121954318071</v>
      </c>
    </row>
    <row r="800" spans="1:5" x14ac:dyDescent="0.3">
      <c r="A800" t="s">
        <v>63</v>
      </c>
      <c r="B800" t="s">
        <v>0</v>
      </c>
      <c r="C800" t="s">
        <v>115</v>
      </c>
      <c r="D800" t="s">
        <v>36</v>
      </c>
      <c r="E800">
        <v>1.6143497757847529</v>
      </c>
    </row>
    <row r="801" spans="1:5" x14ac:dyDescent="0.3">
      <c r="A801" t="s">
        <v>63</v>
      </c>
      <c r="B801" t="s">
        <v>0</v>
      </c>
      <c r="C801" t="s">
        <v>116</v>
      </c>
      <c r="D801" t="s">
        <v>36</v>
      </c>
      <c r="E801">
        <v>3.6675065590890119</v>
      </c>
    </row>
    <row r="802" spans="1:5" x14ac:dyDescent="0.3">
      <c r="A802" t="s">
        <v>64</v>
      </c>
      <c r="B802" t="s">
        <v>69</v>
      </c>
      <c r="C802" t="s">
        <v>69</v>
      </c>
      <c r="D802" t="s">
        <v>33</v>
      </c>
      <c r="E802">
        <v>24.85241345664171</v>
      </c>
    </row>
    <row r="803" spans="1:5" x14ac:dyDescent="0.3">
      <c r="A803" t="s">
        <v>64</v>
      </c>
      <c r="B803" t="s">
        <v>70</v>
      </c>
      <c r="C803" t="s">
        <v>78</v>
      </c>
      <c r="D803" t="s">
        <v>33</v>
      </c>
      <c r="E803">
        <v>26.531250155198379</v>
      </c>
    </row>
    <row r="804" spans="1:5" x14ac:dyDescent="0.3">
      <c r="A804" t="s">
        <v>64</v>
      </c>
      <c r="B804" t="s">
        <v>70</v>
      </c>
      <c r="C804" t="s">
        <v>79</v>
      </c>
      <c r="D804" t="s">
        <v>33</v>
      </c>
      <c r="E804">
        <v>24.332842817809428</v>
      </c>
    </row>
    <row r="805" spans="1:5" x14ac:dyDescent="0.3">
      <c r="A805" t="s">
        <v>64</v>
      </c>
      <c r="B805" t="s">
        <v>70</v>
      </c>
      <c r="C805" t="s">
        <v>80</v>
      </c>
      <c r="D805" t="s">
        <v>33</v>
      </c>
      <c r="E805">
        <v>23.684068198602709</v>
      </c>
    </row>
    <row r="806" spans="1:5" x14ac:dyDescent="0.3">
      <c r="A806" t="s">
        <v>64</v>
      </c>
      <c r="B806" t="s">
        <v>70</v>
      </c>
      <c r="C806" t="s">
        <v>81</v>
      </c>
      <c r="D806" t="s">
        <v>33</v>
      </c>
      <c r="E806">
        <v>25.326064997148968</v>
      </c>
    </row>
    <row r="807" spans="1:5" x14ac:dyDescent="0.3">
      <c r="A807" t="s">
        <v>64</v>
      </c>
      <c r="B807" t="s">
        <v>71</v>
      </c>
      <c r="C807" t="s">
        <v>82</v>
      </c>
      <c r="D807" t="s">
        <v>33</v>
      </c>
      <c r="E807">
        <v>22.252627797240908</v>
      </c>
    </row>
    <row r="808" spans="1:5" x14ac:dyDescent="0.3">
      <c r="A808" t="s">
        <v>64</v>
      </c>
      <c r="B808" t="s">
        <v>71</v>
      </c>
      <c r="C808" t="s">
        <v>83</v>
      </c>
      <c r="D808" t="s">
        <v>33</v>
      </c>
      <c r="E808">
        <v>25.363804759729501</v>
      </c>
    </row>
    <row r="809" spans="1:5" x14ac:dyDescent="0.3">
      <c r="A809" t="s">
        <v>64</v>
      </c>
      <c r="B809" t="s">
        <v>71</v>
      </c>
      <c r="C809" t="s">
        <v>84</v>
      </c>
      <c r="D809" t="s">
        <v>33</v>
      </c>
      <c r="E809">
        <v>25.033086147962109</v>
      </c>
    </row>
    <row r="810" spans="1:5" x14ac:dyDescent="0.3">
      <c r="A810" t="s">
        <v>64</v>
      </c>
      <c r="B810" t="s">
        <v>71</v>
      </c>
      <c r="C810" t="s">
        <v>85</v>
      </c>
      <c r="D810" t="s">
        <v>33</v>
      </c>
      <c r="E810">
        <v>27.858585099207229</v>
      </c>
    </row>
    <row r="811" spans="1:5" x14ac:dyDescent="0.3">
      <c r="A811" t="s">
        <v>64</v>
      </c>
      <c r="B811" t="s">
        <v>72</v>
      </c>
      <c r="C811" t="s">
        <v>86</v>
      </c>
      <c r="D811" t="s">
        <v>33</v>
      </c>
      <c r="E811">
        <v>25.0946021111133</v>
      </c>
    </row>
    <row r="812" spans="1:5" x14ac:dyDescent="0.3">
      <c r="A812" t="s">
        <v>64</v>
      </c>
      <c r="B812" t="s">
        <v>72</v>
      </c>
      <c r="C812" t="s">
        <v>87</v>
      </c>
      <c r="D812" t="s">
        <v>33</v>
      </c>
      <c r="E812">
        <v>24.601589474899551</v>
      </c>
    </row>
    <row r="813" spans="1:5" x14ac:dyDescent="0.3">
      <c r="A813" t="s">
        <v>64</v>
      </c>
      <c r="B813" t="s">
        <v>73</v>
      </c>
      <c r="C813" t="s">
        <v>88</v>
      </c>
      <c r="D813" t="s">
        <v>33</v>
      </c>
      <c r="E813">
        <v>24.78548573814053</v>
      </c>
    </row>
    <row r="814" spans="1:5" x14ac:dyDescent="0.3">
      <c r="A814" t="s">
        <v>64</v>
      </c>
      <c r="B814" t="s">
        <v>73</v>
      </c>
      <c r="C814" t="s">
        <v>89</v>
      </c>
      <c r="D814" t="s">
        <v>33</v>
      </c>
      <c r="E814">
        <v>24.91438543195903</v>
      </c>
    </row>
    <row r="815" spans="1:5" x14ac:dyDescent="0.3">
      <c r="A815" t="s">
        <v>64</v>
      </c>
      <c r="B815" t="s">
        <v>74</v>
      </c>
      <c r="C815" t="s">
        <v>90</v>
      </c>
      <c r="D815" t="s">
        <v>33</v>
      </c>
      <c r="E815">
        <v>24.25337403647249</v>
      </c>
    </row>
    <row r="816" spans="1:5" x14ac:dyDescent="0.3">
      <c r="A816" t="s">
        <v>64</v>
      </c>
      <c r="B816" t="s">
        <v>74</v>
      </c>
      <c r="C816" t="s">
        <v>91</v>
      </c>
      <c r="D816" t="s">
        <v>33</v>
      </c>
      <c r="E816">
        <v>25.100148235867771</v>
      </c>
    </row>
    <row r="817" spans="1:5" x14ac:dyDescent="0.3">
      <c r="A817" t="s">
        <v>64</v>
      </c>
      <c r="B817" t="s">
        <v>75</v>
      </c>
      <c r="C817" t="s">
        <v>92</v>
      </c>
      <c r="D817" t="s">
        <v>33</v>
      </c>
      <c r="E817">
        <v>21.598675802240749</v>
      </c>
    </row>
    <row r="818" spans="1:5" x14ac:dyDescent="0.3">
      <c r="A818" t="s">
        <v>64</v>
      </c>
      <c r="B818" t="s">
        <v>75</v>
      </c>
      <c r="C818" t="s">
        <v>93</v>
      </c>
      <c r="D818" t="s">
        <v>33</v>
      </c>
      <c r="E818">
        <v>24.606068510025509</v>
      </c>
    </row>
    <row r="819" spans="1:5" x14ac:dyDescent="0.3">
      <c r="A819" t="s">
        <v>64</v>
      </c>
      <c r="B819" t="s">
        <v>75</v>
      </c>
      <c r="C819" t="s">
        <v>94</v>
      </c>
      <c r="D819" t="s">
        <v>33</v>
      </c>
      <c r="E819">
        <v>24.63291031479174</v>
      </c>
    </row>
    <row r="820" spans="1:5" x14ac:dyDescent="0.3">
      <c r="A820" t="s">
        <v>64</v>
      </c>
      <c r="B820" t="s">
        <v>75</v>
      </c>
      <c r="C820" t="s">
        <v>95</v>
      </c>
      <c r="D820" t="s">
        <v>33</v>
      </c>
      <c r="E820">
        <v>30.548157190703829</v>
      </c>
    </row>
    <row r="821" spans="1:5" x14ac:dyDescent="0.3">
      <c r="A821" t="s">
        <v>64</v>
      </c>
      <c r="B821" t="s">
        <v>76</v>
      </c>
      <c r="C821" t="s">
        <v>96</v>
      </c>
      <c r="D821" t="s">
        <v>33</v>
      </c>
      <c r="E821">
        <v>24.77545716663608</v>
      </c>
    </row>
    <row r="822" spans="1:5" x14ac:dyDescent="0.3">
      <c r="A822" t="s">
        <v>64</v>
      </c>
      <c r="B822" t="s">
        <v>76</v>
      </c>
      <c r="C822" t="s">
        <v>97</v>
      </c>
      <c r="D822" t="s">
        <v>33</v>
      </c>
      <c r="E822">
        <v>24.624029292700431</v>
      </c>
    </row>
    <row r="823" spans="1:5" x14ac:dyDescent="0.3">
      <c r="A823" t="s">
        <v>64</v>
      </c>
      <c r="B823" t="s">
        <v>76</v>
      </c>
      <c r="C823" t="s">
        <v>98</v>
      </c>
      <c r="D823" t="s">
        <v>33</v>
      </c>
      <c r="E823">
        <v>25.012870507388818</v>
      </c>
    </row>
    <row r="824" spans="1:5" x14ac:dyDescent="0.3">
      <c r="A824" t="s">
        <v>64</v>
      </c>
      <c r="B824" t="s">
        <v>0</v>
      </c>
      <c r="C824" t="s">
        <v>99</v>
      </c>
      <c r="D824" t="s">
        <v>33</v>
      </c>
      <c r="E824">
        <v>33.976940608615223</v>
      </c>
    </row>
    <row r="825" spans="1:5" x14ac:dyDescent="0.3">
      <c r="A825" t="s">
        <v>64</v>
      </c>
      <c r="B825" t="s">
        <v>0</v>
      </c>
      <c r="C825" t="s">
        <v>100</v>
      </c>
      <c r="D825" t="s">
        <v>33</v>
      </c>
      <c r="E825">
        <v>16.530426884650321</v>
      </c>
    </row>
    <row r="826" spans="1:5" x14ac:dyDescent="0.3">
      <c r="A826" t="s">
        <v>64</v>
      </c>
      <c r="B826" t="s">
        <v>0</v>
      </c>
      <c r="C826" t="s">
        <v>101</v>
      </c>
      <c r="D826" t="s">
        <v>33</v>
      </c>
      <c r="E826">
        <v>16.69565217391305</v>
      </c>
    </row>
    <row r="827" spans="1:5" x14ac:dyDescent="0.3">
      <c r="A827" t="s">
        <v>64</v>
      </c>
      <c r="B827" t="s">
        <v>0</v>
      </c>
      <c r="C827" t="s">
        <v>102</v>
      </c>
      <c r="D827" t="s">
        <v>33</v>
      </c>
      <c r="E827">
        <v>37.268841294368968</v>
      </c>
    </row>
    <row r="828" spans="1:5" x14ac:dyDescent="0.3">
      <c r="A828" t="s">
        <v>64</v>
      </c>
      <c r="B828" t="s">
        <v>0</v>
      </c>
      <c r="C828" t="s">
        <v>103</v>
      </c>
      <c r="D828" t="s">
        <v>33</v>
      </c>
      <c r="E828">
        <v>32.236656525372112</v>
      </c>
    </row>
    <row r="829" spans="1:5" x14ac:dyDescent="0.3">
      <c r="A829" t="s">
        <v>64</v>
      </c>
      <c r="B829" t="s">
        <v>0</v>
      </c>
      <c r="C829" t="s">
        <v>104</v>
      </c>
      <c r="D829" t="s">
        <v>33</v>
      </c>
      <c r="E829">
        <v>19.87577639751553</v>
      </c>
    </row>
    <row r="830" spans="1:5" x14ac:dyDescent="0.3">
      <c r="A830" t="s">
        <v>64</v>
      </c>
      <c r="B830" t="s">
        <v>0</v>
      </c>
      <c r="C830" t="s">
        <v>105</v>
      </c>
      <c r="D830" t="s">
        <v>33</v>
      </c>
      <c r="E830">
        <v>42.317839809829508</v>
      </c>
    </row>
    <row r="831" spans="1:5" x14ac:dyDescent="0.3">
      <c r="A831" t="s">
        <v>64</v>
      </c>
      <c r="B831" t="s">
        <v>0</v>
      </c>
      <c r="C831" t="s">
        <v>106</v>
      </c>
      <c r="D831" t="s">
        <v>33</v>
      </c>
      <c r="E831">
        <v>17.36474694589878</v>
      </c>
    </row>
    <row r="832" spans="1:5" x14ac:dyDescent="0.3">
      <c r="A832" t="s">
        <v>64</v>
      </c>
      <c r="B832" t="s">
        <v>0</v>
      </c>
      <c r="C832" t="s">
        <v>107</v>
      </c>
      <c r="D832" t="s">
        <v>33</v>
      </c>
      <c r="E832">
        <v>25.427826791126751</v>
      </c>
    </row>
    <row r="833" spans="1:5" x14ac:dyDescent="0.3">
      <c r="A833" t="s">
        <v>64</v>
      </c>
      <c r="B833" t="s">
        <v>0</v>
      </c>
      <c r="C833" t="s">
        <v>108</v>
      </c>
      <c r="D833" t="s">
        <v>33</v>
      </c>
      <c r="E833">
        <v>35.518394620796187</v>
      </c>
    </row>
    <row r="834" spans="1:5" x14ac:dyDescent="0.3">
      <c r="A834" t="s">
        <v>64</v>
      </c>
      <c r="B834" t="s">
        <v>0</v>
      </c>
      <c r="C834" t="s">
        <v>109</v>
      </c>
      <c r="D834" t="s">
        <v>33</v>
      </c>
      <c r="E834">
        <v>30.70398642917727</v>
      </c>
    </row>
    <row r="835" spans="1:5" x14ac:dyDescent="0.3">
      <c r="A835" t="s">
        <v>64</v>
      </c>
      <c r="B835" t="s">
        <v>0</v>
      </c>
      <c r="C835" t="s">
        <v>110</v>
      </c>
      <c r="D835" t="s">
        <v>33</v>
      </c>
      <c r="E835">
        <v>14.46337033267158</v>
      </c>
    </row>
    <row r="836" spans="1:5" x14ac:dyDescent="0.3">
      <c r="A836" t="s">
        <v>64</v>
      </c>
      <c r="B836" t="s">
        <v>0</v>
      </c>
      <c r="C836" t="s">
        <v>111</v>
      </c>
      <c r="D836" t="s">
        <v>33</v>
      </c>
      <c r="E836">
        <v>18.31425598335068</v>
      </c>
    </row>
    <row r="837" spans="1:5" x14ac:dyDescent="0.3">
      <c r="A837" t="s">
        <v>64</v>
      </c>
      <c r="B837" t="s">
        <v>0</v>
      </c>
      <c r="C837" t="s">
        <v>112</v>
      </c>
      <c r="D837" t="s">
        <v>33</v>
      </c>
      <c r="E837">
        <v>19.982158786797498</v>
      </c>
    </row>
    <row r="838" spans="1:5" x14ac:dyDescent="0.3">
      <c r="A838" t="s">
        <v>64</v>
      </c>
      <c r="B838" t="s">
        <v>0</v>
      </c>
      <c r="C838" t="s">
        <v>113</v>
      </c>
      <c r="D838" t="s">
        <v>33</v>
      </c>
      <c r="E838">
        <v>31.291172595520418</v>
      </c>
    </row>
    <row r="839" spans="1:5" x14ac:dyDescent="0.3">
      <c r="A839" t="s">
        <v>64</v>
      </c>
      <c r="B839" t="s">
        <v>0</v>
      </c>
      <c r="C839" t="s">
        <v>114</v>
      </c>
      <c r="D839" t="s">
        <v>33</v>
      </c>
      <c r="E839">
        <v>20.487968759996619</v>
      </c>
    </row>
    <row r="840" spans="1:5" x14ac:dyDescent="0.3">
      <c r="A840" t="s">
        <v>64</v>
      </c>
      <c r="B840" t="s">
        <v>0</v>
      </c>
      <c r="C840" t="s">
        <v>115</v>
      </c>
      <c r="D840" t="s">
        <v>33</v>
      </c>
      <c r="E840">
        <v>13.297872340425529</v>
      </c>
    </row>
    <row r="841" spans="1:5" x14ac:dyDescent="0.3">
      <c r="A841" t="s">
        <v>64</v>
      </c>
      <c r="B841" t="s">
        <v>0</v>
      </c>
      <c r="C841" t="s">
        <v>116</v>
      </c>
      <c r="D841" t="s">
        <v>33</v>
      </c>
      <c r="E841">
        <v>19.144452568310388</v>
      </c>
    </row>
    <row r="842" spans="1:5" x14ac:dyDescent="0.3">
      <c r="A842" t="s">
        <v>64</v>
      </c>
      <c r="B842" t="s">
        <v>69</v>
      </c>
      <c r="C842" t="s">
        <v>69</v>
      </c>
      <c r="D842" t="s">
        <v>34</v>
      </c>
      <c r="E842">
        <v>53.183017722195423</v>
      </c>
    </row>
    <row r="843" spans="1:5" x14ac:dyDescent="0.3">
      <c r="A843" t="s">
        <v>64</v>
      </c>
      <c r="B843" t="s">
        <v>70</v>
      </c>
      <c r="C843" t="s">
        <v>78</v>
      </c>
      <c r="D843" t="s">
        <v>34</v>
      </c>
      <c r="E843">
        <v>52.812085058092812</v>
      </c>
    </row>
    <row r="844" spans="1:5" x14ac:dyDescent="0.3">
      <c r="A844" t="s">
        <v>64</v>
      </c>
      <c r="B844" t="s">
        <v>70</v>
      </c>
      <c r="C844" t="s">
        <v>79</v>
      </c>
      <c r="D844" t="s">
        <v>34</v>
      </c>
      <c r="E844">
        <v>52.849861378297227</v>
      </c>
    </row>
    <row r="845" spans="1:5" x14ac:dyDescent="0.3">
      <c r="A845" t="s">
        <v>64</v>
      </c>
      <c r="B845" t="s">
        <v>70</v>
      </c>
      <c r="C845" t="s">
        <v>80</v>
      </c>
      <c r="D845" t="s">
        <v>34</v>
      </c>
      <c r="E845">
        <v>53.494747488397543</v>
      </c>
    </row>
    <row r="846" spans="1:5" x14ac:dyDescent="0.3">
      <c r="A846" t="s">
        <v>64</v>
      </c>
      <c r="B846" t="s">
        <v>70</v>
      </c>
      <c r="C846" t="s">
        <v>81</v>
      </c>
      <c r="D846" t="s">
        <v>34</v>
      </c>
      <c r="E846">
        <v>54.793020077173381</v>
      </c>
    </row>
    <row r="847" spans="1:5" x14ac:dyDescent="0.3">
      <c r="A847" t="s">
        <v>64</v>
      </c>
      <c r="B847" t="s">
        <v>71</v>
      </c>
      <c r="C847" t="s">
        <v>82</v>
      </c>
      <c r="D847" t="s">
        <v>34</v>
      </c>
      <c r="E847">
        <v>52.892575145040631</v>
      </c>
    </row>
    <row r="848" spans="1:5" x14ac:dyDescent="0.3">
      <c r="A848" t="s">
        <v>64</v>
      </c>
      <c r="B848" t="s">
        <v>71</v>
      </c>
      <c r="C848" t="s">
        <v>83</v>
      </c>
      <c r="D848" t="s">
        <v>34</v>
      </c>
      <c r="E848">
        <v>53.599481050659612</v>
      </c>
    </row>
    <row r="849" spans="1:5" x14ac:dyDescent="0.3">
      <c r="A849" t="s">
        <v>64</v>
      </c>
      <c r="B849" t="s">
        <v>71</v>
      </c>
      <c r="C849" t="s">
        <v>84</v>
      </c>
      <c r="D849" t="s">
        <v>34</v>
      </c>
      <c r="E849">
        <v>53.435095153014288</v>
      </c>
    </row>
    <row r="850" spans="1:5" x14ac:dyDescent="0.3">
      <c r="A850" t="s">
        <v>64</v>
      </c>
      <c r="B850" t="s">
        <v>71</v>
      </c>
      <c r="C850" t="s">
        <v>85</v>
      </c>
      <c r="D850" t="s">
        <v>34</v>
      </c>
      <c r="E850">
        <v>51.17288355562011</v>
      </c>
    </row>
    <row r="851" spans="1:5" x14ac:dyDescent="0.3">
      <c r="A851" t="s">
        <v>64</v>
      </c>
      <c r="B851" t="s">
        <v>72</v>
      </c>
      <c r="C851" t="s">
        <v>86</v>
      </c>
      <c r="D851" t="s">
        <v>34</v>
      </c>
      <c r="E851">
        <v>53.960365449791027</v>
      </c>
    </row>
    <row r="852" spans="1:5" x14ac:dyDescent="0.3">
      <c r="A852" t="s">
        <v>64</v>
      </c>
      <c r="B852" t="s">
        <v>72</v>
      </c>
      <c r="C852" t="s">
        <v>87</v>
      </c>
      <c r="D852" t="s">
        <v>34</v>
      </c>
      <c r="E852">
        <v>52.377953369948372</v>
      </c>
    </row>
    <row r="853" spans="1:5" x14ac:dyDescent="0.3">
      <c r="A853" t="s">
        <v>64</v>
      </c>
      <c r="B853" t="s">
        <v>73</v>
      </c>
      <c r="C853" t="s">
        <v>88</v>
      </c>
      <c r="D853" t="s">
        <v>34</v>
      </c>
      <c r="E853">
        <v>52.356929691354402</v>
      </c>
    </row>
    <row r="854" spans="1:5" x14ac:dyDescent="0.3">
      <c r="A854" t="s">
        <v>64</v>
      </c>
      <c r="B854" t="s">
        <v>73</v>
      </c>
      <c r="C854" t="s">
        <v>89</v>
      </c>
      <c r="D854" t="s">
        <v>34</v>
      </c>
      <c r="E854">
        <v>53.844948156677432</v>
      </c>
    </row>
    <row r="855" spans="1:5" x14ac:dyDescent="0.3">
      <c r="A855" t="s">
        <v>64</v>
      </c>
      <c r="B855" t="s">
        <v>74</v>
      </c>
      <c r="C855" t="s">
        <v>90</v>
      </c>
      <c r="D855" t="s">
        <v>34</v>
      </c>
      <c r="E855">
        <v>54.141471937091389</v>
      </c>
    </row>
    <row r="856" spans="1:5" x14ac:dyDescent="0.3">
      <c r="A856" t="s">
        <v>64</v>
      </c>
      <c r="B856" t="s">
        <v>74</v>
      </c>
      <c r="C856" t="s">
        <v>91</v>
      </c>
      <c r="D856" t="s">
        <v>34</v>
      </c>
      <c r="E856">
        <v>52.906733761785382</v>
      </c>
    </row>
    <row r="857" spans="1:5" x14ac:dyDescent="0.3">
      <c r="A857" t="s">
        <v>64</v>
      </c>
      <c r="B857" t="s">
        <v>75</v>
      </c>
      <c r="C857" t="s">
        <v>92</v>
      </c>
      <c r="D857" t="s">
        <v>34</v>
      </c>
      <c r="E857">
        <v>58.27542741114231</v>
      </c>
    </row>
    <row r="858" spans="1:5" x14ac:dyDescent="0.3">
      <c r="A858" t="s">
        <v>64</v>
      </c>
      <c r="B858" t="s">
        <v>75</v>
      </c>
      <c r="C858" t="s">
        <v>93</v>
      </c>
      <c r="D858" t="s">
        <v>34</v>
      </c>
      <c r="E858">
        <v>53.386530162365162</v>
      </c>
    </row>
    <row r="859" spans="1:5" x14ac:dyDescent="0.3">
      <c r="A859" t="s">
        <v>64</v>
      </c>
      <c r="B859" t="s">
        <v>75</v>
      </c>
      <c r="C859" t="s">
        <v>94</v>
      </c>
      <c r="D859" t="s">
        <v>34</v>
      </c>
      <c r="E859">
        <v>53.038138459773663</v>
      </c>
    </row>
    <row r="860" spans="1:5" x14ac:dyDescent="0.3">
      <c r="A860" t="s">
        <v>64</v>
      </c>
      <c r="B860" t="s">
        <v>75</v>
      </c>
      <c r="C860" t="s">
        <v>95</v>
      </c>
      <c r="D860" t="s">
        <v>34</v>
      </c>
      <c r="E860">
        <v>50.167012467563943</v>
      </c>
    </row>
    <row r="861" spans="1:5" x14ac:dyDescent="0.3">
      <c r="A861" t="s">
        <v>64</v>
      </c>
      <c r="B861" t="s">
        <v>76</v>
      </c>
      <c r="C861" t="s">
        <v>96</v>
      </c>
      <c r="D861" t="s">
        <v>34</v>
      </c>
      <c r="E861">
        <v>54.14041431702249</v>
      </c>
    </row>
    <row r="862" spans="1:5" x14ac:dyDescent="0.3">
      <c r="A862" t="s">
        <v>64</v>
      </c>
      <c r="B862" t="s">
        <v>76</v>
      </c>
      <c r="C862" t="s">
        <v>97</v>
      </c>
      <c r="D862" t="s">
        <v>34</v>
      </c>
      <c r="E862">
        <v>53.138592450623449</v>
      </c>
    </row>
    <row r="863" spans="1:5" x14ac:dyDescent="0.3">
      <c r="A863" t="s">
        <v>64</v>
      </c>
      <c r="B863" t="s">
        <v>76</v>
      </c>
      <c r="C863" t="s">
        <v>98</v>
      </c>
      <c r="D863" t="s">
        <v>34</v>
      </c>
      <c r="E863">
        <v>52.847965697479317</v>
      </c>
    </row>
    <row r="864" spans="1:5" x14ac:dyDescent="0.3">
      <c r="A864" t="s">
        <v>64</v>
      </c>
      <c r="B864" t="s">
        <v>0</v>
      </c>
      <c r="C864" t="s">
        <v>99</v>
      </c>
      <c r="D864" t="s">
        <v>34</v>
      </c>
      <c r="E864">
        <v>53.624754653735351</v>
      </c>
    </row>
    <row r="865" spans="1:5" x14ac:dyDescent="0.3">
      <c r="A865" t="s">
        <v>64</v>
      </c>
      <c r="B865" t="s">
        <v>0</v>
      </c>
      <c r="C865" t="s">
        <v>100</v>
      </c>
      <c r="D865" t="s">
        <v>34</v>
      </c>
      <c r="E865">
        <v>55.585831062670302</v>
      </c>
    </row>
    <row r="866" spans="1:5" x14ac:dyDescent="0.3">
      <c r="A866" t="s">
        <v>64</v>
      </c>
      <c r="B866" t="s">
        <v>0</v>
      </c>
      <c r="C866" t="s">
        <v>101</v>
      </c>
      <c r="D866" t="s">
        <v>34</v>
      </c>
      <c r="E866">
        <v>61.217391304347821</v>
      </c>
    </row>
    <row r="867" spans="1:5" x14ac:dyDescent="0.3">
      <c r="A867" t="s">
        <v>64</v>
      </c>
      <c r="B867" t="s">
        <v>0</v>
      </c>
      <c r="C867" t="s">
        <v>102</v>
      </c>
      <c r="D867" t="s">
        <v>34</v>
      </c>
      <c r="E867">
        <v>50.629901275239163</v>
      </c>
    </row>
    <row r="868" spans="1:5" x14ac:dyDescent="0.3">
      <c r="A868" t="s">
        <v>64</v>
      </c>
      <c r="B868" t="s">
        <v>0</v>
      </c>
      <c r="C868" t="s">
        <v>103</v>
      </c>
      <c r="D868" t="s">
        <v>34</v>
      </c>
      <c r="E868">
        <v>52.542385700723123</v>
      </c>
    </row>
    <row r="869" spans="1:5" x14ac:dyDescent="0.3">
      <c r="A869" t="s">
        <v>64</v>
      </c>
      <c r="B869" t="s">
        <v>0</v>
      </c>
      <c r="C869" t="s">
        <v>104</v>
      </c>
      <c r="D869" t="s">
        <v>34</v>
      </c>
      <c r="E869">
        <v>53.209109730848859</v>
      </c>
    </row>
    <row r="870" spans="1:5" x14ac:dyDescent="0.3">
      <c r="A870" t="s">
        <v>64</v>
      </c>
      <c r="B870" t="s">
        <v>0</v>
      </c>
      <c r="C870" t="s">
        <v>105</v>
      </c>
      <c r="D870" t="s">
        <v>34</v>
      </c>
      <c r="E870">
        <v>45.375292091811552</v>
      </c>
    </row>
    <row r="871" spans="1:5" x14ac:dyDescent="0.3">
      <c r="A871" t="s">
        <v>64</v>
      </c>
      <c r="B871" t="s">
        <v>0</v>
      </c>
      <c r="C871" t="s">
        <v>106</v>
      </c>
      <c r="D871" t="s">
        <v>34</v>
      </c>
      <c r="E871">
        <v>48.167539267015712</v>
      </c>
    </row>
    <row r="872" spans="1:5" x14ac:dyDescent="0.3">
      <c r="A872" t="s">
        <v>64</v>
      </c>
      <c r="B872" t="s">
        <v>0</v>
      </c>
      <c r="C872" t="s">
        <v>107</v>
      </c>
      <c r="D872" t="s">
        <v>34</v>
      </c>
      <c r="E872">
        <v>57.35183071685929</v>
      </c>
    </row>
    <row r="873" spans="1:5" x14ac:dyDescent="0.3">
      <c r="A873" t="s">
        <v>64</v>
      </c>
      <c r="B873" t="s">
        <v>0</v>
      </c>
      <c r="C873" t="s">
        <v>108</v>
      </c>
      <c r="D873" t="s">
        <v>34</v>
      </c>
      <c r="E873">
        <v>43.303957271852198</v>
      </c>
    </row>
    <row r="874" spans="1:5" x14ac:dyDescent="0.3">
      <c r="A874" t="s">
        <v>64</v>
      </c>
      <c r="B874" t="s">
        <v>0</v>
      </c>
      <c r="C874" t="s">
        <v>109</v>
      </c>
      <c r="D874" t="s">
        <v>34</v>
      </c>
      <c r="E874">
        <v>53.859202714164553</v>
      </c>
    </row>
    <row r="875" spans="1:5" x14ac:dyDescent="0.3">
      <c r="A875" t="s">
        <v>64</v>
      </c>
      <c r="B875" t="s">
        <v>0</v>
      </c>
      <c r="C875" t="s">
        <v>110</v>
      </c>
      <c r="D875" t="s">
        <v>34</v>
      </c>
      <c r="E875">
        <v>59.333123652612187</v>
      </c>
    </row>
    <row r="876" spans="1:5" x14ac:dyDescent="0.3">
      <c r="A876" t="s">
        <v>64</v>
      </c>
      <c r="B876" t="s">
        <v>0</v>
      </c>
      <c r="C876" t="s">
        <v>111</v>
      </c>
      <c r="D876" t="s">
        <v>34</v>
      </c>
      <c r="E876">
        <v>48.387096774193552</v>
      </c>
    </row>
    <row r="877" spans="1:5" x14ac:dyDescent="0.3">
      <c r="A877" t="s">
        <v>64</v>
      </c>
      <c r="B877" t="s">
        <v>0</v>
      </c>
      <c r="C877" t="s">
        <v>112</v>
      </c>
      <c r="D877" t="s">
        <v>34</v>
      </c>
      <c r="E877">
        <v>65.566458519179307</v>
      </c>
    </row>
    <row r="878" spans="1:5" x14ac:dyDescent="0.3">
      <c r="A878" t="s">
        <v>64</v>
      </c>
      <c r="B878" t="s">
        <v>0</v>
      </c>
      <c r="C878" t="s">
        <v>113</v>
      </c>
      <c r="D878" t="s">
        <v>34</v>
      </c>
      <c r="E878">
        <v>48.397013614404919</v>
      </c>
    </row>
    <row r="879" spans="1:5" x14ac:dyDescent="0.3">
      <c r="A879" t="s">
        <v>64</v>
      </c>
      <c r="B879" t="s">
        <v>0</v>
      </c>
      <c r="C879" t="s">
        <v>114</v>
      </c>
      <c r="D879" t="s">
        <v>34</v>
      </c>
      <c r="E879">
        <v>61.55650060717258</v>
      </c>
    </row>
    <row r="880" spans="1:5" x14ac:dyDescent="0.3">
      <c r="A880" t="s">
        <v>64</v>
      </c>
      <c r="B880" t="s">
        <v>0</v>
      </c>
      <c r="C880" t="s">
        <v>115</v>
      </c>
      <c r="D880" t="s">
        <v>34</v>
      </c>
      <c r="E880">
        <v>59.48581560283688</v>
      </c>
    </row>
    <row r="881" spans="1:5" x14ac:dyDescent="0.3">
      <c r="A881" t="s">
        <v>64</v>
      </c>
      <c r="B881" t="s">
        <v>0</v>
      </c>
      <c r="C881" t="s">
        <v>116</v>
      </c>
      <c r="D881" t="s">
        <v>34</v>
      </c>
      <c r="E881">
        <v>40.582857761211578</v>
      </c>
    </row>
    <row r="882" spans="1:5" x14ac:dyDescent="0.3">
      <c r="A882" t="s">
        <v>64</v>
      </c>
      <c r="B882" t="s">
        <v>69</v>
      </c>
      <c r="C882" t="s">
        <v>69</v>
      </c>
      <c r="D882" t="s">
        <v>35</v>
      </c>
      <c r="E882">
        <v>19.414724472112582</v>
      </c>
    </row>
    <row r="883" spans="1:5" x14ac:dyDescent="0.3">
      <c r="A883" t="s">
        <v>64</v>
      </c>
      <c r="B883" t="s">
        <v>70</v>
      </c>
      <c r="C883" t="s">
        <v>78</v>
      </c>
      <c r="D883" t="s">
        <v>35</v>
      </c>
      <c r="E883">
        <v>18.37867123631159</v>
      </c>
    </row>
    <row r="884" spans="1:5" x14ac:dyDescent="0.3">
      <c r="A884" t="s">
        <v>64</v>
      </c>
      <c r="B884" t="s">
        <v>70</v>
      </c>
      <c r="C884" t="s">
        <v>79</v>
      </c>
      <c r="D884" t="s">
        <v>35</v>
      </c>
      <c r="E884">
        <v>20.067821619863668</v>
      </c>
    </row>
    <row r="885" spans="1:5" x14ac:dyDescent="0.3">
      <c r="A885" t="s">
        <v>64</v>
      </c>
      <c r="B885" t="s">
        <v>70</v>
      </c>
      <c r="C885" t="s">
        <v>80</v>
      </c>
      <c r="D885" t="s">
        <v>35</v>
      </c>
      <c r="E885">
        <v>20.174919354071431</v>
      </c>
    </row>
    <row r="886" spans="1:5" x14ac:dyDescent="0.3">
      <c r="A886" t="s">
        <v>64</v>
      </c>
      <c r="B886" t="s">
        <v>70</v>
      </c>
      <c r="C886" t="s">
        <v>81</v>
      </c>
      <c r="D886" t="s">
        <v>35</v>
      </c>
      <c r="E886">
        <v>17.696558544413609</v>
      </c>
    </row>
    <row r="887" spans="1:5" x14ac:dyDescent="0.3">
      <c r="A887" t="s">
        <v>64</v>
      </c>
      <c r="B887" t="s">
        <v>71</v>
      </c>
      <c r="C887" t="s">
        <v>82</v>
      </c>
      <c r="D887" t="s">
        <v>35</v>
      </c>
      <c r="E887">
        <v>21.71848448057461</v>
      </c>
    </row>
    <row r="888" spans="1:5" x14ac:dyDescent="0.3">
      <c r="A888" t="s">
        <v>64</v>
      </c>
      <c r="B888" t="s">
        <v>71</v>
      </c>
      <c r="C888" t="s">
        <v>83</v>
      </c>
      <c r="D888" t="s">
        <v>35</v>
      </c>
      <c r="E888">
        <v>18.625127075416671</v>
      </c>
    </row>
    <row r="889" spans="1:5" x14ac:dyDescent="0.3">
      <c r="A889" t="s">
        <v>64</v>
      </c>
      <c r="B889" t="s">
        <v>71</v>
      </c>
      <c r="C889" t="s">
        <v>84</v>
      </c>
      <c r="D889" t="s">
        <v>35</v>
      </c>
      <c r="E889">
        <v>19.163264785612949</v>
      </c>
    </row>
    <row r="890" spans="1:5" x14ac:dyDescent="0.3">
      <c r="A890" t="s">
        <v>64</v>
      </c>
      <c r="B890" t="s">
        <v>71</v>
      </c>
      <c r="C890" t="s">
        <v>85</v>
      </c>
      <c r="D890" t="s">
        <v>35</v>
      </c>
      <c r="E890">
        <v>18.498862013696201</v>
      </c>
    </row>
    <row r="891" spans="1:5" x14ac:dyDescent="0.3">
      <c r="A891" t="s">
        <v>64</v>
      </c>
      <c r="B891" t="s">
        <v>72</v>
      </c>
      <c r="C891" t="s">
        <v>86</v>
      </c>
      <c r="D891" t="s">
        <v>35</v>
      </c>
      <c r="E891">
        <v>18.45447058799817</v>
      </c>
    </row>
    <row r="892" spans="1:5" x14ac:dyDescent="0.3">
      <c r="A892" t="s">
        <v>64</v>
      </c>
      <c r="B892" t="s">
        <v>72</v>
      </c>
      <c r="C892" t="s">
        <v>87</v>
      </c>
      <c r="D892" t="s">
        <v>35</v>
      </c>
      <c r="E892">
        <v>20.409216568459751</v>
      </c>
    </row>
    <row r="893" spans="1:5" x14ac:dyDescent="0.3">
      <c r="A893" t="s">
        <v>64</v>
      </c>
      <c r="B893" t="s">
        <v>73</v>
      </c>
      <c r="C893" t="s">
        <v>88</v>
      </c>
      <c r="D893" t="s">
        <v>35</v>
      </c>
      <c r="E893">
        <v>19.919524318088872</v>
      </c>
    </row>
    <row r="894" spans="1:5" x14ac:dyDescent="0.3">
      <c r="A894" t="s">
        <v>64</v>
      </c>
      <c r="B894" t="s">
        <v>73</v>
      </c>
      <c r="C894" t="s">
        <v>89</v>
      </c>
      <c r="D894" t="s">
        <v>35</v>
      </c>
      <c r="E894">
        <v>18.986530685148409</v>
      </c>
    </row>
    <row r="895" spans="1:5" x14ac:dyDescent="0.3">
      <c r="A895" t="s">
        <v>64</v>
      </c>
      <c r="B895" t="s">
        <v>74</v>
      </c>
      <c r="C895" t="s">
        <v>90</v>
      </c>
      <c r="D895" t="s">
        <v>35</v>
      </c>
      <c r="E895">
        <v>19.17967775590731</v>
      </c>
    </row>
    <row r="896" spans="1:5" x14ac:dyDescent="0.3">
      <c r="A896" t="s">
        <v>64</v>
      </c>
      <c r="B896" t="s">
        <v>74</v>
      </c>
      <c r="C896" t="s">
        <v>91</v>
      </c>
      <c r="D896" t="s">
        <v>35</v>
      </c>
      <c r="E896">
        <v>19.454650544717559</v>
      </c>
    </row>
    <row r="897" spans="1:5" x14ac:dyDescent="0.3">
      <c r="A897" t="s">
        <v>64</v>
      </c>
      <c r="B897" t="s">
        <v>75</v>
      </c>
      <c r="C897" t="s">
        <v>92</v>
      </c>
      <c r="D897" t="s">
        <v>35</v>
      </c>
      <c r="E897">
        <v>18.210867126834192</v>
      </c>
    </row>
    <row r="898" spans="1:5" x14ac:dyDescent="0.3">
      <c r="A898" t="s">
        <v>64</v>
      </c>
      <c r="B898" t="s">
        <v>75</v>
      </c>
      <c r="C898" t="s">
        <v>93</v>
      </c>
      <c r="D898" t="s">
        <v>35</v>
      </c>
      <c r="E898">
        <v>19.731425123921088</v>
      </c>
    </row>
    <row r="899" spans="1:5" x14ac:dyDescent="0.3">
      <c r="A899" t="s">
        <v>64</v>
      </c>
      <c r="B899" t="s">
        <v>75</v>
      </c>
      <c r="C899" t="s">
        <v>94</v>
      </c>
      <c r="D899" t="s">
        <v>35</v>
      </c>
      <c r="E899">
        <v>19.235689158468681</v>
      </c>
    </row>
    <row r="900" spans="1:5" x14ac:dyDescent="0.3">
      <c r="A900" t="s">
        <v>64</v>
      </c>
      <c r="B900" t="s">
        <v>75</v>
      </c>
      <c r="C900" t="s">
        <v>95</v>
      </c>
      <c r="D900" t="s">
        <v>35</v>
      </c>
      <c r="E900">
        <v>16.202671665240629</v>
      </c>
    </row>
    <row r="901" spans="1:5" x14ac:dyDescent="0.3">
      <c r="A901" t="s">
        <v>64</v>
      </c>
      <c r="B901" t="s">
        <v>76</v>
      </c>
      <c r="C901" t="s">
        <v>96</v>
      </c>
      <c r="D901" t="s">
        <v>35</v>
      </c>
      <c r="E901">
        <v>19.018215663301689</v>
      </c>
    </row>
    <row r="902" spans="1:5" x14ac:dyDescent="0.3">
      <c r="A902" t="s">
        <v>64</v>
      </c>
      <c r="B902" t="s">
        <v>76</v>
      </c>
      <c r="C902" t="s">
        <v>97</v>
      </c>
      <c r="D902" t="s">
        <v>35</v>
      </c>
      <c r="E902">
        <v>20.204468155270838</v>
      </c>
    </row>
    <row r="903" spans="1:5" x14ac:dyDescent="0.3">
      <c r="A903" t="s">
        <v>64</v>
      </c>
      <c r="B903" t="s">
        <v>76</v>
      </c>
      <c r="C903" t="s">
        <v>98</v>
      </c>
      <c r="D903" t="s">
        <v>35</v>
      </c>
      <c r="E903">
        <v>19.109461508652618</v>
      </c>
    </row>
    <row r="904" spans="1:5" x14ac:dyDescent="0.3">
      <c r="A904" t="s">
        <v>64</v>
      </c>
      <c r="B904" t="s">
        <v>0</v>
      </c>
      <c r="C904" t="s">
        <v>99</v>
      </c>
      <c r="D904" t="s">
        <v>35</v>
      </c>
      <c r="E904">
        <v>11.78289448552616</v>
      </c>
    </row>
    <row r="905" spans="1:5" x14ac:dyDescent="0.3">
      <c r="A905" t="s">
        <v>64</v>
      </c>
      <c r="B905" t="s">
        <v>0</v>
      </c>
      <c r="C905" t="s">
        <v>100</v>
      </c>
      <c r="D905" t="s">
        <v>35</v>
      </c>
      <c r="E905">
        <v>26.06721162579473</v>
      </c>
    </row>
    <row r="906" spans="1:5" x14ac:dyDescent="0.3">
      <c r="A906" t="s">
        <v>64</v>
      </c>
      <c r="B906" t="s">
        <v>0</v>
      </c>
      <c r="C906" t="s">
        <v>101</v>
      </c>
      <c r="D906" t="s">
        <v>35</v>
      </c>
      <c r="E906">
        <v>20.34782608695652</v>
      </c>
    </row>
    <row r="907" spans="1:5" x14ac:dyDescent="0.3">
      <c r="A907" t="s">
        <v>64</v>
      </c>
      <c r="B907" t="s">
        <v>0</v>
      </c>
      <c r="C907" t="s">
        <v>102</v>
      </c>
      <c r="D907" t="s">
        <v>35</v>
      </c>
      <c r="E907">
        <v>11.72761993591145</v>
      </c>
    </row>
    <row r="908" spans="1:5" x14ac:dyDescent="0.3">
      <c r="A908" t="s">
        <v>64</v>
      </c>
      <c r="B908" t="s">
        <v>0</v>
      </c>
      <c r="C908" t="s">
        <v>103</v>
      </c>
      <c r="D908" t="s">
        <v>35</v>
      </c>
      <c r="E908">
        <v>13.00222656966457</v>
      </c>
    </row>
    <row r="909" spans="1:5" x14ac:dyDescent="0.3">
      <c r="A909" t="s">
        <v>64</v>
      </c>
      <c r="B909" t="s">
        <v>0</v>
      </c>
      <c r="C909" t="s">
        <v>104</v>
      </c>
      <c r="D909" t="s">
        <v>35</v>
      </c>
      <c r="E909">
        <v>24.32712215320911</v>
      </c>
    </row>
    <row r="910" spans="1:5" x14ac:dyDescent="0.3">
      <c r="A910" t="s">
        <v>64</v>
      </c>
      <c r="B910" t="s">
        <v>0</v>
      </c>
      <c r="C910" t="s">
        <v>105</v>
      </c>
      <c r="D910" t="s">
        <v>35</v>
      </c>
      <c r="E910">
        <v>9.1638196786740505</v>
      </c>
    </row>
    <row r="911" spans="1:5" x14ac:dyDescent="0.3">
      <c r="A911" t="s">
        <v>64</v>
      </c>
      <c r="B911" t="s">
        <v>0</v>
      </c>
      <c r="C911" t="s">
        <v>106</v>
      </c>
      <c r="D911" t="s">
        <v>35</v>
      </c>
      <c r="E911">
        <v>32.984293193717278</v>
      </c>
    </row>
    <row r="912" spans="1:5" x14ac:dyDescent="0.3">
      <c r="A912" t="s">
        <v>64</v>
      </c>
      <c r="B912" t="s">
        <v>0</v>
      </c>
      <c r="C912" t="s">
        <v>107</v>
      </c>
      <c r="D912" t="s">
        <v>35</v>
      </c>
      <c r="E912">
        <v>14.99031063485266</v>
      </c>
    </row>
    <row r="913" spans="1:5" x14ac:dyDescent="0.3">
      <c r="A913" t="s">
        <v>64</v>
      </c>
      <c r="B913" t="s">
        <v>0</v>
      </c>
      <c r="C913" t="s">
        <v>108</v>
      </c>
      <c r="D913" t="s">
        <v>35</v>
      </c>
      <c r="E913">
        <v>18.239686378049289</v>
      </c>
    </row>
    <row r="914" spans="1:5" x14ac:dyDescent="0.3">
      <c r="A914" t="s">
        <v>64</v>
      </c>
      <c r="B914" t="s">
        <v>0</v>
      </c>
      <c r="C914" t="s">
        <v>109</v>
      </c>
      <c r="D914" t="s">
        <v>35</v>
      </c>
      <c r="E914">
        <v>13.99491094147583</v>
      </c>
    </row>
    <row r="915" spans="1:5" x14ac:dyDescent="0.3">
      <c r="A915" t="s">
        <v>64</v>
      </c>
      <c r="B915" t="s">
        <v>0</v>
      </c>
      <c r="C915" t="s">
        <v>110</v>
      </c>
      <c r="D915" t="s">
        <v>35</v>
      </c>
      <c r="E915">
        <v>21.450291136751051</v>
      </c>
    </row>
    <row r="916" spans="1:5" x14ac:dyDescent="0.3">
      <c r="A916" t="s">
        <v>64</v>
      </c>
      <c r="B916" t="s">
        <v>0</v>
      </c>
      <c r="C916" t="s">
        <v>111</v>
      </c>
      <c r="D916" t="s">
        <v>35</v>
      </c>
      <c r="E916">
        <v>26.534859521331949</v>
      </c>
    </row>
    <row r="917" spans="1:5" x14ac:dyDescent="0.3">
      <c r="A917" t="s">
        <v>64</v>
      </c>
      <c r="B917" t="s">
        <v>0</v>
      </c>
      <c r="C917" t="s">
        <v>112</v>
      </c>
      <c r="D917" t="s">
        <v>35</v>
      </c>
      <c r="E917">
        <v>13.559322033898299</v>
      </c>
    </row>
    <row r="918" spans="1:5" x14ac:dyDescent="0.3">
      <c r="A918" t="s">
        <v>64</v>
      </c>
      <c r="B918" t="s">
        <v>0</v>
      </c>
      <c r="C918" t="s">
        <v>113</v>
      </c>
      <c r="D918" t="s">
        <v>35</v>
      </c>
      <c r="E918">
        <v>15.98594642072903</v>
      </c>
    </row>
    <row r="919" spans="1:5" x14ac:dyDescent="0.3">
      <c r="A919" t="s">
        <v>64</v>
      </c>
      <c r="B919" t="s">
        <v>0</v>
      </c>
      <c r="C919" t="s">
        <v>114</v>
      </c>
      <c r="D919" t="s">
        <v>35</v>
      </c>
      <c r="E919">
        <v>16.302246762462499</v>
      </c>
    </row>
    <row r="920" spans="1:5" x14ac:dyDescent="0.3">
      <c r="A920" t="s">
        <v>64</v>
      </c>
      <c r="B920" t="s">
        <v>0</v>
      </c>
      <c r="C920" t="s">
        <v>115</v>
      </c>
      <c r="D920" t="s">
        <v>35</v>
      </c>
      <c r="E920">
        <v>25.797872340425531</v>
      </c>
    </row>
    <row r="921" spans="1:5" x14ac:dyDescent="0.3">
      <c r="A921" t="s">
        <v>64</v>
      </c>
      <c r="B921" t="s">
        <v>0</v>
      </c>
      <c r="C921" t="s">
        <v>116</v>
      </c>
      <c r="D921" t="s">
        <v>35</v>
      </c>
      <c r="E921">
        <v>33.496748613889139</v>
      </c>
    </row>
    <row r="922" spans="1:5" x14ac:dyDescent="0.3">
      <c r="A922" t="s">
        <v>64</v>
      </c>
      <c r="B922" t="s">
        <v>69</v>
      </c>
      <c r="C922" t="s">
        <v>69</v>
      </c>
      <c r="D922" t="s">
        <v>36</v>
      </c>
      <c r="E922">
        <v>2.549844349050296</v>
      </c>
    </row>
    <row r="923" spans="1:5" x14ac:dyDescent="0.3">
      <c r="A923" t="s">
        <v>64</v>
      </c>
      <c r="B923" t="s">
        <v>70</v>
      </c>
      <c r="C923" t="s">
        <v>78</v>
      </c>
      <c r="D923" t="s">
        <v>36</v>
      </c>
      <c r="E923">
        <v>2.2779935503972282</v>
      </c>
    </row>
    <row r="924" spans="1:5" x14ac:dyDescent="0.3">
      <c r="A924" t="s">
        <v>64</v>
      </c>
      <c r="B924" t="s">
        <v>70</v>
      </c>
      <c r="C924" t="s">
        <v>79</v>
      </c>
      <c r="D924" t="s">
        <v>36</v>
      </c>
      <c r="E924">
        <v>2.7494741840296788</v>
      </c>
    </row>
    <row r="925" spans="1:5" x14ac:dyDescent="0.3">
      <c r="A925" t="s">
        <v>64</v>
      </c>
      <c r="B925" t="s">
        <v>70</v>
      </c>
      <c r="C925" t="s">
        <v>80</v>
      </c>
      <c r="D925" t="s">
        <v>36</v>
      </c>
      <c r="E925">
        <v>2.646264958928326</v>
      </c>
    </row>
    <row r="926" spans="1:5" x14ac:dyDescent="0.3">
      <c r="A926" t="s">
        <v>64</v>
      </c>
      <c r="B926" t="s">
        <v>70</v>
      </c>
      <c r="C926" t="s">
        <v>81</v>
      </c>
      <c r="D926" t="s">
        <v>36</v>
      </c>
      <c r="E926">
        <v>2.1843563812640281</v>
      </c>
    </row>
    <row r="927" spans="1:5" x14ac:dyDescent="0.3">
      <c r="A927" t="s">
        <v>64</v>
      </c>
      <c r="B927" t="s">
        <v>71</v>
      </c>
      <c r="C927" t="s">
        <v>82</v>
      </c>
      <c r="D927" t="s">
        <v>36</v>
      </c>
      <c r="E927">
        <v>3.1363125771438511</v>
      </c>
    </row>
    <row r="928" spans="1:5" x14ac:dyDescent="0.3">
      <c r="A928" t="s">
        <v>64</v>
      </c>
      <c r="B928" t="s">
        <v>71</v>
      </c>
      <c r="C928" t="s">
        <v>83</v>
      </c>
      <c r="D928" t="s">
        <v>36</v>
      </c>
      <c r="E928">
        <v>2.4115871141942198</v>
      </c>
    </row>
    <row r="929" spans="1:5" x14ac:dyDescent="0.3">
      <c r="A929" t="s">
        <v>64</v>
      </c>
      <c r="B929" t="s">
        <v>71</v>
      </c>
      <c r="C929" t="s">
        <v>84</v>
      </c>
      <c r="D929" t="s">
        <v>36</v>
      </c>
      <c r="E929">
        <v>2.3685539134106448</v>
      </c>
    </row>
    <row r="930" spans="1:5" x14ac:dyDescent="0.3">
      <c r="A930" t="s">
        <v>64</v>
      </c>
      <c r="B930" t="s">
        <v>71</v>
      </c>
      <c r="C930" t="s">
        <v>85</v>
      </c>
      <c r="D930" t="s">
        <v>36</v>
      </c>
      <c r="E930">
        <v>2.469669331476434</v>
      </c>
    </row>
    <row r="931" spans="1:5" x14ac:dyDescent="0.3">
      <c r="A931" t="s">
        <v>64</v>
      </c>
      <c r="B931" t="s">
        <v>72</v>
      </c>
      <c r="C931" t="s">
        <v>86</v>
      </c>
      <c r="D931" t="s">
        <v>36</v>
      </c>
      <c r="E931">
        <v>2.490561851097485</v>
      </c>
    </row>
    <row r="932" spans="1:5" x14ac:dyDescent="0.3">
      <c r="A932" t="s">
        <v>64</v>
      </c>
      <c r="B932" t="s">
        <v>72</v>
      </c>
      <c r="C932" t="s">
        <v>87</v>
      </c>
      <c r="D932" t="s">
        <v>36</v>
      </c>
      <c r="E932">
        <v>2.611240586692344</v>
      </c>
    </row>
    <row r="933" spans="1:5" x14ac:dyDescent="0.3">
      <c r="A933" t="s">
        <v>64</v>
      </c>
      <c r="B933" t="s">
        <v>73</v>
      </c>
      <c r="C933" t="s">
        <v>88</v>
      </c>
      <c r="D933" t="s">
        <v>36</v>
      </c>
      <c r="E933">
        <v>2.9380602524161921</v>
      </c>
    </row>
    <row r="934" spans="1:5" x14ac:dyDescent="0.3">
      <c r="A934" t="s">
        <v>64</v>
      </c>
      <c r="B934" t="s">
        <v>73</v>
      </c>
      <c r="C934" t="s">
        <v>89</v>
      </c>
      <c r="D934" t="s">
        <v>36</v>
      </c>
      <c r="E934">
        <v>2.2541357262151469</v>
      </c>
    </row>
    <row r="935" spans="1:5" x14ac:dyDescent="0.3">
      <c r="A935" t="s">
        <v>64</v>
      </c>
      <c r="B935" t="s">
        <v>74</v>
      </c>
      <c r="C935" t="s">
        <v>90</v>
      </c>
      <c r="D935" t="s">
        <v>36</v>
      </c>
      <c r="E935">
        <v>2.4254762705288009</v>
      </c>
    </row>
    <row r="936" spans="1:5" x14ac:dyDescent="0.3">
      <c r="A936" t="s">
        <v>64</v>
      </c>
      <c r="B936" t="s">
        <v>74</v>
      </c>
      <c r="C936" t="s">
        <v>91</v>
      </c>
      <c r="D936" t="s">
        <v>36</v>
      </c>
      <c r="E936">
        <v>2.5384674576293249</v>
      </c>
    </row>
    <row r="937" spans="1:5" x14ac:dyDescent="0.3">
      <c r="A937" t="s">
        <v>64</v>
      </c>
      <c r="B937" t="s">
        <v>75</v>
      </c>
      <c r="C937" t="s">
        <v>92</v>
      </c>
      <c r="D937" t="s">
        <v>36</v>
      </c>
      <c r="E937">
        <v>1.915029659782729</v>
      </c>
    </row>
    <row r="938" spans="1:5" x14ac:dyDescent="0.3">
      <c r="A938" t="s">
        <v>64</v>
      </c>
      <c r="B938" t="s">
        <v>75</v>
      </c>
      <c r="C938" t="s">
        <v>93</v>
      </c>
      <c r="D938" t="s">
        <v>36</v>
      </c>
      <c r="E938">
        <v>2.2759762036882418</v>
      </c>
    </row>
    <row r="939" spans="1:5" x14ac:dyDescent="0.3">
      <c r="A939" t="s">
        <v>64</v>
      </c>
      <c r="B939" t="s">
        <v>75</v>
      </c>
      <c r="C939" t="s">
        <v>94</v>
      </c>
      <c r="D939" t="s">
        <v>36</v>
      </c>
      <c r="E939">
        <v>3.093262066965921</v>
      </c>
    </row>
    <row r="940" spans="1:5" x14ac:dyDescent="0.3">
      <c r="A940" t="s">
        <v>64</v>
      </c>
      <c r="B940" t="s">
        <v>75</v>
      </c>
      <c r="C940" t="s">
        <v>95</v>
      </c>
      <c r="D940" t="s">
        <v>36</v>
      </c>
      <c r="E940">
        <v>3.0821586764915989</v>
      </c>
    </row>
    <row r="941" spans="1:5" x14ac:dyDescent="0.3">
      <c r="A941" t="s">
        <v>64</v>
      </c>
      <c r="B941" t="s">
        <v>76</v>
      </c>
      <c r="C941" t="s">
        <v>96</v>
      </c>
      <c r="D941" t="s">
        <v>36</v>
      </c>
      <c r="E941">
        <v>2.065912853039737</v>
      </c>
    </row>
    <row r="942" spans="1:5" x14ac:dyDescent="0.3">
      <c r="A942" t="s">
        <v>64</v>
      </c>
      <c r="B942" t="s">
        <v>76</v>
      </c>
      <c r="C942" t="s">
        <v>97</v>
      </c>
      <c r="D942" t="s">
        <v>36</v>
      </c>
      <c r="E942">
        <v>2.0329101014052902</v>
      </c>
    </row>
    <row r="943" spans="1:5" x14ac:dyDescent="0.3">
      <c r="A943" t="s">
        <v>64</v>
      </c>
      <c r="B943" t="s">
        <v>76</v>
      </c>
      <c r="C943" t="s">
        <v>98</v>
      </c>
      <c r="D943" t="s">
        <v>36</v>
      </c>
      <c r="E943">
        <v>3.0297022864792482</v>
      </c>
    </row>
    <row r="944" spans="1:5" x14ac:dyDescent="0.3">
      <c r="A944" t="s">
        <v>64</v>
      </c>
      <c r="B944" t="s">
        <v>0</v>
      </c>
      <c r="C944" t="s">
        <v>99</v>
      </c>
      <c r="D944" t="s">
        <v>36</v>
      </c>
      <c r="E944">
        <v>0.6154102521232655</v>
      </c>
    </row>
    <row r="945" spans="1:5" x14ac:dyDescent="0.3">
      <c r="A945" t="s">
        <v>64</v>
      </c>
      <c r="B945" t="s">
        <v>0</v>
      </c>
      <c r="C945" t="s">
        <v>100</v>
      </c>
      <c r="D945" t="s">
        <v>36</v>
      </c>
      <c r="E945">
        <v>1.8165304268846509</v>
      </c>
    </row>
    <row r="946" spans="1:5" x14ac:dyDescent="0.3">
      <c r="A946" t="s">
        <v>64</v>
      </c>
      <c r="B946" t="s">
        <v>0</v>
      </c>
      <c r="C946" t="s">
        <v>101</v>
      </c>
      <c r="D946" t="s">
        <v>36</v>
      </c>
      <c r="E946">
        <v>1.7391304347826091</v>
      </c>
    </row>
    <row r="947" spans="1:5" x14ac:dyDescent="0.3">
      <c r="A947" t="s">
        <v>64</v>
      </c>
      <c r="B947" t="s">
        <v>0</v>
      </c>
      <c r="C947" t="s">
        <v>102</v>
      </c>
      <c r="D947" t="s">
        <v>36</v>
      </c>
      <c r="E947">
        <v>0.37363749448039141</v>
      </c>
    </row>
    <row r="948" spans="1:5" x14ac:dyDescent="0.3">
      <c r="A948" t="s">
        <v>64</v>
      </c>
      <c r="B948" t="s">
        <v>0</v>
      </c>
      <c r="C948" t="s">
        <v>103</v>
      </c>
      <c r="D948" t="s">
        <v>36</v>
      </c>
      <c r="E948">
        <v>2.218731204240195</v>
      </c>
    </row>
    <row r="949" spans="1:5" x14ac:dyDescent="0.3">
      <c r="A949" t="s">
        <v>64</v>
      </c>
      <c r="B949" t="s">
        <v>0</v>
      </c>
      <c r="C949" t="s">
        <v>104</v>
      </c>
      <c r="D949" t="s">
        <v>36</v>
      </c>
      <c r="E949">
        <v>2.5879917184265011</v>
      </c>
    </row>
    <row r="950" spans="1:5" x14ac:dyDescent="0.3">
      <c r="A950" t="s">
        <v>64</v>
      </c>
      <c r="B950" t="s">
        <v>0</v>
      </c>
      <c r="C950" t="s">
        <v>105</v>
      </c>
      <c r="D950" t="s">
        <v>36</v>
      </c>
      <c r="E950">
        <v>3.1430484196848858</v>
      </c>
    </row>
    <row r="951" spans="1:5" x14ac:dyDescent="0.3">
      <c r="A951" t="s">
        <v>64</v>
      </c>
      <c r="B951" t="s">
        <v>0</v>
      </c>
      <c r="C951" t="s">
        <v>106</v>
      </c>
      <c r="D951" t="s">
        <v>36</v>
      </c>
      <c r="E951">
        <v>1.483420593368237</v>
      </c>
    </row>
    <row r="952" spans="1:5" x14ac:dyDescent="0.3">
      <c r="A952" t="s">
        <v>64</v>
      </c>
      <c r="B952" t="s">
        <v>0</v>
      </c>
      <c r="C952" t="s">
        <v>107</v>
      </c>
      <c r="D952" t="s">
        <v>36</v>
      </c>
      <c r="E952">
        <v>2.2300318571613049</v>
      </c>
    </row>
    <row r="953" spans="1:5" x14ac:dyDescent="0.3">
      <c r="A953" t="s">
        <v>64</v>
      </c>
      <c r="B953" t="s">
        <v>0</v>
      </c>
      <c r="C953" t="s">
        <v>108</v>
      </c>
      <c r="D953" t="s">
        <v>36</v>
      </c>
      <c r="E953">
        <v>2.9379617293023328</v>
      </c>
    </row>
    <row r="954" spans="1:5" x14ac:dyDescent="0.3">
      <c r="A954" t="s">
        <v>64</v>
      </c>
      <c r="B954" t="s">
        <v>0</v>
      </c>
      <c r="C954" t="s">
        <v>109</v>
      </c>
      <c r="D954" t="s">
        <v>36</v>
      </c>
      <c r="E954">
        <v>1.4418999151823579</v>
      </c>
    </row>
    <row r="955" spans="1:5" x14ac:dyDescent="0.3">
      <c r="A955" t="s">
        <v>64</v>
      </c>
      <c r="B955" t="s">
        <v>0</v>
      </c>
      <c r="C955" t="s">
        <v>110</v>
      </c>
      <c r="D955" t="s">
        <v>36</v>
      </c>
      <c r="E955">
        <v>4.7532148779651857</v>
      </c>
    </row>
    <row r="956" spans="1:5" x14ac:dyDescent="0.3">
      <c r="A956" t="s">
        <v>64</v>
      </c>
      <c r="B956" t="s">
        <v>0</v>
      </c>
      <c r="C956" t="s">
        <v>111</v>
      </c>
      <c r="D956" t="s">
        <v>36</v>
      </c>
      <c r="E956">
        <v>6.7637877211238289</v>
      </c>
    </row>
    <row r="957" spans="1:5" x14ac:dyDescent="0.3">
      <c r="A957" t="s">
        <v>64</v>
      </c>
      <c r="B957" t="s">
        <v>0</v>
      </c>
      <c r="C957" t="s">
        <v>112</v>
      </c>
      <c r="D957" t="s">
        <v>36</v>
      </c>
      <c r="E957">
        <v>0.89206066012488849</v>
      </c>
    </row>
    <row r="958" spans="1:5" x14ac:dyDescent="0.3">
      <c r="A958" t="s">
        <v>64</v>
      </c>
      <c r="B958" t="s">
        <v>0</v>
      </c>
      <c r="C958" t="s">
        <v>113</v>
      </c>
      <c r="D958" t="s">
        <v>36</v>
      </c>
      <c r="E958">
        <v>4.3258673693456302</v>
      </c>
    </row>
    <row r="959" spans="1:5" x14ac:dyDescent="0.3">
      <c r="A959" t="s">
        <v>64</v>
      </c>
      <c r="B959" t="s">
        <v>0</v>
      </c>
      <c r="C959" t="s">
        <v>114</v>
      </c>
      <c r="D959" t="s">
        <v>36</v>
      </c>
      <c r="E959">
        <v>1.6532838703682999</v>
      </c>
    </row>
    <row r="960" spans="1:5" x14ac:dyDescent="0.3">
      <c r="A960" t="s">
        <v>64</v>
      </c>
      <c r="B960" t="s">
        <v>0</v>
      </c>
      <c r="C960" t="s">
        <v>115</v>
      </c>
      <c r="D960" t="s">
        <v>36</v>
      </c>
      <c r="E960">
        <v>1.418439716312057</v>
      </c>
    </row>
    <row r="961" spans="1:5" x14ac:dyDescent="0.3">
      <c r="A961" t="s">
        <v>64</v>
      </c>
      <c r="B961" t="s">
        <v>0</v>
      </c>
      <c r="C961" t="s">
        <v>116</v>
      </c>
      <c r="D961" t="s">
        <v>36</v>
      </c>
      <c r="E961">
        <v>6.775941056588854</v>
      </c>
    </row>
    <row r="962" spans="1:5" x14ac:dyDescent="0.3">
      <c r="A962" t="s">
        <v>65</v>
      </c>
      <c r="B962" t="s">
        <v>69</v>
      </c>
      <c r="C962" t="s">
        <v>69</v>
      </c>
      <c r="D962" t="s">
        <v>33</v>
      </c>
      <c r="E962">
        <v>24.481275901804601</v>
      </c>
    </row>
    <row r="963" spans="1:5" x14ac:dyDescent="0.3">
      <c r="A963" t="s">
        <v>65</v>
      </c>
      <c r="B963" t="s">
        <v>70</v>
      </c>
      <c r="C963" t="s">
        <v>78</v>
      </c>
      <c r="D963" t="s">
        <v>33</v>
      </c>
      <c r="E963">
        <v>27.333572495502249</v>
      </c>
    </row>
    <row r="964" spans="1:5" x14ac:dyDescent="0.3">
      <c r="A964" t="s">
        <v>65</v>
      </c>
      <c r="B964" t="s">
        <v>70</v>
      </c>
      <c r="C964" t="s">
        <v>79</v>
      </c>
      <c r="D964" t="s">
        <v>33</v>
      </c>
      <c r="E964">
        <v>23.383069685711209</v>
      </c>
    </row>
    <row r="965" spans="1:5" x14ac:dyDescent="0.3">
      <c r="A965" t="s">
        <v>65</v>
      </c>
      <c r="B965" t="s">
        <v>70</v>
      </c>
      <c r="C965" t="s">
        <v>80</v>
      </c>
      <c r="D965" t="s">
        <v>33</v>
      </c>
      <c r="E965">
        <v>23.62501953500264</v>
      </c>
    </row>
    <row r="966" spans="1:5" x14ac:dyDescent="0.3">
      <c r="A966" t="s">
        <v>65</v>
      </c>
      <c r="B966" t="s">
        <v>70</v>
      </c>
      <c r="C966" t="s">
        <v>81</v>
      </c>
      <c r="D966" t="s">
        <v>33</v>
      </c>
      <c r="E966">
        <v>24.1645155629469</v>
      </c>
    </row>
    <row r="967" spans="1:5" x14ac:dyDescent="0.3">
      <c r="A967" t="s">
        <v>65</v>
      </c>
      <c r="B967" t="s">
        <v>71</v>
      </c>
      <c r="C967" t="s">
        <v>82</v>
      </c>
      <c r="D967" t="s">
        <v>33</v>
      </c>
      <c r="E967">
        <v>20.89215973222014</v>
      </c>
    </row>
    <row r="968" spans="1:5" x14ac:dyDescent="0.3">
      <c r="A968" t="s">
        <v>65</v>
      </c>
      <c r="B968" t="s">
        <v>71</v>
      </c>
      <c r="C968" t="s">
        <v>83</v>
      </c>
      <c r="D968" t="s">
        <v>33</v>
      </c>
      <c r="E968">
        <v>25.111577345284338</v>
      </c>
    </row>
    <row r="969" spans="1:5" x14ac:dyDescent="0.3">
      <c r="A969" t="s">
        <v>65</v>
      </c>
      <c r="B969" t="s">
        <v>71</v>
      </c>
      <c r="C969" t="s">
        <v>84</v>
      </c>
      <c r="D969" t="s">
        <v>33</v>
      </c>
      <c r="E969">
        <v>25.996643116253939</v>
      </c>
    </row>
    <row r="970" spans="1:5" x14ac:dyDescent="0.3">
      <c r="A970" t="s">
        <v>65</v>
      </c>
      <c r="B970" t="s">
        <v>71</v>
      </c>
      <c r="C970" t="s">
        <v>85</v>
      </c>
      <c r="D970" t="s">
        <v>33</v>
      </c>
      <c r="E970">
        <v>24.451459012843198</v>
      </c>
    </row>
    <row r="971" spans="1:5" x14ac:dyDescent="0.3">
      <c r="A971" t="s">
        <v>65</v>
      </c>
      <c r="B971" t="s">
        <v>72</v>
      </c>
      <c r="C971" t="s">
        <v>86</v>
      </c>
      <c r="D971" t="s">
        <v>33</v>
      </c>
      <c r="E971">
        <v>24.647879207700019</v>
      </c>
    </row>
    <row r="972" spans="1:5" x14ac:dyDescent="0.3">
      <c r="A972" t="s">
        <v>65</v>
      </c>
      <c r="B972" t="s">
        <v>72</v>
      </c>
      <c r="C972" t="s">
        <v>87</v>
      </c>
      <c r="D972" t="s">
        <v>33</v>
      </c>
      <c r="E972">
        <v>24.306199735488569</v>
      </c>
    </row>
    <row r="973" spans="1:5" x14ac:dyDescent="0.3">
      <c r="A973" t="s">
        <v>65</v>
      </c>
      <c r="B973" t="s">
        <v>73</v>
      </c>
      <c r="C973" t="s">
        <v>88</v>
      </c>
      <c r="D973" t="s">
        <v>33</v>
      </c>
      <c r="E973">
        <v>24.717079919236902</v>
      </c>
    </row>
    <row r="974" spans="1:5" x14ac:dyDescent="0.3">
      <c r="A974" t="s">
        <v>65</v>
      </c>
      <c r="B974" t="s">
        <v>73</v>
      </c>
      <c r="C974" t="s">
        <v>89</v>
      </c>
      <c r="D974" t="s">
        <v>33</v>
      </c>
      <c r="E974">
        <v>24.23550977916042</v>
      </c>
    </row>
    <row r="975" spans="1:5" x14ac:dyDescent="0.3">
      <c r="A975" t="s">
        <v>65</v>
      </c>
      <c r="B975" t="s">
        <v>74</v>
      </c>
      <c r="C975" t="s">
        <v>90</v>
      </c>
      <c r="D975" t="s">
        <v>33</v>
      </c>
      <c r="E975">
        <v>26.504004907078428</v>
      </c>
    </row>
    <row r="976" spans="1:5" x14ac:dyDescent="0.3">
      <c r="A976" t="s">
        <v>65</v>
      </c>
      <c r="B976" t="s">
        <v>74</v>
      </c>
      <c r="C976" t="s">
        <v>91</v>
      </c>
      <c r="D976" t="s">
        <v>33</v>
      </c>
      <c r="E976">
        <v>23.531982216614939</v>
      </c>
    </row>
    <row r="977" spans="1:5" x14ac:dyDescent="0.3">
      <c r="A977" t="s">
        <v>65</v>
      </c>
      <c r="B977" t="s">
        <v>75</v>
      </c>
      <c r="C977" t="s">
        <v>92</v>
      </c>
      <c r="D977" t="s">
        <v>33</v>
      </c>
      <c r="E977">
        <v>21.846656181237041</v>
      </c>
    </row>
    <row r="978" spans="1:5" x14ac:dyDescent="0.3">
      <c r="A978" t="s">
        <v>65</v>
      </c>
      <c r="B978" t="s">
        <v>75</v>
      </c>
      <c r="C978" t="s">
        <v>93</v>
      </c>
      <c r="D978" t="s">
        <v>33</v>
      </c>
      <c r="E978">
        <v>24.605909895796628</v>
      </c>
    </row>
    <row r="979" spans="1:5" x14ac:dyDescent="0.3">
      <c r="A979" t="s">
        <v>65</v>
      </c>
      <c r="B979" t="s">
        <v>75</v>
      </c>
      <c r="C979" t="s">
        <v>94</v>
      </c>
      <c r="D979" t="s">
        <v>33</v>
      </c>
      <c r="E979">
        <v>25.02304582773392</v>
      </c>
    </row>
    <row r="980" spans="1:5" x14ac:dyDescent="0.3">
      <c r="A980" t="s">
        <v>65</v>
      </c>
      <c r="B980" t="s">
        <v>75</v>
      </c>
      <c r="C980" t="s">
        <v>95</v>
      </c>
      <c r="D980" t="s">
        <v>33</v>
      </c>
      <c r="E980">
        <v>28.635022029966731</v>
      </c>
    </row>
    <row r="981" spans="1:5" x14ac:dyDescent="0.3">
      <c r="A981" t="s">
        <v>65</v>
      </c>
      <c r="B981" t="s">
        <v>76</v>
      </c>
      <c r="C981" t="s">
        <v>96</v>
      </c>
      <c r="D981" t="s">
        <v>33</v>
      </c>
      <c r="E981">
        <v>25.771499037049569</v>
      </c>
    </row>
    <row r="982" spans="1:5" x14ac:dyDescent="0.3">
      <c r="A982" t="s">
        <v>65</v>
      </c>
      <c r="B982" t="s">
        <v>76</v>
      </c>
      <c r="C982" t="s">
        <v>97</v>
      </c>
      <c r="D982" t="s">
        <v>33</v>
      </c>
      <c r="E982">
        <v>22.01560665925102</v>
      </c>
    </row>
    <row r="983" spans="1:5" x14ac:dyDescent="0.3">
      <c r="A983" t="s">
        <v>65</v>
      </c>
      <c r="B983" t="s">
        <v>76</v>
      </c>
      <c r="C983" t="s">
        <v>98</v>
      </c>
      <c r="D983" t="s">
        <v>33</v>
      </c>
      <c r="E983">
        <v>25.42352683250158</v>
      </c>
    </row>
    <row r="984" spans="1:5" x14ac:dyDescent="0.3">
      <c r="A984" t="s">
        <v>65</v>
      </c>
      <c r="B984" t="s">
        <v>0</v>
      </c>
      <c r="C984" t="s">
        <v>99</v>
      </c>
      <c r="D984" t="s">
        <v>33</v>
      </c>
      <c r="E984">
        <v>22.010116740355141</v>
      </c>
    </row>
    <row r="985" spans="1:5" x14ac:dyDescent="0.3">
      <c r="A985" t="s">
        <v>65</v>
      </c>
      <c r="B985" t="s">
        <v>0</v>
      </c>
      <c r="C985" t="s">
        <v>100</v>
      </c>
      <c r="D985" t="s">
        <v>33</v>
      </c>
      <c r="E985">
        <v>12.588652482269501</v>
      </c>
    </row>
    <row r="986" spans="1:5" x14ac:dyDescent="0.3">
      <c r="A986" t="s">
        <v>65</v>
      </c>
      <c r="B986" t="s">
        <v>0</v>
      </c>
      <c r="C986" t="s">
        <v>101</v>
      </c>
      <c r="D986" t="s">
        <v>33</v>
      </c>
      <c r="E986">
        <v>26.689189189189189</v>
      </c>
    </row>
    <row r="987" spans="1:5" x14ac:dyDescent="0.3">
      <c r="A987" t="s">
        <v>65</v>
      </c>
      <c r="B987" t="s">
        <v>0</v>
      </c>
      <c r="C987" t="s">
        <v>102</v>
      </c>
      <c r="D987" t="s">
        <v>33</v>
      </c>
      <c r="E987">
        <v>48.996806342548659</v>
      </c>
    </row>
    <row r="988" spans="1:5" x14ac:dyDescent="0.3">
      <c r="A988" t="s">
        <v>65</v>
      </c>
      <c r="B988" t="s">
        <v>0</v>
      </c>
      <c r="C988" t="s">
        <v>103</v>
      </c>
      <c r="D988" t="s">
        <v>33</v>
      </c>
      <c r="E988">
        <v>29.131803399128341</v>
      </c>
    </row>
    <row r="989" spans="1:5" x14ac:dyDescent="0.3">
      <c r="A989" t="s">
        <v>65</v>
      </c>
      <c r="B989" t="s">
        <v>0</v>
      </c>
      <c r="C989" t="s">
        <v>104</v>
      </c>
      <c r="D989" t="s">
        <v>33</v>
      </c>
      <c r="E989">
        <v>24.46043165467626</v>
      </c>
    </row>
    <row r="990" spans="1:5" x14ac:dyDescent="0.3">
      <c r="A990" t="s">
        <v>65</v>
      </c>
      <c r="B990" t="s">
        <v>0</v>
      </c>
      <c r="C990" t="s">
        <v>105</v>
      </c>
      <c r="D990" t="s">
        <v>33</v>
      </c>
      <c r="E990">
        <v>54.015685951709571</v>
      </c>
    </row>
    <row r="991" spans="1:5" x14ac:dyDescent="0.3">
      <c r="A991" t="s">
        <v>65</v>
      </c>
      <c r="B991" t="s">
        <v>0</v>
      </c>
      <c r="C991" t="s">
        <v>106</v>
      </c>
      <c r="D991" t="s">
        <v>33</v>
      </c>
      <c r="E991">
        <v>10.90909090909091</v>
      </c>
    </row>
    <row r="992" spans="1:5" x14ac:dyDescent="0.3">
      <c r="A992" t="s">
        <v>65</v>
      </c>
      <c r="B992" t="s">
        <v>0</v>
      </c>
      <c r="C992" t="s">
        <v>107</v>
      </c>
      <c r="D992" t="s">
        <v>33</v>
      </c>
      <c r="E992">
        <v>25.001072201606309</v>
      </c>
    </row>
    <row r="993" spans="1:5" x14ac:dyDescent="0.3">
      <c r="A993" t="s">
        <v>65</v>
      </c>
      <c r="B993" t="s">
        <v>0</v>
      </c>
      <c r="C993" t="s">
        <v>108</v>
      </c>
      <c r="D993" t="s">
        <v>33</v>
      </c>
      <c r="E993">
        <v>36.415187324130791</v>
      </c>
    </row>
    <row r="994" spans="1:5" x14ac:dyDescent="0.3">
      <c r="A994" t="s">
        <v>65</v>
      </c>
      <c r="B994" t="s">
        <v>0</v>
      </c>
      <c r="C994" t="s">
        <v>109</v>
      </c>
      <c r="D994" t="s">
        <v>33</v>
      </c>
      <c r="E994">
        <v>23.34763948497854</v>
      </c>
    </row>
    <row r="995" spans="1:5" x14ac:dyDescent="0.3">
      <c r="A995" t="s">
        <v>65</v>
      </c>
      <c r="B995" t="s">
        <v>0</v>
      </c>
      <c r="C995" t="s">
        <v>110</v>
      </c>
      <c r="D995" t="s">
        <v>33</v>
      </c>
      <c r="E995">
        <v>10.663821788144819</v>
      </c>
    </row>
    <row r="996" spans="1:5" x14ac:dyDescent="0.3">
      <c r="A996" t="s">
        <v>65</v>
      </c>
      <c r="B996" t="s">
        <v>0</v>
      </c>
      <c r="C996" t="s">
        <v>111</v>
      </c>
      <c r="D996" t="s">
        <v>33</v>
      </c>
      <c r="E996">
        <v>15.625</v>
      </c>
    </row>
    <row r="997" spans="1:5" x14ac:dyDescent="0.3">
      <c r="A997" t="s">
        <v>65</v>
      </c>
      <c r="B997" t="s">
        <v>0</v>
      </c>
      <c r="C997" t="s">
        <v>112</v>
      </c>
      <c r="D997" t="s">
        <v>33</v>
      </c>
      <c r="E997">
        <v>23.478260869565219</v>
      </c>
    </row>
    <row r="998" spans="1:5" x14ac:dyDescent="0.3">
      <c r="A998" t="s">
        <v>65</v>
      </c>
      <c r="B998" t="s">
        <v>0</v>
      </c>
      <c r="C998" t="s">
        <v>113</v>
      </c>
      <c r="D998" t="s">
        <v>33</v>
      </c>
      <c r="E998">
        <v>21.598084040931859</v>
      </c>
    </row>
    <row r="999" spans="1:5" x14ac:dyDescent="0.3">
      <c r="A999" t="s">
        <v>65</v>
      </c>
      <c r="B999" t="s">
        <v>0</v>
      </c>
      <c r="C999" t="s">
        <v>114</v>
      </c>
      <c r="D999" t="s">
        <v>33</v>
      </c>
      <c r="E999">
        <v>27.171467509176939</v>
      </c>
    </row>
    <row r="1000" spans="1:5" x14ac:dyDescent="0.3">
      <c r="A1000" t="s">
        <v>65</v>
      </c>
      <c r="B1000" t="s">
        <v>0</v>
      </c>
      <c r="C1000" t="s">
        <v>115</v>
      </c>
      <c r="D1000" t="s">
        <v>33</v>
      </c>
      <c r="E1000">
        <v>11.150758251561109</v>
      </c>
    </row>
    <row r="1001" spans="1:5" x14ac:dyDescent="0.3">
      <c r="A1001" t="s">
        <v>65</v>
      </c>
      <c r="B1001" t="s">
        <v>0</v>
      </c>
      <c r="C1001" t="s">
        <v>116</v>
      </c>
      <c r="D1001" t="s">
        <v>33</v>
      </c>
      <c r="E1001">
        <v>17.203435276269211</v>
      </c>
    </row>
    <row r="1002" spans="1:5" x14ac:dyDescent="0.3">
      <c r="A1002" t="s">
        <v>65</v>
      </c>
      <c r="B1002" t="s">
        <v>69</v>
      </c>
      <c r="C1002" t="s">
        <v>69</v>
      </c>
      <c r="D1002" t="s">
        <v>34</v>
      </c>
      <c r="E1002">
        <v>55.080239633943251</v>
      </c>
    </row>
    <row r="1003" spans="1:5" x14ac:dyDescent="0.3">
      <c r="A1003" t="s">
        <v>65</v>
      </c>
      <c r="B1003" t="s">
        <v>70</v>
      </c>
      <c r="C1003" t="s">
        <v>78</v>
      </c>
      <c r="D1003" t="s">
        <v>34</v>
      </c>
      <c r="E1003">
        <v>54.745256829717754</v>
      </c>
    </row>
    <row r="1004" spans="1:5" x14ac:dyDescent="0.3">
      <c r="A1004" t="s">
        <v>65</v>
      </c>
      <c r="B1004" t="s">
        <v>70</v>
      </c>
      <c r="C1004" t="s">
        <v>79</v>
      </c>
      <c r="D1004" t="s">
        <v>34</v>
      </c>
      <c r="E1004">
        <v>54.440141694466327</v>
      </c>
    </row>
    <row r="1005" spans="1:5" x14ac:dyDescent="0.3">
      <c r="A1005" t="s">
        <v>65</v>
      </c>
      <c r="B1005" t="s">
        <v>70</v>
      </c>
      <c r="C1005" t="s">
        <v>80</v>
      </c>
      <c r="D1005" t="s">
        <v>34</v>
      </c>
      <c r="E1005">
        <v>54.849407814083783</v>
      </c>
    </row>
    <row r="1006" spans="1:5" x14ac:dyDescent="0.3">
      <c r="A1006" t="s">
        <v>65</v>
      </c>
      <c r="B1006" t="s">
        <v>70</v>
      </c>
      <c r="C1006" t="s">
        <v>81</v>
      </c>
      <c r="D1006" t="s">
        <v>34</v>
      </c>
      <c r="E1006">
        <v>59.065140416249328</v>
      </c>
    </row>
    <row r="1007" spans="1:5" x14ac:dyDescent="0.3">
      <c r="A1007" t="s">
        <v>65</v>
      </c>
      <c r="B1007" t="s">
        <v>71</v>
      </c>
      <c r="C1007" t="s">
        <v>82</v>
      </c>
      <c r="D1007" t="s">
        <v>34</v>
      </c>
      <c r="E1007">
        <v>55.277810000920347</v>
      </c>
    </row>
    <row r="1008" spans="1:5" x14ac:dyDescent="0.3">
      <c r="A1008" t="s">
        <v>65</v>
      </c>
      <c r="B1008" t="s">
        <v>71</v>
      </c>
      <c r="C1008" t="s">
        <v>83</v>
      </c>
      <c r="D1008" t="s">
        <v>34</v>
      </c>
      <c r="E1008">
        <v>54.994352685423429</v>
      </c>
    </row>
    <row r="1009" spans="1:5" x14ac:dyDescent="0.3">
      <c r="A1009" t="s">
        <v>65</v>
      </c>
      <c r="B1009" t="s">
        <v>71</v>
      </c>
      <c r="C1009" t="s">
        <v>84</v>
      </c>
      <c r="D1009" t="s">
        <v>34</v>
      </c>
      <c r="E1009">
        <v>55.040124490796757</v>
      </c>
    </row>
    <row r="1010" spans="1:5" x14ac:dyDescent="0.3">
      <c r="A1010" t="s">
        <v>65</v>
      </c>
      <c r="B1010" t="s">
        <v>71</v>
      </c>
      <c r="C1010" t="s">
        <v>85</v>
      </c>
      <c r="D1010" t="s">
        <v>34</v>
      </c>
      <c r="E1010">
        <v>55.137407189387552</v>
      </c>
    </row>
    <row r="1011" spans="1:5" x14ac:dyDescent="0.3">
      <c r="A1011" t="s">
        <v>65</v>
      </c>
      <c r="B1011" t="s">
        <v>72</v>
      </c>
      <c r="C1011" t="s">
        <v>86</v>
      </c>
      <c r="D1011" t="s">
        <v>34</v>
      </c>
      <c r="E1011">
        <v>56.119703420966893</v>
      </c>
    </row>
    <row r="1012" spans="1:5" x14ac:dyDescent="0.3">
      <c r="A1012" t="s">
        <v>65</v>
      </c>
      <c r="B1012" t="s">
        <v>72</v>
      </c>
      <c r="C1012" t="s">
        <v>87</v>
      </c>
      <c r="D1012" t="s">
        <v>34</v>
      </c>
      <c r="E1012">
        <v>53.987912360613613</v>
      </c>
    </row>
    <row r="1013" spans="1:5" x14ac:dyDescent="0.3">
      <c r="A1013" t="s">
        <v>65</v>
      </c>
      <c r="B1013" t="s">
        <v>73</v>
      </c>
      <c r="C1013" t="s">
        <v>88</v>
      </c>
      <c r="D1013" t="s">
        <v>34</v>
      </c>
      <c r="E1013">
        <v>53.825914137865759</v>
      </c>
    </row>
    <row r="1014" spans="1:5" x14ac:dyDescent="0.3">
      <c r="A1014" t="s">
        <v>65</v>
      </c>
      <c r="B1014" t="s">
        <v>73</v>
      </c>
      <c r="C1014" t="s">
        <v>89</v>
      </c>
      <c r="D1014" t="s">
        <v>34</v>
      </c>
      <c r="E1014">
        <v>56.089223600448577</v>
      </c>
    </row>
    <row r="1015" spans="1:5" x14ac:dyDescent="0.3">
      <c r="A1015" t="s">
        <v>65</v>
      </c>
      <c r="B1015" t="s">
        <v>74</v>
      </c>
      <c r="C1015" t="s">
        <v>90</v>
      </c>
      <c r="D1015" t="s">
        <v>34</v>
      </c>
      <c r="E1015">
        <v>53.941601375365003</v>
      </c>
    </row>
    <row r="1016" spans="1:5" x14ac:dyDescent="0.3">
      <c r="A1016" t="s">
        <v>65</v>
      </c>
      <c r="B1016" t="s">
        <v>74</v>
      </c>
      <c r="C1016" t="s">
        <v>91</v>
      </c>
      <c r="D1016" t="s">
        <v>34</v>
      </c>
      <c r="E1016">
        <v>55.637312929986692</v>
      </c>
    </row>
    <row r="1017" spans="1:5" x14ac:dyDescent="0.3">
      <c r="A1017" t="s">
        <v>65</v>
      </c>
      <c r="B1017" t="s">
        <v>75</v>
      </c>
      <c r="C1017" t="s">
        <v>92</v>
      </c>
      <c r="D1017" t="s">
        <v>34</v>
      </c>
      <c r="E1017">
        <v>56.42118142870023</v>
      </c>
    </row>
    <row r="1018" spans="1:5" x14ac:dyDescent="0.3">
      <c r="A1018" t="s">
        <v>65</v>
      </c>
      <c r="B1018" t="s">
        <v>75</v>
      </c>
      <c r="C1018" t="s">
        <v>93</v>
      </c>
      <c r="D1018" t="s">
        <v>34</v>
      </c>
      <c r="E1018">
        <v>54.385014377841877</v>
      </c>
    </row>
    <row r="1019" spans="1:5" x14ac:dyDescent="0.3">
      <c r="A1019" t="s">
        <v>65</v>
      </c>
      <c r="B1019" t="s">
        <v>75</v>
      </c>
      <c r="C1019" t="s">
        <v>94</v>
      </c>
      <c r="D1019" t="s">
        <v>34</v>
      </c>
      <c r="E1019">
        <v>53.703355805108188</v>
      </c>
    </row>
    <row r="1020" spans="1:5" x14ac:dyDescent="0.3">
      <c r="A1020" t="s">
        <v>65</v>
      </c>
      <c r="B1020" t="s">
        <v>75</v>
      </c>
      <c r="C1020" t="s">
        <v>95</v>
      </c>
      <c r="D1020" t="s">
        <v>34</v>
      </c>
      <c r="E1020">
        <v>53.970846829262911</v>
      </c>
    </row>
    <row r="1021" spans="1:5" x14ac:dyDescent="0.3">
      <c r="A1021" t="s">
        <v>65</v>
      </c>
      <c r="B1021" t="s">
        <v>76</v>
      </c>
      <c r="C1021" t="s">
        <v>96</v>
      </c>
      <c r="D1021" t="s">
        <v>34</v>
      </c>
      <c r="E1021">
        <v>53.391521727707307</v>
      </c>
    </row>
    <row r="1022" spans="1:5" x14ac:dyDescent="0.3">
      <c r="A1022" t="s">
        <v>65</v>
      </c>
      <c r="B1022" t="s">
        <v>76</v>
      </c>
      <c r="C1022" t="s">
        <v>97</v>
      </c>
      <c r="D1022" t="s">
        <v>34</v>
      </c>
      <c r="E1022">
        <v>57.215653871363948</v>
      </c>
    </row>
    <row r="1023" spans="1:5" x14ac:dyDescent="0.3">
      <c r="A1023" t="s">
        <v>65</v>
      </c>
      <c r="B1023" t="s">
        <v>76</v>
      </c>
      <c r="C1023" t="s">
        <v>98</v>
      </c>
      <c r="D1023" t="s">
        <v>34</v>
      </c>
      <c r="E1023">
        <v>54.507403403925117</v>
      </c>
    </row>
    <row r="1024" spans="1:5" x14ac:dyDescent="0.3">
      <c r="A1024" t="s">
        <v>65</v>
      </c>
      <c r="B1024" t="s">
        <v>0</v>
      </c>
      <c r="C1024" t="s">
        <v>99</v>
      </c>
      <c r="D1024" t="s">
        <v>34</v>
      </c>
      <c r="E1024">
        <v>61.65198812626668</v>
      </c>
    </row>
    <row r="1025" spans="1:5" x14ac:dyDescent="0.3">
      <c r="A1025" t="s">
        <v>65</v>
      </c>
      <c r="B1025" t="s">
        <v>0</v>
      </c>
      <c r="C1025" t="s">
        <v>100</v>
      </c>
      <c r="D1025" t="s">
        <v>34</v>
      </c>
      <c r="E1025">
        <v>65.51418439716312</v>
      </c>
    </row>
    <row r="1026" spans="1:5" x14ac:dyDescent="0.3">
      <c r="A1026" t="s">
        <v>65</v>
      </c>
      <c r="B1026" t="s">
        <v>0</v>
      </c>
      <c r="C1026" t="s">
        <v>101</v>
      </c>
      <c r="D1026" t="s">
        <v>34</v>
      </c>
      <c r="E1026">
        <v>58.445945945945937</v>
      </c>
    </row>
    <row r="1027" spans="1:5" x14ac:dyDescent="0.3">
      <c r="A1027" t="s">
        <v>65</v>
      </c>
      <c r="B1027" t="s">
        <v>0</v>
      </c>
      <c r="C1027" t="s">
        <v>102</v>
      </c>
      <c r="D1027" t="s">
        <v>34</v>
      </c>
      <c r="E1027">
        <v>45.089295650124789</v>
      </c>
    </row>
    <row r="1028" spans="1:5" x14ac:dyDescent="0.3">
      <c r="A1028" t="s">
        <v>65</v>
      </c>
      <c r="B1028" t="s">
        <v>0</v>
      </c>
      <c r="C1028" t="s">
        <v>103</v>
      </c>
      <c r="D1028" t="s">
        <v>34</v>
      </c>
      <c r="E1028">
        <v>58.690183748665248</v>
      </c>
    </row>
    <row r="1029" spans="1:5" x14ac:dyDescent="0.3">
      <c r="A1029" t="s">
        <v>65</v>
      </c>
      <c r="B1029" t="s">
        <v>0</v>
      </c>
      <c r="C1029" t="s">
        <v>104</v>
      </c>
      <c r="D1029" t="s">
        <v>34</v>
      </c>
      <c r="E1029">
        <v>50.976361767728683</v>
      </c>
    </row>
    <row r="1030" spans="1:5" x14ac:dyDescent="0.3">
      <c r="A1030" t="s">
        <v>65</v>
      </c>
      <c r="B1030" t="s">
        <v>0</v>
      </c>
      <c r="C1030" t="s">
        <v>105</v>
      </c>
      <c r="D1030" t="s">
        <v>34</v>
      </c>
      <c r="E1030">
        <v>38.402613940268772</v>
      </c>
    </row>
    <row r="1031" spans="1:5" x14ac:dyDescent="0.3">
      <c r="A1031" t="s">
        <v>65</v>
      </c>
      <c r="B1031" t="s">
        <v>0</v>
      </c>
      <c r="C1031" t="s">
        <v>106</v>
      </c>
      <c r="D1031" t="s">
        <v>34</v>
      </c>
      <c r="E1031">
        <v>44.675324675324667</v>
      </c>
    </row>
    <row r="1032" spans="1:5" x14ac:dyDescent="0.3">
      <c r="A1032" t="s">
        <v>65</v>
      </c>
      <c r="B1032" t="s">
        <v>0</v>
      </c>
      <c r="C1032" t="s">
        <v>107</v>
      </c>
      <c r="D1032" t="s">
        <v>34</v>
      </c>
      <c r="E1032">
        <v>58.176398549215733</v>
      </c>
    </row>
    <row r="1033" spans="1:5" x14ac:dyDescent="0.3">
      <c r="A1033" t="s">
        <v>65</v>
      </c>
      <c r="B1033" t="s">
        <v>0</v>
      </c>
      <c r="C1033" t="s">
        <v>108</v>
      </c>
      <c r="D1033" t="s">
        <v>34</v>
      </c>
      <c r="E1033">
        <v>51.226774112703858</v>
      </c>
    </row>
    <row r="1034" spans="1:5" x14ac:dyDescent="0.3">
      <c r="A1034" t="s">
        <v>65</v>
      </c>
      <c r="B1034" t="s">
        <v>0</v>
      </c>
      <c r="C1034" t="s">
        <v>109</v>
      </c>
      <c r="D1034" t="s">
        <v>34</v>
      </c>
      <c r="E1034">
        <v>61.373390557939913</v>
      </c>
    </row>
    <row r="1035" spans="1:5" x14ac:dyDescent="0.3">
      <c r="A1035" t="s">
        <v>65</v>
      </c>
      <c r="B1035" t="s">
        <v>0</v>
      </c>
      <c r="C1035" t="s">
        <v>110</v>
      </c>
      <c r="D1035" t="s">
        <v>34</v>
      </c>
      <c r="E1035">
        <v>62.039304593112263</v>
      </c>
    </row>
    <row r="1036" spans="1:5" x14ac:dyDescent="0.3">
      <c r="A1036" t="s">
        <v>65</v>
      </c>
      <c r="B1036" t="s">
        <v>0</v>
      </c>
      <c r="C1036" t="s">
        <v>111</v>
      </c>
      <c r="D1036" t="s">
        <v>34</v>
      </c>
      <c r="E1036">
        <v>50.520833333333343</v>
      </c>
    </row>
    <row r="1037" spans="1:5" x14ac:dyDescent="0.3">
      <c r="A1037" t="s">
        <v>65</v>
      </c>
      <c r="B1037" t="s">
        <v>0</v>
      </c>
      <c r="C1037" t="s">
        <v>112</v>
      </c>
      <c r="D1037" t="s">
        <v>34</v>
      </c>
      <c r="E1037">
        <v>62.347826086956523</v>
      </c>
    </row>
    <row r="1038" spans="1:5" x14ac:dyDescent="0.3">
      <c r="A1038" t="s">
        <v>65</v>
      </c>
      <c r="B1038" t="s">
        <v>0</v>
      </c>
      <c r="C1038" t="s">
        <v>113</v>
      </c>
      <c r="D1038" t="s">
        <v>34</v>
      </c>
      <c r="E1038">
        <v>55.649902024820392</v>
      </c>
    </row>
    <row r="1039" spans="1:5" x14ac:dyDescent="0.3">
      <c r="A1039" t="s">
        <v>65</v>
      </c>
      <c r="B1039" t="s">
        <v>0</v>
      </c>
      <c r="C1039" t="s">
        <v>114</v>
      </c>
      <c r="D1039" t="s">
        <v>34</v>
      </c>
      <c r="E1039">
        <v>54.414959753236523</v>
      </c>
    </row>
    <row r="1040" spans="1:5" x14ac:dyDescent="0.3">
      <c r="A1040" t="s">
        <v>65</v>
      </c>
      <c r="B1040" t="s">
        <v>0</v>
      </c>
      <c r="C1040" t="s">
        <v>115</v>
      </c>
      <c r="D1040" t="s">
        <v>34</v>
      </c>
      <c r="E1040">
        <v>60.392506690454951</v>
      </c>
    </row>
    <row r="1041" spans="1:5" x14ac:dyDescent="0.3">
      <c r="A1041" t="s">
        <v>65</v>
      </c>
      <c r="B1041" t="s">
        <v>0</v>
      </c>
      <c r="C1041" t="s">
        <v>116</v>
      </c>
      <c r="D1041" t="s">
        <v>34</v>
      </c>
      <c r="E1041">
        <v>50.146958928015707</v>
      </c>
    </row>
    <row r="1042" spans="1:5" x14ac:dyDescent="0.3">
      <c r="A1042" t="s">
        <v>65</v>
      </c>
      <c r="B1042" t="s">
        <v>69</v>
      </c>
      <c r="C1042" t="s">
        <v>69</v>
      </c>
      <c r="D1042" t="s">
        <v>35</v>
      </c>
      <c r="E1042">
        <v>18.15936313116255</v>
      </c>
    </row>
    <row r="1043" spans="1:5" x14ac:dyDescent="0.3">
      <c r="A1043" t="s">
        <v>65</v>
      </c>
      <c r="B1043" t="s">
        <v>70</v>
      </c>
      <c r="C1043" t="s">
        <v>78</v>
      </c>
      <c r="D1043" t="s">
        <v>35</v>
      </c>
      <c r="E1043">
        <v>15.55514717497036</v>
      </c>
    </row>
    <row r="1044" spans="1:5" x14ac:dyDescent="0.3">
      <c r="A1044" t="s">
        <v>65</v>
      </c>
      <c r="B1044" t="s">
        <v>70</v>
      </c>
      <c r="C1044" t="s">
        <v>79</v>
      </c>
      <c r="D1044" t="s">
        <v>35</v>
      </c>
      <c r="E1044">
        <v>19.780433650330739</v>
      </c>
    </row>
    <row r="1045" spans="1:5" x14ac:dyDescent="0.3">
      <c r="A1045" t="s">
        <v>65</v>
      </c>
      <c r="B1045" t="s">
        <v>70</v>
      </c>
      <c r="C1045" t="s">
        <v>80</v>
      </c>
      <c r="D1045" t="s">
        <v>35</v>
      </c>
      <c r="E1045">
        <v>19.653561714558911</v>
      </c>
    </row>
    <row r="1046" spans="1:5" x14ac:dyDescent="0.3">
      <c r="A1046" t="s">
        <v>65</v>
      </c>
      <c r="B1046" t="s">
        <v>70</v>
      </c>
      <c r="C1046" t="s">
        <v>81</v>
      </c>
      <c r="D1046" t="s">
        <v>35</v>
      </c>
      <c r="E1046">
        <v>14.35178891501938</v>
      </c>
    </row>
    <row r="1047" spans="1:5" x14ac:dyDescent="0.3">
      <c r="A1047" t="s">
        <v>65</v>
      </c>
      <c r="B1047" t="s">
        <v>71</v>
      </c>
      <c r="C1047" t="s">
        <v>82</v>
      </c>
      <c r="D1047" t="s">
        <v>35</v>
      </c>
      <c r="E1047">
        <v>21.355511677240571</v>
      </c>
    </row>
    <row r="1048" spans="1:5" x14ac:dyDescent="0.3">
      <c r="A1048" t="s">
        <v>65</v>
      </c>
      <c r="B1048" t="s">
        <v>71</v>
      </c>
      <c r="C1048" t="s">
        <v>83</v>
      </c>
      <c r="D1048" t="s">
        <v>35</v>
      </c>
      <c r="E1048">
        <v>17.766968208575751</v>
      </c>
    </row>
    <row r="1049" spans="1:5" x14ac:dyDescent="0.3">
      <c r="A1049" t="s">
        <v>65</v>
      </c>
      <c r="B1049" t="s">
        <v>71</v>
      </c>
      <c r="C1049" t="s">
        <v>84</v>
      </c>
      <c r="D1049" t="s">
        <v>35</v>
      </c>
      <c r="E1049">
        <v>16.45452310748556</v>
      </c>
    </row>
    <row r="1050" spans="1:5" x14ac:dyDescent="0.3">
      <c r="A1050" t="s">
        <v>65</v>
      </c>
      <c r="B1050" t="s">
        <v>71</v>
      </c>
      <c r="C1050" t="s">
        <v>85</v>
      </c>
      <c r="D1050" t="s">
        <v>35</v>
      </c>
      <c r="E1050">
        <v>18.751474652793409</v>
      </c>
    </row>
    <row r="1051" spans="1:5" x14ac:dyDescent="0.3">
      <c r="A1051" t="s">
        <v>65</v>
      </c>
      <c r="B1051" t="s">
        <v>72</v>
      </c>
      <c r="C1051" t="s">
        <v>86</v>
      </c>
      <c r="D1051" t="s">
        <v>35</v>
      </c>
      <c r="E1051">
        <v>17.084039093849309</v>
      </c>
    </row>
    <row r="1052" spans="1:5" x14ac:dyDescent="0.3">
      <c r="A1052" t="s">
        <v>65</v>
      </c>
      <c r="B1052" t="s">
        <v>72</v>
      </c>
      <c r="C1052" t="s">
        <v>87</v>
      </c>
      <c r="D1052" t="s">
        <v>35</v>
      </c>
      <c r="E1052">
        <v>19.289374381470299</v>
      </c>
    </row>
    <row r="1053" spans="1:5" x14ac:dyDescent="0.3">
      <c r="A1053" t="s">
        <v>65</v>
      </c>
      <c r="B1053" t="s">
        <v>73</v>
      </c>
      <c r="C1053" t="s">
        <v>88</v>
      </c>
      <c r="D1053" t="s">
        <v>35</v>
      </c>
      <c r="E1053">
        <v>19.046497161849921</v>
      </c>
    </row>
    <row r="1054" spans="1:5" x14ac:dyDescent="0.3">
      <c r="A1054" t="s">
        <v>65</v>
      </c>
      <c r="B1054" t="s">
        <v>73</v>
      </c>
      <c r="C1054" t="s">
        <v>89</v>
      </c>
      <c r="D1054" t="s">
        <v>35</v>
      </c>
      <c r="E1054">
        <v>17.479397936208631</v>
      </c>
    </row>
    <row r="1055" spans="1:5" x14ac:dyDescent="0.3">
      <c r="A1055" t="s">
        <v>65</v>
      </c>
      <c r="B1055" t="s">
        <v>74</v>
      </c>
      <c r="C1055" t="s">
        <v>90</v>
      </c>
      <c r="D1055" t="s">
        <v>35</v>
      </c>
      <c r="E1055">
        <v>17.202033425745029</v>
      </c>
    </row>
    <row r="1056" spans="1:5" x14ac:dyDescent="0.3">
      <c r="A1056" t="s">
        <v>65</v>
      </c>
      <c r="B1056" t="s">
        <v>74</v>
      </c>
      <c r="C1056" t="s">
        <v>91</v>
      </c>
      <c r="D1056" t="s">
        <v>35</v>
      </c>
      <c r="E1056">
        <v>18.592794015570799</v>
      </c>
    </row>
    <row r="1057" spans="1:5" x14ac:dyDescent="0.3">
      <c r="A1057" t="s">
        <v>65</v>
      </c>
      <c r="B1057" t="s">
        <v>75</v>
      </c>
      <c r="C1057" t="s">
        <v>92</v>
      </c>
      <c r="D1057" t="s">
        <v>35</v>
      </c>
      <c r="E1057">
        <v>19.48276465217479</v>
      </c>
    </row>
    <row r="1058" spans="1:5" x14ac:dyDescent="0.3">
      <c r="A1058" t="s">
        <v>65</v>
      </c>
      <c r="B1058" t="s">
        <v>75</v>
      </c>
      <c r="C1058" t="s">
        <v>93</v>
      </c>
      <c r="D1058" t="s">
        <v>35</v>
      </c>
      <c r="E1058">
        <v>18.75923638350617</v>
      </c>
    </row>
    <row r="1059" spans="1:5" x14ac:dyDescent="0.3">
      <c r="A1059" t="s">
        <v>65</v>
      </c>
      <c r="B1059" t="s">
        <v>75</v>
      </c>
      <c r="C1059" t="s">
        <v>94</v>
      </c>
      <c r="D1059" t="s">
        <v>35</v>
      </c>
      <c r="E1059">
        <v>18.53852535563469</v>
      </c>
    </row>
    <row r="1060" spans="1:5" x14ac:dyDescent="0.3">
      <c r="A1060" t="s">
        <v>65</v>
      </c>
      <c r="B1060" t="s">
        <v>75</v>
      </c>
      <c r="C1060" t="s">
        <v>95</v>
      </c>
      <c r="D1060" t="s">
        <v>35</v>
      </c>
      <c r="E1060">
        <v>15.09430624824417</v>
      </c>
    </row>
    <row r="1061" spans="1:5" x14ac:dyDescent="0.3">
      <c r="A1061" t="s">
        <v>65</v>
      </c>
      <c r="B1061" t="s">
        <v>76</v>
      </c>
      <c r="C1061" t="s">
        <v>96</v>
      </c>
      <c r="D1061" t="s">
        <v>35</v>
      </c>
      <c r="E1061">
        <v>18.514967349530991</v>
      </c>
    </row>
    <row r="1062" spans="1:5" x14ac:dyDescent="0.3">
      <c r="A1062" t="s">
        <v>65</v>
      </c>
      <c r="B1062" t="s">
        <v>76</v>
      </c>
      <c r="C1062" t="s">
        <v>97</v>
      </c>
      <c r="D1062" t="s">
        <v>35</v>
      </c>
      <c r="E1062">
        <v>18.67078710050577</v>
      </c>
    </row>
    <row r="1063" spans="1:5" x14ac:dyDescent="0.3">
      <c r="A1063" t="s">
        <v>65</v>
      </c>
      <c r="B1063" t="s">
        <v>76</v>
      </c>
      <c r="C1063" t="s">
        <v>98</v>
      </c>
      <c r="D1063" t="s">
        <v>35</v>
      </c>
      <c r="E1063">
        <v>17.698616492430229</v>
      </c>
    </row>
    <row r="1064" spans="1:5" x14ac:dyDescent="0.3">
      <c r="A1064" t="s">
        <v>65</v>
      </c>
      <c r="B1064" t="s">
        <v>0</v>
      </c>
      <c r="C1064" t="s">
        <v>99</v>
      </c>
      <c r="D1064" t="s">
        <v>35</v>
      </c>
      <c r="E1064">
        <v>15.851943580927269</v>
      </c>
    </row>
    <row r="1065" spans="1:5" x14ac:dyDescent="0.3">
      <c r="A1065" t="s">
        <v>65</v>
      </c>
      <c r="B1065" t="s">
        <v>0</v>
      </c>
      <c r="C1065" t="s">
        <v>100</v>
      </c>
      <c r="D1065" t="s">
        <v>35</v>
      </c>
      <c r="E1065">
        <v>20.656028368794331</v>
      </c>
    </row>
    <row r="1066" spans="1:5" x14ac:dyDescent="0.3">
      <c r="A1066" t="s">
        <v>65</v>
      </c>
      <c r="B1066" t="s">
        <v>0</v>
      </c>
      <c r="C1066" t="s">
        <v>101</v>
      </c>
      <c r="D1066" t="s">
        <v>35</v>
      </c>
      <c r="E1066">
        <v>14.10472972972973</v>
      </c>
    </row>
    <row r="1067" spans="1:5" x14ac:dyDescent="0.3">
      <c r="A1067" t="s">
        <v>65</v>
      </c>
      <c r="B1067" t="s">
        <v>0</v>
      </c>
      <c r="C1067" t="s">
        <v>102</v>
      </c>
      <c r="D1067" t="s">
        <v>35</v>
      </c>
      <c r="E1067">
        <v>5.3194548438443112</v>
      </c>
    </row>
    <row r="1068" spans="1:5" x14ac:dyDescent="0.3">
      <c r="A1068" t="s">
        <v>65</v>
      </c>
      <c r="B1068" t="s">
        <v>0</v>
      </c>
      <c r="C1068" t="s">
        <v>103</v>
      </c>
      <c r="D1068" t="s">
        <v>35</v>
      </c>
      <c r="E1068">
        <v>9.9695757240167762</v>
      </c>
    </row>
    <row r="1069" spans="1:5" x14ac:dyDescent="0.3">
      <c r="A1069" t="s">
        <v>65</v>
      </c>
      <c r="B1069" t="s">
        <v>0</v>
      </c>
      <c r="C1069" t="s">
        <v>104</v>
      </c>
      <c r="D1069" t="s">
        <v>35</v>
      </c>
      <c r="E1069">
        <v>22.096608427543678</v>
      </c>
    </row>
    <row r="1070" spans="1:5" x14ac:dyDescent="0.3">
      <c r="A1070" t="s">
        <v>65</v>
      </c>
      <c r="B1070" t="s">
        <v>0</v>
      </c>
      <c r="C1070" t="s">
        <v>105</v>
      </c>
      <c r="D1070" t="s">
        <v>35</v>
      </c>
      <c r="E1070">
        <v>5.2663775486440993</v>
      </c>
    </row>
    <row r="1071" spans="1:5" x14ac:dyDescent="0.3">
      <c r="A1071" t="s">
        <v>65</v>
      </c>
      <c r="B1071" t="s">
        <v>0</v>
      </c>
      <c r="C1071" t="s">
        <v>106</v>
      </c>
      <c r="D1071" t="s">
        <v>35</v>
      </c>
      <c r="E1071">
        <v>40.865800865800857</v>
      </c>
    </row>
    <row r="1072" spans="1:5" x14ac:dyDescent="0.3">
      <c r="A1072" t="s">
        <v>65</v>
      </c>
      <c r="B1072" t="s">
        <v>0</v>
      </c>
      <c r="C1072" t="s">
        <v>107</v>
      </c>
      <c r="D1072" t="s">
        <v>35</v>
      </c>
      <c r="E1072">
        <v>14.98015997941642</v>
      </c>
    </row>
    <row r="1073" spans="1:5" x14ac:dyDescent="0.3">
      <c r="A1073" t="s">
        <v>65</v>
      </c>
      <c r="B1073" t="s">
        <v>0</v>
      </c>
      <c r="C1073" t="s">
        <v>108</v>
      </c>
      <c r="D1073" t="s">
        <v>35</v>
      </c>
      <c r="E1073">
        <v>8.971274482722583</v>
      </c>
    </row>
    <row r="1074" spans="1:5" x14ac:dyDescent="0.3">
      <c r="A1074" t="s">
        <v>65</v>
      </c>
      <c r="B1074" t="s">
        <v>0</v>
      </c>
      <c r="C1074" t="s">
        <v>109</v>
      </c>
      <c r="D1074" t="s">
        <v>35</v>
      </c>
      <c r="E1074">
        <v>13.39055793991416</v>
      </c>
    </row>
    <row r="1075" spans="1:5" x14ac:dyDescent="0.3">
      <c r="A1075" t="s">
        <v>65</v>
      </c>
      <c r="B1075" t="s">
        <v>0</v>
      </c>
      <c r="C1075" t="s">
        <v>110</v>
      </c>
      <c r="D1075" t="s">
        <v>35</v>
      </c>
      <c r="E1075">
        <v>23.048920926286229</v>
      </c>
    </row>
    <row r="1076" spans="1:5" x14ac:dyDescent="0.3">
      <c r="A1076" t="s">
        <v>65</v>
      </c>
      <c r="B1076" t="s">
        <v>0</v>
      </c>
      <c r="C1076" t="s">
        <v>111</v>
      </c>
      <c r="D1076" t="s">
        <v>35</v>
      </c>
      <c r="E1076">
        <v>27.1875</v>
      </c>
    </row>
    <row r="1077" spans="1:5" x14ac:dyDescent="0.3">
      <c r="A1077" t="s">
        <v>65</v>
      </c>
      <c r="B1077" t="s">
        <v>0</v>
      </c>
      <c r="C1077" t="s">
        <v>112</v>
      </c>
      <c r="D1077" t="s">
        <v>35</v>
      </c>
      <c r="E1077">
        <v>13.04347826086957</v>
      </c>
    </row>
    <row r="1078" spans="1:5" x14ac:dyDescent="0.3">
      <c r="A1078" t="s">
        <v>65</v>
      </c>
      <c r="B1078" t="s">
        <v>0</v>
      </c>
      <c r="C1078" t="s">
        <v>113</v>
      </c>
      <c r="D1078" t="s">
        <v>35</v>
      </c>
      <c r="E1078">
        <v>20.748965817548449</v>
      </c>
    </row>
    <row r="1079" spans="1:5" x14ac:dyDescent="0.3">
      <c r="A1079" t="s">
        <v>65</v>
      </c>
      <c r="B1079" t="s">
        <v>0</v>
      </c>
      <c r="C1079" t="s">
        <v>114</v>
      </c>
      <c r="D1079" t="s">
        <v>35</v>
      </c>
      <c r="E1079">
        <v>15.183306420945261</v>
      </c>
    </row>
    <row r="1080" spans="1:5" x14ac:dyDescent="0.3">
      <c r="A1080" t="s">
        <v>65</v>
      </c>
      <c r="B1080" t="s">
        <v>0</v>
      </c>
      <c r="C1080" t="s">
        <v>115</v>
      </c>
      <c r="D1080" t="s">
        <v>35</v>
      </c>
      <c r="E1080">
        <v>27.564674397859061</v>
      </c>
    </row>
    <row r="1081" spans="1:5" x14ac:dyDescent="0.3">
      <c r="A1081" t="s">
        <v>65</v>
      </c>
      <c r="B1081" t="s">
        <v>0</v>
      </c>
      <c r="C1081" t="s">
        <v>116</v>
      </c>
      <c r="D1081" t="s">
        <v>35</v>
      </c>
      <c r="E1081">
        <v>28.883142268545939</v>
      </c>
    </row>
    <row r="1082" spans="1:5" x14ac:dyDescent="0.3">
      <c r="A1082" t="s">
        <v>65</v>
      </c>
      <c r="B1082" t="s">
        <v>69</v>
      </c>
      <c r="C1082" t="s">
        <v>69</v>
      </c>
      <c r="D1082" t="s">
        <v>36</v>
      </c>
      <c r="E1082">
        <v>2.2791213330895839</v>
      </c>
    </row>
    <row r="1083" spans="1:5" x14ac:dyDescent="0.3">
      <c r="A1083" t="s">
        <v>65</v>
      </c>
      <c r="B1083" t="s">
        <v>70</v>
      </c>
      <c r="C1083" t="s">
        <v>78</v>
      </c>
      <c r="D1083" t="s">
        <v>36</v>
      </c>
      <c r="E1083">
        <v>2.3660234998096579</v>
      </c>
    </row>
    <row r="1084" spans="1:5" x14ac:dyDescent="0.3">
      <c r="A1084" t="s">
        <v>65</v>
      </c>
      <c r="B1084" t="s">
        <v>70</v>
      </c>
      <c r="C1084" t="s">
        <v>79</v>
      </c>
      <c r="D1084" t="s">
        <v>36</v>
      </c>
      <c r="E1084">
        <v>2.3963549694917341</v>
      </c>
    </row>
    <row r="1085" spans="1:5" x14ac:dyDescent="0.3">
      <c r="A1085" t="s">
        <v>65</v>
      </c>
      <c r="B1085" t="s">
        <v>70</v>
      </c>
      <c r="C1085" t="s">
        <v>80</v>
      </c>
      <c r="D1085" t="s">
        <v>36</v>
      </c>
      <c r="E1085">
        <v>1.872010936354648</v>
      </c>
    </row>
    <row r="1086" spans="1:5" x14ac:dyDescent="0.3">
      <c r="A1086" t="s">
        <v>65</v>
      </c>
      <c r="B1086" t="s">
        <v>70</v>
      </c>
      <c r="C1086" t="s">
        <v>81</v>
      </c>
      <c r="D1086" t="s">
        <v>36</v>
      </c>
      <c r="E1086">
        <v>2.4185551057844039</v>
      </c>
    </row>
    <row r="1087" spans="1:5" x14ac:dyDescent="0.3">
      <c r="A1087" t="s">
        <v>65</v>
      </c>
      <c r="B1087" t="s">
        <v>71</v>
      </c>
      <c r="C1087" t="s">
        <v>82</v>
      </c>
      <c r="D1087" t="s">
        <v>36</v>
      </c>
      <c r="E1087">
        <v>2.474518589618937</v>
      </c>
    </row>
    <row r="1088" spans="1:5" x14ac:dyDescent="0.3">
      <c r="A1088" t="s">
        <v>65</v>
      </c>
      <c r="B1088" t="s">
        <v>71</v>
      </c>
      <c r="C1088" t="s">
        <v>83</v>
      </c>
      <c r="D1088" t="s">
        <v>36</v>
      </c>
      <c r="E1088">
        <v>2.1271017607164779</v>
      </c>
    </row>
    <row r="1089" spans="1:5" x14ac:dyDescent="0.3">
      <c r="A1089" t="s">
        <v>65</v>
      </c>
      <c r="B1089" t="s">
        <v>71</v>
      </c>
      <c r="C1089" t="s">
        <v>84</v>
      </c>
      <c r="D1089" t="s">
        <v>36</v>
      </c>
      <c r="E1089">
        <v>2.5087092854637478</v>
      </c>
    </row>
    <row r="1090" spans="1:5" x14ac:dyDescent="0.3">
      <c r="A1090" t="s">
        <v>65</v>
      </c>
      <c r="B1090" t="s">
        <v>71</v>
      </c>
      <c r="C1090" t="s">
        <v>85</v>
      </c>
      <c r="D1090" t="s">
        <v>36</v>
      </c>
      <c r="E1090">
        <v>1.659659144975866</v>
      </c>
    </row>
    <row r="1091" spans="1:5" x14ac:dyDescent="0.3">
      <c r="A1091" t="s">
        <v>65</v>
      </c>
      <c r="B1091" t="s">
        <v>72</v>
      </c>
      <c r="C1091" t="s">
        <v>86</v>
      </c>
      <c r="D1091" t="s">
        <v>36</v>
      </c>
      <c r="E1091">
        <v>2.1483782774837881</v>
      </c>
    </row>
    <row r="1092" spans="1:5" x14ac:dyDescent="0.3">
      <c r="A1092" t="s">
        <v>65</v>
      </c>
      <c r="B1092" t="s">
        <v>72</v>
      </c>
      <c r="C1092" t="s">
        <v>87</v>
      </c>
      <c r="D1092" t="s">
        <v>36</v>
      </c>
      <c r="E1092">
        <v>2.4165135224275089</v>
      </c>
    </row>
    <row r="1093" spans="1:5" x14ac:dyDescent="0.3">
      <c r="A1093" t="s">
        <v>65</v>
      </c>
      <c r="B1093" t="s">
        <v>73</v>
      </c>
      <c r="C1093" t="s">
        <v>88</v>
      </c>
      <c r="D1093" t="s">
        <v>36</v>
      </c>
      <c r="E1093">
        <v>2.4105087810474282</v>
      </c>
    </row>
    <row r="1094" spans="1:5" x14ac:dyDescent="0.3">
      <c r="A1094" t="s">
        <v>65</v>
      </c>
      <c r="B1094" t="s">
        <v>73</v>
      </c>
      <c r="C1094" t="s">
        <v>89</v>
      </c>
      <c r="D1094" t="s">
        <v>36</v>
      </c>
      <c r="E1094">
        <v>2.19586868418236</v>
      </c>
    </row>
    <row r="1095" spans="1:5" x14ac:dyDescent="0.3">
      <c r="A1095" t="s">
        <v>65</v>
      </c>
      <c r="B1095" t="s">
        <v>74</v>
      </c>
      <c r="C1095" t="s">
        <v>90</v>
      </c>
      <c r="D1095" t="s">
        <v>36</v>
      </c>
      <c r="E1095">
        <v>2.3523602918115358</v>
      </c>
    </row>
    <row r="1096" spans="1:5" x14ac:dyDescent="0.3">
      <c r="A1096" t="s">
        <v>65</v>
      </c>
      <c r="B1096" t="s">
        <v>74</v>
      </c>
      <c r="C1096" t="s">
        <v>91</v>
      </c>
      <c r="D1096" t="s">
        <v>36</v>
      </c>
      <c r="E1096">
        <v>2.2379108378275272</v>
      </c>
    </row>
    <row r="1097" spans="1:5" x14ac:dyDescent="0.3">
      <c r="A1097" t="s">
        <v>65</v>
      </c>
      <c r="B1097" t="s">
        <v>75</v>
      </c>
      <c r="C1097" t="s">
        <v>92</v>
      </c>
      <c r="D1097" t="s">
        <v>36</v>
      </c>
      <c r="E1097">
        <v>2.2493977378879411</v>
      </c>
    </row>
    <row r="1098" spans="1:5" x14ac:dyDescent="0.3">
      <c r="A1098" t="s">
        <v>65</v>
      </c>
      <c r="B1098" t="s">
        <v>75</v>
      </c>
      <c r="C1098" t="s">
        <v>93</v>
      </c>
      <c r="D1098" t="s">
        <v>36</v>
      </c>
      <c r="E1098">
        <v>2.2498393428553078</v>
      </c>
    </row>
    <row r="1099" spans="1:5" x14ac:dyDescent="0.3">
      <c r="A1099" t="s">
        <v>65</v>
      </c>
      <c r="B1099" t="s">
        <v>75</v>
      </c>
      <c r="C1099" t="s">
        <v>94</v>
      </c>
      <c r="D1099" t="s">
        <v>36</v>
      </c>
      <c r="E1099">
        <v>2.7350730115231889</v>
      </c>
    </row>
    <row r="1100" spans="1:5" x14ac:dyDescent="0.3">
      <c r="A1100" t="s">
        <v>65</v>
      </c>
      <c r="B1100" t="s">
        <v>75</v>
      </c>
      <c r="C1100" t="s">
        <v>95</v>
      </c>
      <c r="D1100" t="s">
        <v>36</v>
      </c>
      <c r="E1100">
        <v>2.2998248925261731</v>
      </c>
    </row>
    <row r="1101" spans="1:5" x14ac:dyDescent="0.3">
      <c r="A1101" t="s">
        <v>65</v>
      </c>
      <c r="B1101" t="s">
        <v>76</v>
      </c>
      <c r="C1101" t="s">
        <v>96</v>
      </c>
      <c r="D1101" t="s">
        <v>36</v>
      </c>
      <c r="E1101">
        <v>2.3220118857121328</v>
      </c>
    </row>
    <row r="1102" spans="1:5" x14ac:dyDescent="0.3">
      <c r="A1102" t="s">
        <v>65</v>
      </c>
      <c r="B1102" t="s">
        <v>76</v>
      </c>
      <c r="C1102" t="s">
        <v>97</v>
      </c>
      <c r="D1102" t="s">
        <v>36</v>
      </c>
      <c r="E1102">
        <v>2.0979523688792621</v>
      </c>
    </row>
    <row r="1103" spans="1:5" x14ac:dyDescent="0.3">
      <c r="A1103" t="s">
        <v>65</v>
      </c>
      <c r="B1103" t="s">
        <v>76</v>
      </c>
      <c r="C1103" t="s">
        <v>98</v>
      </c>
      <c r="D1103" t="s">
        <v>36</v>
      </c>
      <c r="E1103">
        <v>2.370453271143087</v>
      </c>
    </row>
    <row r="1104" spans="1:5" x14ac:dyDescent="0.3">
      <c r="A1104" t="s">
        <v>65</v>
      </c>
      <c r="B1104" t="s">
        <v>0</v>
      </c>
      <c r="C1104" t="s">
        <v>99</v>
      </c>
      <c r="D1104" t="s">
        <v>36</v>
      </c>
      <c r="E1104">
        <v>0.48595155245092542</v>
      </c>
    </row>
    <row r="1105" spans="1:5" x14ac:dyDescent="0.3">
      <c r="A1105" t="s">
        <v>65</v>
      </c>
      <c r="B1105" t="s">
        <v>0</v>
      </c>
      <c r="C1105" t="s">
        <v>100</v>
      </c>
      <c r="D1105" t="s">
        <v>36</v>
      </c>
      <c r="E1105">
        <v>1.24113475177305</v>
      </c>
    </row>
    <row r="1106" spans="1:5" x14ac:dyDescent="0.3">
      <c r="A1106" t="s">
        <v>65</v>
      </c>
      <c r="B1106" t="s">
        <v>0</v>
      </c>
      <c r="C1106" t="s">
        <v>101</v>
      </c>
      <c r="D1106" t="s">
        <v>36</v>
      </c>
      <c r="E1106">
        <v>0.7601351351351352</v>
      </c>
    </row>
    <row r="1107" spans="1:5" x14ac:dyDescent="0.3">
      <c r="A1107" t="s">
        <v>65</v>
      </c>
      <c r="B1107" t="s">
        <v>0</v>
      </c>
      <c r="C1107" t="s">
        <v>102</v>
      </c>
      <c r="D1107" t="s">
        <v>36</v>
      </c>
      <c r="E1107">
        <v>0.5944431634822529</v>
      </c>
    </row>
    <row r="1108" spans="1:5" x14ac:dyDescent="0.3">
      <c r="A1108" t="s">
        <v>65</v>
      </c>
      <c r="B1108" t="s">
        <v>0</v>
      </c>
      <c r="C1108" t="s">
        <v>103</v>
      </c>
      <c r="D1108" t="s">
        <v>36</v>
      </c>
      <c r="E1108">
        <v>2.2084371281896269</v>
      </c>
    </row>
    <row r="1109" spans="1:5" x14ac:dyDescent="0.3">
      <c r="A1109" t="s">
        <v>65</v>
      </c>
      <c r="B1109" t="s">
        <v>0</v>
      </c>
      <c r="C1109" t="s">
        <v>104</v>
      </c>
      <c r="D1109" t="s">
        <v>36</v>
      </c>
      <c r="E1109">
        <v>2.4665981500513872</v>
      </c>
    </row>
    <row r="1110" spans="1:5" x14ac:dyDescent="0.3">
      <c r="A1110" t="s">
        <v>65</v>
      </c>
      <c r="B1110" t="s">
        <v>0</v>
      </c>
      <c r="C1110" t="s">
        <v>105</v>
      </c>
      <c r="D1110" t="s">
        <v>36</v>
      </c>
      <c r="E1110">
        <v>2.3153225593775582</v>
      </c>
    </row>
    <row r="1111" spans="1:5" x14ac:dyDescent="0.3">
      <c r="A1111" t="s">
        <v>65</v>
      </c>
      <c r="B1111" t="s">
        <v>0</v>
      </c>
      <c r="C1111" t="s">
        <v>106</v>
      </c>
      <c r="D1111" t="s">
        <v>36</v>
      </c>
      <c r="E1111">
        <v>3.5497835497835499</v>
      </c>
    </row>
    <row r="1112" spans="1:5" x14ac:dyDescent="0.3">
      <c r="A1112" t="s">
        <v>65</v>
      </c>
      <c r="B1112" t="s">
        <v>0</v>
      </c>
      <c r="C1112" t="s">
        <v>107</v>
      </c>
      <c r="D1112" t="s">
        <v>36</v>
      </c>
      <c r="E1112">
        <v>1.8423692697615439</v>
      </c>
    </row>
    <row r="1113" spans="1:5" x14ac:dyDescent="0.3">
      <c r="A1113" t="s">
        <v>65</v>
      </c>
      <c r="B1113" t="s">
        <v>0</v>
      </c>
      <c r="C1113" t="s">
        <v>108</v>
      </c>
      <c r="D1113" t="s">
        <v>36</v>
      </c>
      <c r="E1113">
        <v>3.3867640804427608</v>
      </c>
    </row>
    <row r="1114" spans="1:5" x14ac:dyDescent="0.3">
      <c r="A1114" t="s">
        <v>65</v>
      </c>
      <c r="B1114" t="s">
        <v>0</v>
      </c>
      <c r="C1114" t="s">
        <v>109</v>
      </c>
      <c r="D1114" t="s">
        <v>36</v>
      </c>
      <c r="E1114">
        <v>1.8884120171673819</v>
      </c>
    </row>
    <row r="1115" spans="1:5" x14ac:dyDescent="0.3">
      <c r="A1115" t="s">
        <v>65</v>
      </c>
      <c r="B1115" t="s">
        <v>0</v>
      </c>
      <c r="C1115" t="s">
        <v>110</v>
      </c>
      <c r="D1115" t="s">
        <v>36</v>
      </c>
      <c r="E1115">
        <v>4.2479526924566819</v>
      </c>
    </row>
    <row r="1116" spans="1:5" x14ac:dyDescent="0.3">
      <c r="A1116" t="s">
        <v>65</v>
      </c>
      <c r="B1116" t="s">
        <v>0</v>
      </c>
      <c r="C1116" t="s">
        <v>111</v>
      </c>
      <c r="D1116" t="s">
        <v>36</v>
      </c>
      <c r="E1116">
        <v>6.666666666666667</v>
      </c>
    </row>
    <row r="1117" spans="1:5" x14ac:dyDescent="0.3">
      <c r="A1117" t="s">
        <v>65</v>
      </c>
      <c r="B1117" t="s">
        <v>0</v>
      </c>
      <c r="C1117" t="s">
        <v>112</v>
      </c>
      <c r="D1117" t="s">
        <v>36</v>
      </c>
      <c r="E1117">
        <v>1.130434782608696</v>
      </c>
    </row>
    <row r="1118" spans="1:5" x14ac:dyDescent="0.3">
      <c r="A1118" t="s">
        <v>65</v>
      </c>
      <c r="B1118" t="s">
        <v>0</v>
      </c>
      <c r="C1118" t="s">
        <v>113</v>
      </c>
      <c r="D1118" t="s">
        <v>36</v>
      </c>
      <c r="E1118">
        <v>2.003048116699325</v>
      </c>
    </row>
    <row r="1119" spans="1:5" x14ac:dyDescent="0.3">
      <c r="A1119" t="s">
        <v>65</v>
      </c>
      <c r="B1119" t="s">
        <v>0</v>
      </c>
      <c r="C1119" t="s">
        <v>114</v>
      </c>
      <c r="D1119" t="s">
        <v>36</v>
      </c>
      <c r="E1119">
        <v>3.2302663166412779</v>
      </c>
    </row>
    <row r="1120" spans="1:5" x14ac:dyDescent="0.3">
      <c r="A1120" t="s">
        <v>65</v>
      </c>
      <c r="B1120" t="s">
        <v>0</v>
      </c>
      <c r="C1120" t="s">
        <v>115</v>
      </c>
      <c r="D1120" t="s">
        <v>36</v>
      </c>
      <c r="E1120">
        <v>0.89206066012488849</v>
      </c>
    </row>
    <row r="1121" spans="1:5" x14ac:dyDescent="0.3">
      <c r="A1121" t="s">
        <v>65</v>
      </c>
      <c r="B1121" t="s">
        <v>0</v>
      </c>
      <c r="C1121" t="s">
        <v>116</v>
      </c>
      <c r="D1121" t="s">
        <v>36</v>
      </c>
      <c r="E1121">
        <v>3.7664635271691091</v>
      </c>
    </row>
    <row r="1122" spans="1:5" x14ac:dyDescent="0.3">
      <c r="A1122" t="s">
        <v>66</v>
      </c>
      <c r="B1122" t="s">
        <v>69</v>
      </c>
      <c r="C1122" t="s">
        <v>69</v>
      </c>
      <c r="D1122" t="s">
        <v>33</v>
      </c>
      <c r="E1122">
        <v>25.94435917130988</v>
      </c>
    </row>
    <row r="1123" spans="1:5" x14ac:dyDescent="0.3">
      <c r="A1123" t="s">
        <v>66</v>
      </c>
      <c r="B1123" t="s">
        <v>70</v>
      </c>
      <c r="C1123" t="s">
        <v>78</v>
      </c>
      <c r="D1123" t="s">
        <v>33</v>
      </c>
      <c r="E1123">
        <v>25.952903188170019</v>
      </c>
    </row>
    <row r="1124" spans="1:5" x14ac:dyDescent="0.3">
      <c r="A1124" t="s">
        <v>66</v>
      </c>
      <c r="B1124" t="s">
        <v>70</v>
      </c>
      <c r="C1124" t="s">
        <v>79</v>
      </c>
      <c r="D1124" t="s">
        <v>33</v>
      </c>
      <c r="E1124">
        <v>26.747999136248751</v>
      </c>
    </row>
    <row r="1125" spans="1:5" x14ac:dyDescent="0.3">
      <c r="A1125" t="s">
        <v>66</v>
      </c>
      <c r="B1125" t="s">
        <v>70</v>
      </c>
      <c r="C1125" t="s">
        <v>80</v>
      </c>
      <c r="D1125" t="s">
        <v>33</v>
      </c>
      <c r="E1125">
        <v>24.71093808531894</v>
      </c>
    </row>
    <row r="1126" spans="1:5" x14ac:dyDescent="0.3">
      <c r="A1126" t="s">
        <v>66</v>
      </c>
      <c r="B1126" t="s">
        <v>70</v>
      </c>
      <c r="C1126" t="s">
        <v>81</v>
      </c>
      <c r="D1126" t="s">
        <v>33</v>
      </c>
      <c r="E1126">
        <v>25.453031465254661</v>
      </c>
    </row>
    <row r="1127" spans="1:5" x14ac:dyDescent="0.3">
      <c r="A1127" t="s">
        <v>66</v>
      </c>
      <c r="B1127" t="s">
        <v>71</v>
      </c>
      <c r="C1127" t="s">
        <v>82</v>
      </c>
      <c r="D1127" t="s">
        <v>33</v>
      </c>
      <c r="E1127">
        <v>22.92059095285175</v>
      </c>
    </row>
    <row r="1128" spans="1:5" x14ac:dyDescent="0.3">
      <c r="A1128" t="s">
        <v>66</v>
      </c>
      <c r="B1128" t="s">
        <v>71</v>
      </c>
      <c r="C1128" t="s">
        <v>83</v>
      </c>
      <c r="D1128" t="s">
        <v>33</v>
      </c>
      <c r="E1128">
        <v>26.933027199166801</v>
      </c>
    </row>
    <row r="1129" spans="1:5" x14ac:dyDescent="0.3">
      <c r="A1129" t="s">
        <v>66</v>
      </c>
      <c r="B1129" t="s">
        <v>71</v>
      </c>
      <c r="C1129" t="s">
        <v>84</v>
      </c>
      <c r="D1129" t="s">
        <v>33</v>
      </c>
      <c r="E1129">
        <v>26.99923623433914</v>
      </c>
    </row>
    <row r="1130" spans="1:5" x14ac:dyDescent="0.3">
      <c r="A1130" t="s">
        <v>66</v>
      </c>
      <c r="B1130" t="s">
        <v>71</v>
      </c>
      <c r="C1130" t="s">
        <v>85</v>
      </c>
      <c r="D1130" t="s">
        <v>33</v>
      </c>
      <c r="E1130">
        <v>24.939414717606841</v>
      </c>
    </row>
    <row r="1131" spans="1:5" x14ac:dyDescent="0.3">
      <c r="A1131" t="s">
        <v>66</v>
      </c>
      <c r="B1131" t="s">
        <v>72</v>
      </c>
      <c r="C1131" t="s">
        <v>86</v>
      </c>
      <c r="D1131" t="s">
        <v>33</v>
      </c>
      <c r="E1131">
        <v>25.733776778618061</v>
      </c>
    </row>
    <row r="1132" spans="1:5" x14ac:dyDescent="0.3">
      <c r="A1132" t="s">
        <v>66</v>
      </c>
      <c r="B1132" t="s">
        <v>72</v>
      </c>
      <c r="C1132" t="s">
        <v>87</v>
      </c>
      <c r="D1132" t="s">
        <v>33</v>
      </c>
      <c r="E1132">
        <v>26.162979132392831</v>
      </c>
    </row>
    <row r="1133" spans="1:5" x14ac:dyDescent="0.3">
      <c r="A1133" t="s">
        <v>66</v>
      </c>
      <c r="B1133" t="s">
        <v>73</v>
      </c>
      <c r="C1133" t="s">
        <v>88</v>
      </c>
      <c r="D1133" t="s">
        <v>33</v>
      </c>
      <c r="E1133">
        <v>24.927470854822769</v>
      </c>
    </row>
    <row r="1134" spans="1:5" x14ac:dyDescent="0.3">
      <c r="A1134" t="s">
        <v>66</v>
      </c>
      <c r="B1134" t="s">
        <v>73</v>
      </c>
      <c r="C1134" t="s">
        <v>89</v>
      </c>
      <c r="D1134" t="s">
        <v>33</v>
      </c>
      <c r="E1134">
        <v>26.71587789627468</v>
      </c>
    </row>
    <row r="1135" spans="1:5" x14ac:dyDescent="0.3">
      <c r="A1135" t="s">
        <v>66</v>
      </c>
      <c r="B1135" t="s">
        <v>74</v>
      </c>
      <c r="C1135" t="s">
        <v>90</v>
      </c>
      <c r="D1135" t="s">
        <v>33</v>
      </c>
      <c r="E1135">
        <v>26.210394987433361</v>
      </c>
    </row>
    <row r="1136" spans="1:5" x14ac:dyDescent="0.3">
      <c r="A1136" t="s">
        <v>66</v>
      </c>
      <c r="B1136" t="s">
        <v>74</v>
      </c>
      <c r="C1136" t="s">
        <v>91</v>
      </c>
      <c r="D1136" t="s">
        <v>33</v>
      </c>
      <c r="E1136">
        <v>25.883241018265139</v>
      </c>
    </row>
    <row r="1137" spans="1:5" x14ac:dyDescent="0.3">
      <c r="A1137" t="s">
        <v>66</v>
      </c>
      <c r="B1137" t="s">
        <v>75</v>
      </c>
      <c r="C1137" t="s">
        <v>92</v>
      </c>
      <c r="D1137" t="s">
        <v>33</v>
      </c>
      <c r="E1137">
        <v>25.852896621962969</v>
      </c>
    </row>
    <row r="1138" spans="1:5" x14ac:dyDescent="0.3">
      <c r="A1138" t="s">
        <v>66</v>
      </c>
      <c r="B1138" t="s">
        <v>75</v>
      </c>
      <c r="C1138" t="s">
        <v>93</v>
      </c>
      <c r="D1138" t="s">
        <v>33</v>
      </c>
      <c r="E1138">
        <v>26.63297255266265</v>
      </c>
    </row>
    <row r="1139" spans="1:5" x14ac:dyDescent="0.3">
      <c r="A1139" t="s">
        <v>66</v>
      </c>
      <c r="B1139" t="s">
        <v>75</v>
      </c>
      <c r="C1139" t="s">
        <v>94</v>
      </c>
      <c r="D1139" t="s">
        <v>33</v>
      </c>
      <c r="E1139">
        <v>25.78833222259847</v>
      </c>
    </row>
    <row r="1140" spans="1:5" x14ac:dyDescent="0.3">
      <c r="A1140" t="s">
        <v>66</v>
      </c>
      <c r="B1140" t="s">
        <v>75</v>
      </c>
      <c r="C1140" t="s">
        <v>95</v>
      </c>
      <c r="D1140" t="s">
        <v>33</v>
      </c>
      <c r="E1140">
        <v>28.077974345862479</v>
      </c>
    </row>
    <row r="1141" spans="1:5" x14ac:dyDescent="0.3">
      <c r="A1141" t="s">
        <v>66</v>
      </c>
      <c r="B1141" t="s">
        <v>76</v>
      </c>
      <c r="C1141" t="s">
        <v>96</v>
      </c>
      <c r="D1141" t="s">
        <v>33</v>
      </c>
      <c r="E1141">
        <v>26.38788402032856</v>
      </c>
    </row>
    <row r="1142" spans="1:5" x14ac:dyDescent="0.3">
      <c r="A1142" t="s">
        <v>66</v>
      </c>
      <c r="B1142" t="s">
        <v>76</v>
      </c>
      <c r="C1142" t="s">
        <v>97</v>
      </c>
      <c r="D1142" t="s">
        <v>33</v>
      </c>
      <c r="E1142">
        <v>26.293370037775851</v>
      </c>
    </row>
    <row r="1143" spans="1:5" x14ac:dyDescent="0.3">
      <c r="A1143" t="s">
        <v>66</v>
      </c>
      <c r="B1143" t="s">
        <v>76</v>
      </c>
      <c r="C1143" t="s">
        <v>98</v>
      </c>
      <c r="D1143" t="s">
        <v>33</v>
      </c>
      <c r="E1143">
        <v>25.571591781339571</v>
      </c>
    </row>
    <row r="1144" spans="1:5" x14ac:dyDescent="0.3">
      <c r="A1144" t="s">
        <v>66</v>
      </c>
      <c r="B1144" t="s">
        <v>0</v>
      </c>
      <c r="C1144" t="s">
        <v>99</v>
      </c>
      <c r="D1144" t="s">
        <v>33</v>
      </c>
      <c r="E1144">
        <v>19.249293746831562</v>
      </c>
    </row>
    <row r="1145" spans="1:5" x14ac:dyDescent="0.3">
      <c r="A1145" t="s">
        <v>66</v>
      </c>
      <c r="B1145" t="s">
        <v>0</v>
      </c>
      <c r="C1145" t="s">
        <v>100</v>
      </c>
      <c r="D1145" t="s">
        <v>33</v>
      </c>
      <c r="E1145">
        <v>11.753731343283579</v>
      </c>
    </row>
    <row r="1146" spans="1:5" x14ac:dyDescent="0.3">
      <c r="A1146" t="s">
        <v>66</v>
      </c>
      <c r="B1146" t="s">
        <v>0</v>
      </c>
      <c r="C1146" t="s">
        <v>101</v>
      </c>
      <c r="D1146" t="s">
        <v>33</v>
      </c>
      <c r="E1146">
        <v>33.073593073593067</v>
      </c>
    </row>
    <row r="1147" spans="1:5" x14ac:dyDescent="0.3">
      <c r="A1147" t="s">
        <v>66</v>
      </c>
      <c r="B1147" t="s">
        <v>0</v>
      </c>
      <c r="C1147" t="s">
        <v>102</v>
      </c>
      <c r="D1147" t="s">
        <v>33</v>
      </c>
      <c r="E1147">
        <v>53.471696914150478</v>
      </c>
    </row>
    <row r="1148" spans="1:5" x14ac:dyDescent="0.3">
      <c r="A1148" t="s">
        <v>66</v>
      </c>
      <c r="B1148" t="s">
        <v>0</v>
      </c>
      <c r="C1148" t="s">
        <v>103</v>
      </c>
      <c r="D1148" t="s">
        <v>33</v>
      </c>
      <c r="E1148">
        <v>36.083833759630508</v>
      </c>
    </row>
    <row r="1149" spans="1:5" x14ac:dyDescent="0.3">
      <c r="A1149" t="s">
        <v>66</v>
      </c>
      <c r="B1149" t="s">
        <v>0</v>
      </c>
      <c r="C1149" t="s">
        <v>104</v>
      </c>
      <c r="D1149" t="s">
        <v>33</v>
      </c>
      <c r="E1149">
        <v>36.441586280814583</v>
      </c>
    </row>
    <row r="1150" spans="1:5" x14ac:dyDescent="0.3">
      <c r="A1150" t="s">
        <v>66</v>
      </c>
      <c r="B1150" t="s">
        <v>0</v>
      </c>
      <c r="C1150" t="s">
        <v>105</v>
      </c>
      <c r="D1150" t="s">
        <v>33</v>
      </c>
      <c r="E1150">
        <v>24.704918855894679</v>
      </c>
    </row>
    <row r="1151" spans="1:5" x14ac:dyDescent="0.3">
      <c r="A1151" t="s">
        <v>66</v>
      </c>
      <c r="B1151" t="s">
        <v>0</v>
      </c>
      <c r="C1151" t="s">
        <v>106</v>
      </c>
      <c r="D1151" t="s">
        <v>33</v>
      </c>
      <c r="E1151">
        <v>8.2819383259911898</v>
      </c>
    </row>
    <row r="1152" spans="1:5" x14ac:dyDescent="0.3">
      <c r="A1152" t="s">
        <v>66</v>
      </c>
      <c r="B1152" t="s">
        <v>0</v>
      </c>
      <c r="C1152" t="s">
        <v>107</v>
      </c>
      <c r="D1152" t="s">
        <v>33</v>
      </c>
      <c r="E1152">
        <v>28.861827056305408</v>
      </c>
    </row>
    <row r="1153" spans="1:5" x14ac:dyDescent="0.3">
      <c r="A1153" t="s">
        <v>66</v>
      </c>
      <c r="B1153" t="s">
        <v>0</v>
      </c>
      <c r="C1153" t="s">
        <v>108</v>
      </c>
      <c r="D1153" t="s">
        <v>33</v>
      </c>
      <c r="E1153">
        <v>36.787528779608699</v>
      </c>
    </row>
    <row r="1154" spans="1:5" x14ac:dyDescent="0.3">
      <c r="A1154" t="s">
        <v>66</v>
      </c>
      <c r="B1154" t="s">
        <v>0</v>
      </c>
      <c r="C1154" t="s">
        <v>109</v>
      </c>
      <c r="D1154" t="s">
        <v>33</v>
      </c>
      <c r="E1154">
        <v>34.446397188049211</v>
      </c>
    </row>
    <row r="1155" spans="1:5" x14ac:dyDescent="0.3">
      <c r="A1155" t="s">
        <v>66</v>
      </c>
      <c r="B1155" t="s">
        <v>0</v>
      </c>
      <c r="C1155" t="s">
        <v>110</v>
      </c>
      <c r="D1155" t="s">
        <v>33</v>
      </c>
      <c r="E1155">
        <v>9.4173277429325228</v>
      </c>
    </row>
    <row r="1156" spans="1:5" x14ac:dyDescent="0.3">
      <c r="A1156" t="s">
        <v>66</v>
      </c>
      <c r="B1156" t="s">
        <v>0</v>
      </c>
      <c r="C1156" t="s">
        <v>111</v>
      </c>
      <c r="D1156" t="s">
        <v>33</v>
      </c>
      <c r="E1156">
        <v>21.670190274841438</v>
      </c>
    </row>
    <row r="1157" spans="1:5" x14ac:dyDescent="0.3">
      <c r="A1157" t="s">
        <v>66</v>
      </c>
      <c r="B1157" t="s">
        <v>0</v>
      </c>
      <c r="C1157" t="s">
        <v>112</v>
      </c>
      <c r="D1157" t="s">
        <v>33</v>
      </c>
      <c r="E1157">
        <v>18.710832587287381</v>
      </c>
    </row>
    <row r="1158" spans="1:5" x14ac:dyDescent="0.3">
      <c r="A1158" t="s">
        <v>66</v>
      </c>
      <c r="B1158" t="s">
        <v>0</v>
      </c>
      <c r="C1158" t="s">
        <v>113</v>
      </c>
      <c r="D1158" t="s">
        <v>33</v>
      </c>
      <c r="E1158">
        <v>43.138514236780132</v>
      </c>
    </row>
    <row r="1159" spans="1:5" x14ac:dyDescent="0.3">
      <c r="A1159" t="s">
        <v>66</v>
      </c>
      <c r="B1159" t="s">
        <v>0</v>
      </c>
      <c r="C1159" t="s">
        <v>114</v>
      </c>
      <c r="D1159" t="s">
        <v>33</v>
      </c>
      <c r="E1159">
        <v>11.03574342059124</v>
      </c>
    </row>
    <row r="1160" spans="1:5" x14ac:dyDescent="0.3">
      <c r="A1160" t="s">
        <v>66</v>
      </c>
      <c r="B1160" t="s">
        <v>0</v>
      </c>
      <c r="C1160" t="s">
        <v>115</v>
      </c>
      <c r="D1160" t="s">
        <v>33</v>
      </c>
      <c r="E1160">
        <v>11.511423550087869</v>
      </c>
    </row>
    <row r="1161" spans="1:5" x14ac:dyDescent="0.3">
      <c r="A1161" t="s">
        <v>66</v>
      </c>
      <c r="B1161" t="s">
        <v>0</v>
      </c>
      <c r="C1161" t="s">
        <v>116</v>
      </c>
      <c r="D1161" t="s">
        <v>33</v>
      </c>
      <c r="E1161">
        <v>22.832618025751071</v>
      </c>
    </row>
    <row r="1162" spans="1:5" x14ac:dyDescent="0.3">
      <c r="A1162" t="s">
        <v>66</v>
      </c>
      <c r="B1162" t="s">
        <v>69</v>
      </c>
      <c r="C1162" t="s">
        <v>69</v>
      </c>
      <c r="D1162" t="s">
        <v>34</v>
      </c>
      <c r="E1162">
        <v>47.09317075754246</v>
      </c>
    </row>
    <row r="1163" spans="1:5" x14ac:dyDescent="0.3">
      <c r="A1163" t="s">
        <v>66</v>
      </c>
      <c r="B1163" t="s">
        <v>70</v>
      </c>
      <c r="C1163" t="s">
        <v>78</v>
      </c>
      <c r="D1163" t="s">
        <v>34</v>
      </c>
      <c r="E1163">
        <v>47.57156568807995</v>
      </c>
    </row>
    <row r="1164" spans="1:5" x14ac:dyDescent="0.3">
      <c r="A1164" t="s">
        <v>66</v>
      </c>
      <c r="B1164" t="s">
        <v>70</v>
      </c>
      <c r="C1164" t="s">
        <v>79</v>
      </c>
      <c r="D1164" t="s">
        <v>34</v>
      </c>
      <c r="E1164">
        <v>46.050545771135383</v>
      </c>
    </row>
    <row r="1165" spans="1:5" x14ac:dyDescent="0.3">
      <c r="A1165" t="s">
        <v>66</v>
      </c>
      <c r="B1165" t="s">
        <v>70</v>
      </c>
      <c r="C1165" t="s">
        <v>80</v>
      </c>
      <c r="D1165" t="s">
        <v>34</v>
      </c>
      <c r="E1165">
        <v>47.390527775740502</v>
      </c>
    </row>
    <row r="1166" spans="1:5" x14ac:dyDescent="0.3">
      <c r="A1166" t="s">
        <v>66</v>
      </c>
      <c r="B1166" t="s">
        <v>70</v>
      </c>
      <c r="C1166" t="s">
        <v>81</v>
      </c>
      <c r="D1166" t="s">
        <v>34</v>
      </c>
      <c r="E1166">
        <v>49.37038144986716</v>
      </c>
    </row>
    <row r="1167" spans="1:5" x14ac:dyDescent="0.3">
      <c r="A1167" t="s">
        <v>66</v>
      </c>
      <c r="B1167" t="s">
        <v>71</v>
      </c>
      <c r="C1167" t="s">
        <v>82</v>
      </c>
      <c r="D1167" t="s">
        <v>34</v>
      </c>
      <c r="E1167">
        <v>46.818070615609422</v>
      </c>
    </row>
    <row r="1168" spans="1:5" x14ac:dyDescent="0.3">
      <c r="A1168" t="s">
        <v>66</v>
      </c>
      <c r="B1168" t="s">
        <v>71</v>
      </c>
      <c r="C1168" t="s">
        <v>83</v>
      </c>
      <c r="D1168" t="s">
        <v>34</v>
      </c>
      <c r="E1168">
        <v>46.715191410224627</v>
      </c>
    </row>
    <row r="1169" spans="1:5" x14ac:dyDescent="0.3">
      <c r="A1169" t="s">
        <v>66</v>
      </c>
      <c r="B1169" t="s">
        <v>71</v>
      </c>
      <c r="C1169" t="s">
        <v>84</v>
      </c>
      <c r="D1169" t="s">
        <v>34</v>
      </c>
      <c r="E1169">
        <v>47.360471935599612</v>
      </c>
    </row>
    <row r="1170" spans="1:5" x14ac:dyDescent="0.3">
      <c r="A1170" t="s">
        <v>66</v>
      </c>
      <c r="B1170" t="s">
        <v>71</v>
      </c>
      <c r="C1170" t="s">
        <v>85</v>
      </c>
      <c r="D1170" t="s">
        <v>34</v>
      </c>
      <c r="E1170">
        <v>48.231000020525187</v>
      </c>
    </row>
    <row r="1171" spans="1:5" x14ac:dyDescent="0.3">
      <c r="A1171" t="s">
        <v>66</v>
      </c>
      <c r="B1171" t="s">
        <v>72</v>
      </c>
      <c r="C1171" t="s">
        <v>86</v>
      </c>
      <c r="D1171" t="s">
        <v>34</v>
      </c>
      <c r="E1171">
        <v>48.298416144148263</v>
      </c>
    </row>
    <row r="1172" spans="1:5" x14ac:dyDescent="0.3">
      <c r="A1172" t="s">
        <v>66</v>
      </c>
      <c r="B1172" t="s">
        <v>72</v>
      </c>
      <c r="C1172" t="s">
        <v>87</v>
      </c>
      <c r="D1172" t="s">
        <v>34</v>
      </c>
      <c r="E1172">
        <v>45.841923223752822</v>
      </c>
    </row>
    <row r="1173" spans="1:5" x14ac:dyDescent="0.3">
      <c r="A1173" t="s">
        <v>66</v>
      </c>
      <c r="B1173" t="s">
        <v>73</v>
      </c>
      <c r="C1173" t="s">
        <v>88</v>
      </c>
      <c r="D1173" t="s">
        <v>34</v>
      </c>
      <c r="E1173">
        <v>47.744048007077609</v>
      </c>
    </row>
    <row r="1174" spans="1:5" x14ac:dyDescent="0.3">
      <c r="A1174" t="s">
        <v>66</v>
      </c>
      <c r="B1174" t="s">
        <v>73</v>
      </c>
      <c r="C1174" t="s">
        <v>89</v>
      </c>
      <c r="D1174" t="s">
        <v>34</v>
      </c>
      <c r="E1174">
        <v>46.554323856485787</v>
      </c>
    </row>
    <row r="1175" spans="1:5" x14ac:dyDescent="0.3">
      <c r="A1175" t="s">
        <v>66</v>
      </c>
      <c r="B1175" t="s">
        <v>74</v>
      </c>
      <c r="C1175" t="s">
        <v>90</v>
      </c>
      <c r="D1175" t="s">
        <v>34</v>
      </c>
      <c r="E1175">
        <v>47.441602579937793</v>
      </c>
    </row>
    <row r="1176" spans="1:5" x14ac:dyDescent="0.3">
      <c r="A1176" t="s">
        <v>66</v>
      </c>
      <c r="B1176" t="s">
        <v>74</v>
      </c>
      <c r="C1176" t="s">
        <v>91</v>
      </c>
      <c r="D1176" t="s">
        <v>34</v>
      </c>
      <c r="E1176">
        <v>46.853106742425943</v>
      </c>
    </row>
    <row r="1177" spans="1:5" x14ac:dyDescent="0.3">
      <c r="A1177" t="s">
        <v>66</v>
      </c>
      <c r="B1177" t="s">
        <v>75</v>
      </c>
      <c r="C1177" t="s">
        <v>92</v>
      </c>
      <c r="D1177" t="s">
        <v>34</v>
      </c>
      <c r="E1177">
        <v>47.421404030044783</v>
      </c>
    </row>
    <row r="1178" spans="1:5" x14ac:dyDescent="0.3">
      <c r="A1178" t="s">
        <v>66</v>
      </c>
      <c r="B1178" t="s">
        <v>75</v>
      </c>
      <c r="C1178" t="s">
        <v>93</v>
      </c>
      <c r="D1178" t="s">
        <v>34</v>
      </c>
      <c r="E1178">
        <v>46.08525894772005</v>
      </c>
    </row>
    <row r="1179" spans="1:5" x14ac:dyDescent="0.3">
      <c r="A1179" t="s">
        <v>66</v>
      </c>
      <c r="B1179" t="s">
        <v>75</v>
      </c>
      <c r="C1179" t="s">
        <v>94</v>
      </c>
      <c r="D1179" t="s">
        <v>34</v>
      </c>
      <c r="E1179">
        <v>47.005044126938131</v>
      </c>
    </row>
    <row r="1180" spans="1:5" x14ac:dyDescent="0.3">
      <c r="A1180" t="s">
        <v>66</v>
      </c>
      <c r="B1180" t="s">
        <v>75</v>
      </c>
      <c r="C1180" t="s">
        <v>95</v>
      </c>
      <c r="D1180" t="s">
        <v>34</v>
      </c>
      <c r="E1180">
        <v>47.006877206776963</v>
      </c>
    </row>
    <row r="1181" spans="1:5" x14ac:dyDescent="0.3">
      <c r="A1181" t="s">
        <v>66</v>
      </c>
      <c r="B1181" t="s">
        <v>76</v>
      </c>
      <c r="C1181" t="s">
        <v>96</v>
      </c>
      <c r="D1181" t="s">
        <v>34</v>
      </c>
      <c r="E1181">
        <v>50.222431734622617</v>
      </c>
    </row>
    <row r="1182" spans="1:5" x14ac:dyDescent="0.3">
      <c r="A1182" t="s">
        <v>66</v>
      </c>
      <c r="B1182" t="s">
        <v>76</v>
      </c>
      <c r="C1182" t="s">
        <v>97</v>
      </c>
      <c r="D1182" t="s">
        <v>34</v>
      </c>
      <c r="E1182">
        <v>46.645853928826227</v>
      </c>
    </row>
    <row r="1183" spans="1:5" x14ac:dyDescent="0.3">
      <c r="A1183" t="s">
        <v>66</v>
      </c>
      <c r="B1183" t="s">
        <v>76</v>
      </c>
      <c r="C1183" t="s">
        <v>98</v>
      </c>
      <c r="D1183" t="s">
        <v>34</v>
      </c>
      <c r="E1183">
        <v>46.215413380405899</v>
      </c>
    </row>
    <row r="1184" spans="1:5" x14ac:dyDescent="0.3">
      <c r="A1184" t="s">
        <v>66</v>
      </c>
      <c r="B1184" t="s">
        <v>0</v>
      </c>
      <c r="C1184" t="s">
        <v>99</v>
      </c>
      <c r="D1184" t="s">
        <v>34</v>
      </c>
      <c r="E1184">
        <v>55.790150160367411</v>
      </c>
    </row>
    <row r="1185" spans="1:5" x14ac:dyDescent="0.3">
      <c r="A1185" t="s">
        <v>66</v>
      </c>
      <c r="B1185" t="s">
        <v>0</v>
      </c>
      <c r="C1185" t="s">
        <v>100</v>
      </c>
      <c r="D1185" t="s">
        <v>34</v>
      </c>
      <c r="E1185">
        <v>51.679104477611943</v>
      </c>
    </row>
    <row r="1186" spans="1:5" x14ac:dyDescent="0.3">
      <c r="A1186" t="s">
        <v>66</v>
      </c>
      <c r="B1186" t="s">
        <v>0</v>
      </c>
      <c r="C1186" t="s">
        <v>101</v>
      </c>
      <c r="D1186" t="s">
        <v>34</v>
      </c>
      <c r="E1186">
        <v>47.878787878787882</v>
      </c>
    </row>
    <row r="1187" spans="1:5" x14ac:dyDescent="0.3">
      <c r="A1187" t="s">
        <v>66</v>
      </c>
      <c r="B1187" t="s">
        <v>0</v>
      </c>
      <c r="C1187" t="s">
        <v>102</v>
      </c>
      <c r="D1187" t="s">
        <v>34</v>
      </c>
      <c r="E1187">
        <v>36.036512952372362</v>
      </c>
    </row>
    <row r="1188" spans="1:5" x14ac:dyDescent="0.3">
      <c r="A1188" t="s">
        <v>66</v>
      </c>
      <c r="B1188" t="s">
        <v>0</v>
      </c>
      <c r="C1188" t="s">
        <v>103</v>
      </c>
      <c r="D1188" t="s">
        <v>34</v>
      </c>
      <c r="E1188">
        <v>49.300062486614081</v>
      </c>
    </row>
    <row r="1189" spans="1:5" x14ac:dyDescent="0.3">
      <c r="A1189" t="s">
        <v>66</v>
      </c>
      <c r="B1189" t="s">
        <v>0</v>
      </c>
      <c r="C1189" t="s">
        <v>104</v>
      </c>
      <c r="D1189" t="s">
        <v>34</v>
      </c>
      <c r="E1189">
        <v>47.69560557341908</v>
      </c>
    </row>
    <row r="1190" spans="1:5" x14ac:dyDescent="0.3">
      <c r="A1190" t="s">
        <v>66</v>
      </c>
      <c r="B1190" t="s">
        <v>0</v>
      </c>
      <c r="C1190" t="s">
        <v>105</v>
      </c>
      <c r="D1190" t="s">
        <v>34</v>
      </c>
      <c r="E1190">
        <v>47.90654209895137</v>
      </c>
    </row>
    <row r="1191" spans="1:5" x14ac:dyDescent="0.3">
      <c r="A1191" t="s">
        <v>66</v>
      </c>
      <c r="B1191" t="s">
        <v>0</v>
      </c>
      <c r="C1191" t="s">
        <v>106</v>
      </c>
      <c r="D1191" t="s">
        <v>34</v>
      </c>
      <c r="E1191">
        <v>30.396475770925111</v>
      </c>
    </row>
    <row r="1192" spans="1:5" x14ac:dyDescent="0.3">
      <c r="A1192" t="s">
        <v>66</v>
      </c>
      <c r="B1192" t="s">
        <v>0</v>
      </c>
      <c r="C1192" t="s">
        <v>107</v>
      </c>
      <c r="D1192" t="s">
        <v>34</v>
      </c>
      <c r="E1192">
        <v>47.39205973892534</v>
      </c>
    </row>
    <row r="1193" spans="1:5" x14ac:dyDescent="0.3">
      <c r="A1193" t="s">
        <v>66</v>
      </c>
      <c r="B1193" t="s">
        <v>0</v>
      </c>
      <c r="C1193" t="s">
        <v>108</v>
      </c>
      <c r="D1193" t="s">
        <v>34</v>
      </c>
      <c r="E1193">
        <v>50.264284781823761</v>
      </c>
    </row>
    <row r="1194" spans="1:5" x14ac:dyDescent="0.3">
      <c r="A1194" t="s">
        <v>66</v>
      </c>
      <c r="B1194" t="s">
        <v>0</v>
      </c>
      <c r="C1194" t="s">
        <v>109</v>
      </c>
      <c r="D1194" t="s">
        <v>34</v>
      </c>
      <c r="E1194">
        <v>45.518453427065033</v>
      </c>
    </row>
    <row r="1195" spans="1:5" x14ac:dyDescent="0.3">
      <c r="A1195" t="s">
        <v>66</v>
      </c>
      <c r="B1195" t="s">
        <v>0</v>
      </c>
      <c r="C1195" t="s">
        <v>110</v>
      </c>
      <c r="D1195" t="s">
        <v>34</v>
      </c>
      <c r="E1195">
        <v>45.532375815321693</v>
      </c>
    </row>
    <row r="1196" spans="1:5" x14ac:dyDescent="0.3">
      <c r="A1196" t="s">
        <v>66</v>
      </c>
      <c r="B1196" t="s">
        <v>0</v>
      </c>
      <c r="C1196" t="s">
        <v>111</v>
      </c>
      <c r="D1196" t="s">
        <v>34</v>
      </c>
      <c r="E1196">
        <v>41.543340380549679</v>
      </c>
    </row>
    <row r="1197" spans="1:5" x14ac:dyDescent="0.3">
      <c r="A1197" t="s">
        <v>66</v>
      </c>
      <c r="B1197" t="s">
        <v>0</v>
      </c>
      <c r="C1197" t="s">
        <v>112</v>
      </c>
      <c r="D1197" t="s">
        <v>34</v>
      </c>
      <c r="E1197">
        <v>63.294538943598923</v>
      </c>
    </row>
    <row r="1198" spans="1:5" x14ac:dyDescent="0.3">
      <c r="A1198" t="s">
        <v>66</v>
      </c>
      <c r="B1198" t="s">
        <v>0</v>
      </c>
      <c r="C1198" t="s">
        <v>113</v>
      </c>
      <c r="D1198" t="s">
        <v>34</v>
      </c>
      <c r="E1198">
        <v>47.07771355170199</v>
      </c>
    </row>
    <row r="1199" spans="1:5" x14ac:dyDescent="0.3">
      <c r="A1199" t="s">
        <v>66</v>
      </c>
      <c r="B1199" t="s">
        <v>0</v>
      </c>
      <c r="C1199" t="s">
        <v>114</v>
      </c>
      <c r="D1199" t="s">
        <v>34</v>
      </c>
      <c r="E1199">
        <v>58.877137890108322</v>
      </c>
    </row>
    <row r="1200" spans="1:5" x14ac:dyDescent="0.3">
      <c r="A1200" t="s">
        <v>66</v>
      </c>
      <c r="B1200" t="s">
        <v>0</v>
      </c>
      <c r="C1200" t="s">
        <v>115</v>
      </c>
      <c r="D1200" t="s">
        <v>34</v>
      </c>
      <c r="E1200">
        <v>51.933216168717053</v>
      </c>
    </row>
    <row r="1201" spans="1:5" x14ac:dyDescent="0.3">
      <c r="A1201" t="s">
        <v>66</v>
      </c>
      <c r="B1201" t="s">
        <v>0</v>
      </c>
      <c r="C1201" t="s">
        <v>116</v>
      </c>
      <c r="D1201" t="s">
        <v>34</v>
      </c>
      <c r="E1201">
        <v>32.789699570815451</v>
      </c>
    </row>
    <row r="1202" spans="1:5" x14ac:dyDescent="0.3">
      <c r="A1202" t="s">
        <v>66</v>
      </c>
      <c r="B1202" t="s">
        <v>69</v>
      </c>
      <c r="C1202" t="s">
        <v>69</v>
      </c>
      <c r="D1202" t="s">
        <v>35</v>
      </c>
      <c r="E1202">
        <v>23.61248939653284</v>
      </c>
    </row>
    <row r="1203" spans="1:5" x14ac:dyDescent="0.3">
      <c r="A1203" t="s">
        <v>66</v>
      </c>
      <c r="B1203" t="s">
        <v>70</v>
      </c>
      <c r="C1203" t="s">
        <v>78</v>
      </c>
      <c r="D1203" t="s">
        <v>35</v>
      </c>
      <c r="E1203">
        <v>23.262875160180851</v>
      </c>
    </row>
    <row r="1204" spans="1:5" x14ac:dyDescent="0.3">
      <c r="A1204" t="s">
        <v>66</v>
      </c>
      <c r="B1204" t="s">
        <v>70</v>
      </c>
      <c r="C1204" t="s">
        <v>79</v>
      </c>
      <c r="D1204" t="s">
        <v>35</v>
      </c>
      <c r="E1204">
        <v>23.75924715339168</v>
      </c>
    </row>
    <row r="1205" spans="1:5" x14ac:dyDescent="0.3">
      <c r="A1205" t="s">
        <v>66</v>
      </c>
      <c r="B1205" t="s">
        <v>70</v>
      </c>
      <c r="C1205" t="s">
        <v>80</v>
      </c>
      <c r="D1205" t="s">
        <v>35</v>
      </c>
      <c r="E1205">
        <v>24.610567912233339</v>
      </c>
    </row>
    <row r="1206" spans="1:5" x14ac:dyDescent="0.3">
      <c r="A1206" t="s">
        <v>66</v>
      </c>
      <c r="B1206" t="s">
        <v>70</v>
      </c>
      <c r="C1206" t="s">
        <v>81</v>
      </c>
      <c r="D1206" t="s">
        <v>35</v>
      </c>
      <c r="E1206">
        <v>21.770272304663891</v>
      </c>
    </row>
    <row r="1207" spans="1:5" x14ac:dyDescent="0.3">
      <c r="A1207" t="s">
        <v>66</v>
      </c>
      <c r="B1207" t="s">
        <v>71</v>
      </c>
      <c r="C1207" t="s">
        <v>82</v>
      </c>
      <c r="D1207" t="s">
        <v>35</v>
      </c>
      <c r="E1207">
        <v>27.052202506450641</v>
      </c>
    </row>
    <row r="1208" spans="1:5" x14ac:dyDescent="0.3">
      <c r="A1208" t="s">
        <v>66</v>
      </c>
      <c r="B1208" t="s">
        <v>71</v>
      </c>
      <c r="C1208" t="s">
        <v>83</v>
      </c>
      <c r="D1208" t="s">
        <v>35</v>
      </c>
      <c r="E1208">
        <v>22.827107068108941</v>
      </c>
    </row>
    <row r="1209" spans="1:5" x14ac:dyDescent="0.3">
      <c r="A1209" t="s">
        <v>66</v>
      </c>
      <c r="B1209" t="s">
        <v>71</v>
      </c>
      <c r="C1209" t="s">
        <v>84</v>
      </c>
      <c r="D1209" t="s">
        <v>35</v>
      </c>
      <c r="E1209">
        <v>22.417003687310739</v>
      </c>
    </row>
    <row r="1210" spans="1:5" x14ac:dyDescent="0.3">
      <c r="A1210" t="s">
        <v>66</v>
      </c>
      <c r="B1210" t="s">
        <v>71</v>
      </c>
      <c r="C1210" t="s">
        <v>85</v>
      </c>
      <c r="D1210" t="s">
        <v>35</v>
      </c>
      <c r="E1210">
        <v>23.42042548000865</v>
      </c>
    </row>
    <row r="1211" spans="1:5" x14ac:dyDescent="0.3">
      <c r="A1211" t="s">
        <v>66</v>
      </c>
      <c r="B1211" t="s">
        <v>72</v>
      </c>
      <c r="C1211" t="s">
        <v>86</v>
      </c>
      <c r="D1211" t="s">
        <v>35</v>
      </c>
      <c r="E1211">
        <v>22.801179358173169</v>
      </c>
    </row>
    <row r="1212" spans="1:5" x14ac:dyDescent="0.3">
      <c r="A1212" t="s">
        <v>66</v>
      </c>
      <c r="B1212" t="s">
        <v>72</v>
      </c>
      <c r="C1212" t="s">
        <v>87</v>
      </c>
      <c r="D1212" t="s">
        <v>35</v>
      </c>
      <c r="E1212">
        <v>24.45476574616081</v>
      </c>
    </row>
    <row r="1213" spans="1:5" x14ac:dyDescent="0.3">
      <c r="A1213" t="s">
        <v>66</v>
      </c>
      <c r="B1213" t="s">
        <v>73</v>
      </c>
      <c r="C1213" t="s">
        <v>88</v>
      </c>
      <c r="D1213" t="s">
        <v>35</v>
      </c>
      <c r="E1213">
        <v>23.866973179916929</v>
      </c>
    </row>
    <row r="1214" spans="1:5" x14ac:dyDescent="0.3">
      <c r="A1214" t="s">
        <v>66</v>
      </c>
      <c r="B1214" t="s">
        <v>73</v>
      </c>
      <c r="C1214" t="s">
        <v>89</v>
      </c>
      <c r="D1214" t="s">
        <v>35</v>
      </c>
      <c r="E1214">
        <v>23.45446993752876</v>
      </c>
    </row>
    <row r="1215" spans="1:5" x14ac:dyDescent="0.3">
      <c r="A1215" t="s">
        <v>66</v>
      </c>
      <c r="B1215" t="s">
        <v>74</v>
      </c>
      <c r="C1215" t="s">
        <v>90</v>
      </c>
      <c r="D1215" t="s">
        <v>35</v>
      </c>
      <c r="E1215">
        <v>23.316004880737939</v>
      </c>
    </row>
    <row r="1216" spans="1:5" x14ac:dyDescent="0.3">
      <c r="A1216" t="s">
        <v>66</v>
      </c>
      <c r="B1216" t="s">
        <v>74</v>
      </c>
      <c r="C1216" t="s">
        <v>91</v>
      </c>
      <c r="D1216" t="s">
        <v>35</v>
      </c>
      <c r="E1216">
        <v>23.763822779372589</v>
      </c>
    </row>
    <row r="1217" spans="1:5" x14ac:dyDescent="0.3">
      <c r="A1217" t="s">
        <v>66</v>
      </c>
      <c r="B1217" t="s">
        <v>75</v>
      </c>
      <c r="C1217" t="s">
        <v>92</v>
      </c>
      <c r="D1217" t="s">
        <v>35</v>
      </c>
      <c r="E1217">
        <v>23.893192854019969</v>
      </c>
    </row>
    <row r="1218" spans="1:5" x14ac:dyDescent="0.3">
      <c r="A1218" t="s">
        <v>66</v>
      </c>
      <c r="B1218" t="s">
        <v>75</v>
      </c>
      <c r="C1218" t="s">
        <v>93</v>
      </c>
      <c r="D1218" t="s">
        <v>35</v>
      </c>
      <c r="E1218">
        <v>23.6814791319586</v>
      </c>
    </row>
    <row r="1219" spans="1:5" x14ac:dyDescent="0.3">
      <c r="A1219" t="s">
        <v>66</v>
      </c>
      <c r="B1219" t="s">
        <v>75</v>
      </c>
      <c r="C1219" t="s">
        <v>94</v>
      </c>
      <c r="D1219" t="s">
        <v>35</v>
      </c>
      <c r="E1219">
        <v>23.739538450143382</v>
      </c>
    </row>
    <row r="1220" spans="1:5" x14ac:dyDescent="0.3">
      <c r="A1220" t="s">
        <v>66</v>
      </c>
      <c r="B1220" t="s">
        <v>75</v>
      </c>
      <c r="C1220" t="s">
        <v>95</v>
      </c>
      <c r="D1220" t="s">
        <v>35</v>
      </c>
      <c r="E1220">
        <v>21.584899885971861</v>
      </c>
    </row>
    <row r="1221" spans="1:5" x14ac:dyDescent="0.3">
      <c r="A1221" t="s">
        <v>66</v>
      </c>
      <c r="B1221" t="s">
        <v>76</v>
      </c>
      <c r="C1221" t="s">
        <v>96</v>
      </c>
      <c r="D1221" t="s">
        <v>35</v>
      </c>
      <c r="E1221">
        <v>20.905700182739452</v>
      </c>
    </row>
    <row r="1222" spans="1:5" x14ac:dyDescent="0.3">
      <c r="A1222" t="s">
        <v>66</v>
      </c>
      <c r="B1222" t="s">
        <v>76</v>
      </c>
      <c r="C1222" t="s">
        <v>97</v>
      </c>
      <c r="D1222" t="s">
        <v>35</v>
      </c>
      <c r="E1222">
        <v>23.52273369676643</v>
      </c>
    </row>
    <row r="1223" spans="1:5" x14ac:dyDescent="0.3">
      <c r="A1223" t="s">
        <v>66</v>
      </c>
      <c r="B1223" t="s">
        <v>76</v>
      </c>
      <c r="C1223" t="s">
        <v>98</v>
      </c>
      <c r="D1223" t="s">
        <v>35</v>
      </c>
      <c r="E1223">
        <v>24.65880663132128</v>
      </c>
    </row>
    <row r="1224" spans="1:5" x14ac:dyDescent="0.3">
      <c r="A1224" t="s">
        <v>66</v>
      </c>
      <c r="B1224" t="s">
        <v>0</v>
      </c>
      <c r="C1224" t="s">
        <v>99</v>
      </c>
      <c r="D1224" t="s">
        <v>35</v>
      </c>
      <c r="E1224">
        <v>23.468386353712969</v>
      </c>
    </row>
    <row r="1225" spans="1:5" x14ac:dyDescent="0.3">
      <c r="A1225" t="s">
        <v>66</v>
      </c>
      <c r="B1225" t="s">
        <v>0</v>
      </c>
      <c r="C1225" t="s">
        <v>100</v>
      </c>
      <c r="D1225" t="s">
        <v>35</v>
      </c>
      <c r="E1225">
        <v>33.768656716417908</v>
      </c>
    </row>
    <row r="1226" spans="1:5" x14ac:dyDescent="0.3">
      <c r="A1226" t="s">
        <v>66</v>
      </c>
      <c r="B1226" t="s">
        <v>0</v>
      </c>
      <c r="C1226" t="s">
        <v>101</v>
      </c>
      <c r="D1226" t="s">
        <v>35</v>
      </c>
      <c r="E1226">
        <v>16.88311688311688</v>
      </c>
    </row>
    <row r="1227" spans="1:5" x14ac:dyDescent="0.3">
      <c r="A1227" t="s">
        <v>66</v>
      </c>
      <c r="B1227" t="s">
        <v>0</v>
      </c>
      <c r="C1227" t="s">
        <v>102</v>
      </c>
      <c r="D1227" t="s">
        <v>35</v>
      </c>
      <c r="E1227">
        <v>8.8218985970990786</v>
      </c>
    </row>
    <row r="1228" spans="1:5" x14ac:dyDescent="0.3">
      <c r="A1228" t="s">
        <v>66</v>
      </c>
      <c r="B1228" t="s">
        <v>0</v>
      </c>
      <c r="C1228" t="s">
        <v>103</v>
      </c>
      <c r="D1228" t="s">
        <v>35</v>
      </c>
      <c r="E1228">
        <v>13.740815779257989</v>
      </c>
    </row>
    <row r="1229" spans="1:5" x14ac:dyDescent="0.3">
      <c r="A1229" t="s">
        <v>66</v>
      </c>
      <c r="B1229" t="s">
        <v>0</v>
      </c>
      <c r="C1229" t="s">
        <v>104</v>
      </c>
      <c r="D1229" t="s">
        <v>35</v>
      </c>
      <c r="E1229">
        <v>13.5048231511254</v>
      </c>
    </row>
    <row r="1230" spans="1:5" x14ac:dyDescent="0.3">
      <c r="A1230" t="s">
        <v>66</v>
      </c>
      <c r="B1230" t="s">
        <v>0</v>
      </c>
      <c r="C1230" t="s">
        <v>105</v>
      </c>
      <c r="D1230" t="s">
        <v>35</v>
      </c>
      <c r="E1230">
        <v>24.421941525037852</v>
      </c>
    </row>
    <row r="1231" spans="1:5" x14ac:dyDescent="0.3">
      <c r="A1231" t="s">
        <v>66</v>
      </c>
      <c r="B1231" t="s">
        <v>0</v>
      </c>
      <c r="C1231" t="s">
        <v>106</v>
      </c>
      <c r="D1231" t="s">
        <v>35</v>
      </c>
      <c r="E1231">
        <v>53.480176211453752</v>
      </c>
    </row>
    <row r="1232" spans="1:5" x14ac:dyDescent="0.3">
      <c r="A1232" t="s">
        <v>66</v>
      </c>
      <c r="B1232" t="s">
        <v>0</v>
      </c>
      <c r="C1232" t="s">
        <v>107</v>
      </c>
      <c r="D1232" t="s">
        <v>35</v>
      </c>
      <c r="E1232">
        <v>20.530226135244011</v>
      </c>
    </row>
    <row r="1233" spans="1:5" x14ac:dyDescent="0.3">
      <c r="A1233" t="s">
        <v>66</v>
      </c>
      <c r="B1233" t="s">
        <v>0</v>
      </c>
      <c r="C1233" t="s">
        <v>108</v>
      </c>
      <c r="D1233" t="s">
        <v>35</v>
      </c>
      <c r="E1233">
        <v>10.611508152048209</v>
      </c>
    </row>
    <row r="1234" spans="1:5" x14ac:dyDescent="0.3">
      <c r="A1234" t="s">
        <v>66</v>
      </c>
      <c r="B1234" t="s">
        <v>0</v>
      </c>
      <c r="C1234" t="s">
        <v>109</v>
      </c>
      <c r="D1234" t="s">
        <v>35</v>
      </c>
      <c r="E1234">
        <v>17.135325131810198</v>
      </c>
    </row>
    <row r="1235" spans="1:5" x14ac:dyDescent="0.3">
      <c r="A1235" t="s">
        <v>66</v>
      </c>
      <c r="B1235" t="s">
        <v>0</v>
      </c>
      <c r="C1235" t="s">
        <v>110</v>
      </c>
      <c r="D1235" t="s">
        <v>35</v>
      </c>
      <c r="E1235">
        <v>39.511922646686529</v>
      </c>
    </row>
    <row r="1236" spans="1:5" x14ac:dyDescent="0.3">
      <c r="A1236" t="s">
        <v>66</v>
      </c>
      <c r="B1236" t="s">
        <v>0</v>
      </c>
      <c r="C1236" t="s">
        <v>111</v>
      </c>
      <c r="D1236" t="s">
        <v>35</v>
      </c>
      <c r="E1236">
        <v>29.70401691331924</v>
      </c>
    </row>
    <row r="1237" spans="1:5" x14ac:dyDescent="0.3">
      <c r="A1237" t="s">
        <v>66</v>
      </c>
      <c r="B1237" t="s">
        <v>0</v>
      </c>
      <c r="C1237" t="s">
        <v>112</v>
      </c>
      <c r="D1237" t="s">
        <v>35</v>
      </c>
      <c r="E1237">
        <v>16.830796777081471</v>
      </c>
    </row>
    <row r="1238" spans="1:5" x14ac:dyDescent="0.3">
      <c r="A1238" t="s">
        <v>66</v>
      </c>
      <c r="B1238" t="s">
        <v>0</v>
      </c>
      <c r="C1238" t="s">
        <v>113</v>
      </c>
      <c r="D1238" t="s">
        <v>35</v>
      </c>
      <c r="E1238">
        <v>8.8417897666452578</v>
      </c>
    </row>
    <row r="1239" spans="1:5" x14ac:dyDescent="0.3">
      <c r="A1239" t="s">
        <v>66</v>
      </c>
      <c r="B1239" t="s">
        <v>0</v>
      </c>
      <c r="C1239" t="s">
        <v>114</v>
      </c>
      <c r="D1239" t="s">
        <v>35</v>
      </c>
      <c r="E1239">
        <v>26.95663272799456</v>
      </c>
    </row>
    <row r="1240" spans="1:5" x14ac:dyDescent="0.3">
      <c r="A1240" t="s">
        <v>66</v>
      </c>
      <c r="B1240" t="s">
        <v>0</v>
      </c>
      <c r="C1240" t="s">
        <v>115</v>
      </c>
      <c r="D1240" t="s">
        <v>35</v>
      </c>
      <c r="E1240">
        <v>33.743409490333917</v>
      </c>
    </row>
    <row r="1241" spans="1:5" x14ac:dyDescent="0.3">
      <c r="A1241" t="s">
        <v>66</v>
      </c>
      <c r="B1241" t="s">
        <v>0</v>
      </c>
      <c r="C1241" t="s">
        <v>116</v>
      </c>
      <c r="D1241" t="s">
        <v>35</v>
      </c>
      <c r="E1241">
        <v>34.849785407725321</v>
      </c>
    </row>
    <row r="1242" spans="1:5" x14ac:dyDescent="0.3">
      <c r="A1242" t="s">
        <v>66</v>
      </c>
      <c r="B1242" t="s">
        <v>69</v>
      </c>
      <c r="C1242" t="s">
        <v>69</v>
      </c>
      <c r="D1242" t="s">
        <v>36</v>
      </c>
      <c r="E1242">
        <v>3.3499806746148351</v>
      </c>
    </row>
    <row r="1243" spans="1:5" x14ac:dyDescent="0.3">
      <c r="A1243" t="s">
        <v>66</v>
      </c>
      <c r="B1243" t="s">
        <v>70</v>
      </c>
      <c r="C1243" t="s">
        <v>78</v>
      </c>
      <c r="D1243" t="s">
        <v>36</v>
      </c>
      <c r="E1243">
        <v>3.2126559635691931</v>
      </c>
    </row>
    <row r="1244" spans="1:5" x14ac:dyDescent="0.3">
      <c r="A1244" t="s">
        <v>66</v>
      </c>
      <c r="B1244" t="s">
        <v>70</v>
      </c>
      <c r="C1244" t="s">
        <v>79</v>
      </c>
      <c r="D1244" t="s">
        <v>36</v>
      </c>
      <c r="E1244">
        <v>3.4422079392242009</v>
      </c>
    </row>
    <row r="1245" spans="1:5" x14ac:dyDescent="0.3">
      <c r="A1245" t="s">
        <v>66</v>
      </c>
      <c r="B1245" t="s">
        <v>70</v>
      </c>
      <c r="C1245" t="s">
        <v>80</v>
      </c>
      <c r="D1245" t="s">
        <v>36</v>
      </c>
      <c r="E1245">
        <v>3.2879662267072169</v>
      </c>
    </row>
    <row r="1246" spans="1:5" x14ac:dyDescent="0.3">
      <c r="A1246" t="s">
        <v>66</v>
      </c>
      <c r="B1246" t="s">
        <v>70</v>
      </c>
      <c r="C1246" t="s">
        <v>81</v>
      </c>
      <c r="D1246" t="s">
        <v>36</v>
      </c>
      <c r="E1246">
        <v>3.4063147802143039</v>
      </c>
    </row>
    <row r="1247" spans="1:5" x14ac:dyDescent="0.3">
      <c r="A1247" t="s">
        <v>66</v>
      </c>
      <c r="B1247" t="s">
        <v>71</v>
      </c>
      <c r="C1247" t="s">
        <v>82</v>
      </c>
      <c r="D1247" t="s">
        <v>36</v>
      </c>
      <c r="E1247">
        <v>3.209135925088185</v>
      </c>
    </row>
    <row r="1248" spans="1:5" x14ac:dyDescent="0.3">
      <c r="A1248" t="s">
        <v>66</v>
      </c>
      <c r="B1248" t="s">
        <v>71</v>
      </c>
      <c r="C1248" t="s">
        <v>83</v>
      </c>
      <c r="D1248" t="s">
        <v>36</v>
      </c>
      <c r="E1248">
        <v>3.5246743224996151</v>
      </c>
    </row>
    <row r="1249" spans="1:5" x14ac:dyDescent="0.3">
      <c r="A1249" t="s">
        <v>66</v>
      </c>
      <c r="B1249" t="s">
        <v>71</v>
      </c>
      <c r="C1249" t="s">
        <v>84</v>
      </c>
      <c r="D1249" t="s">
        <v>36</v>
      </c>
      <c r="E1249">
        <v>3.223288142750516</v>
      </c>
    </row>
    <row r="1250" spans="1:5" x14ac:dyDescent="0.3">
      <c r="A1250" t="s">
        <v>66</v>
      </c>
      <c r="B1250" t="s">
        <v>71</v>
      </c>
      <c r="C1250" t="s">
        <v>85</v>
      </c>
      <c r="D1250" t="s">
        <v>36</v>
      </c>
      <c r="E1250">
        <v>3.4091597818593291</v>
      </c>
    </row>
    <row r="1251" spans="1:5" x14ac:dyDescent="0.3">
      <c r="A1251" t="s">
        <v>66</v>
      </c>
      <c r="B1251" t="s">
        <v>72</v>
      </c>
      <c r="C1251" t="s">
        <v>86</v>
      </c>
      <c r="D1251" t="s">
        <v>36</v>
      </c>
      <c r="E1251">
        <v>3.166627719060505</v>
      </c>
    </row>
    <row r="1252" spans="1:5" x14ac:dyDescent="0.3">
      <c r="A1252" t="s">
        <v>66</v>
      </c>
      <c r="B1252" t="s">
        <v>72</v>
      </c>
      <c r="C1252" t="s">
        <v>87</v>
      </c>
      <c r="D1252" t="s">
        <v>36</v>
      </c>
      <c r="E1252">
        <v>3.5403318976935498</v>
      </c>
    </row>
    <row r="1253" spans="1:5" x14ac:dyDescent="0.3">
      <c r="A1253" t="s">
        <v>66</v>
      </c>
      <c r="B1253" t="s">
        <v>73</v>
      </c>
      <c r="C1253" t="s">
        <v>88</v>
      </c>
      <c r="D1253" t="s">
        <v>36</v>
      </c>
      <c r="E1253">
        <v>3.4615079581826871</v>
      </c>
    </row>
    <row r="1254" spans="1:5" x14ac:dyDescent="0.3">
      <c r="A1254" t="s">
        <v>66</v>
      </c>
      <c r="B1254" t="s">
        <v>73</v>
      </c>
      <c r="C1254" t="s">
        <v>89</v>
      </c>
      <c r="D1254" t="s">
        <v>36</v>
      </c>
      <c r="E1254">
        <v>3.2753283097108041</v>
      </c>
    </row>
    <row r="1255" spans="1:5" x14ac:dyDescent="0.3">
      <c r="A1255" t="s">
        <v>66</v>
      </c>
      <c r="B1255" t="s">
        <v>74</v>
      </c>
      <c r="C1255" t="s">
        <v>90</v>
      </c>
      <c r="D1255" t="s">
        <v>36</v>
      </c>
      <c r="E1255">
        <v>3.0319975518909148</v>
      </c>
    </row>
    <row r="1256" spans="1:5" x14ac:dyDescent="0.3">
      <c r="A1256" t="s">
        <v>66</v>
      </c>
      <c r="B1256" t="s">
        <v>74</v>
      </c>
      <c r="C1256" t="s">
        <v>91</v>
      </c>
      <c r="D1256" t="s">
        <v>36</v>
      </c>
      <c r="E1256">
        <v>3.499829459936338</v>
      </c>
    </row>
    <row r="1257" spans="1:5" x14ac:dyDescent="0.3">
      <c r="A1257" t="s">
        <v>66</v>
      </c>
      <c r="B1257" t="s">
        <v>75</v>
      </c>
      <c r="C1257" t="s">
        <v>92</v>
      </c>
      <c r="D1257" t="s">
        <v>36</v>
      </c>
      <c r="E1257">
        <v>2.83250649397226</v>
      </c>
    </row>
    <row r="1258" spans="1:5" x14ac:dyDescent="0.3">
      <c r="A1258" t="s">
        <v>66</v>
      </c>
      <c r="B1258" t="s">
        <v>75</v>
      </c>
      <c r="C1258" t="s">
        <v>93</v>
      </c>
      <c r="D1258" t="s">
        <v>36</v>
      </c>
      <c r="E1258">
        <v>3.6002893676587</v>
      </c>
    </row>
    <row r="1259" spans="1:5" x14ac:dyDescent="0.3">
      <c r="A1259" t="s">
        <v>66</v>
      </c>
      <c r="B1259" t="s">
        <v>75</v>
      </c>
      <c r="C1259" t="s">
        <v>94</v>
      </c>
      <c r="D1259" t="s">
        <v>36</v>
      </c>
      <c r="E1259">
        <v>3.4670852003200041</v>
      </c>
    </row>
    <row r="1260" spans="1:5" x14ac:dyDescent="0.3">
      <c r="A1260" t="s">
        <v>66</v>
      </c>
      <c r="B1260" t="s">
        <v>75</v>
      </c>
      <c r="C1260" t="s">
        <v>95</v>
      </c>
      <c r="D1260" t="s">
        <v>36</v>
      </c>
      <c r="E1260">
        <v>3.3302485613887178</v>
      </c>
    </row>
    <row r="1261" spans="1:5" x14ac:dyDescent="0.3">
      <c r="A1261" t="s">
        <v>66</v>
      </c>
      <c r="B1261" t="s">
        <v>76</v>
      </c>
      <c r="C1261" t="s">
        <v>96</v>
      </c>
      <c r="D1261" t="s">
        <v>36</v>
      </c>
      <c r="E1261">
        <v>2.4839840623093852</v>
      </c>
    </row>
    <row r="1262" spans="1:5" x14ac:dyDescent="0.3">
      <c r="A1262" t="s">
        <v>66</v>
      </c>
      <c r="B1262" t="s">
        <v>76</v>
      </c>
      <c r="C1262" t="s">
        <v>97</v>
      </c>
      <c r="D1262" t="s">
        <v>36</v>
      </c>
      <c r="E1262">
        <v>3.5380423366314928</v>
      </c>
    </row>
    <row r="1263" spans="1:5" x14ac:dyDescent="0.3">
      <c r="A1263" t="s">
        <v>66</v>
      </c>
      <c r="B1263" t="s">
        <v>76</v>
      </c>
      <c r="C1263" t="s">
        <v>98</v>
      </c>
      <c r="D1263" t="s">
        <v>36</v>
      </c>
      <c r="E1263">
        <v>3.5541882069332482</v>
      </c>
    </row>
    <row r="1264" spans="1:5" x14ac:dyDescent="0.3">
      <c r="A1264" t="s">
        <v>66</v>
      </c>
      <c r="B1264" t="s">
        <v>0</v>
      </c>
      <c r="C1264" t="s">
        <v>99</v>
      </c>
      <c r="D1264" t="s">
        <v>36</v>
      </c>
      <c r="E1264">
        <v>1.492169739088028</v>
      </c>
    </row>
    <row r="1265" spans="1:5" x14ac:dyDescent="0.3">
      <c r="A1265" t="s">
        <v>66</v>
      </c>
      <c r="B1265" t="s">
        <v>0</v>
      </c>
      <c r="C1265" t="s">
        <v>100</v>
      </c>
      <c r="D1265" t="s">
        <v>36</v>
      </c>
      <c r="E1265">
        <v>2.7985074626865671</v>
      </c>
    </row>
    <row r="1266" spans="1:5" x14ac:dyDescent="0.3">
      <c r="A1266" t="s">
        <v>66</v>
      </c>
      <c r="B1266" t="s">
        <v>0</v>
      </c>
      <c r="C1266" t="s">
        <v>101</v>
      </c>
      <c r="D1266" t="s">
        <v>36</v>
      </c>
      <c r="E1266">
        <v>2.1645021645021649</v>
      </c>
    </row>
    <row r="1267" spans="1:5" x14ac:dyDescent="0.3">
      <c r="A1267" t="s">
        <v>66</v>
      </c>
      <c r="B1267" t="s">
        <v>0</v>
      </c>
      <c r="C1267" t="s">
        <v>102</v>
      </c>
      <c r="D1267" t="s">
        <v>36</v>
      </c>
      <c r="E1267">
        <v>1.669891536378094</v>
      </c>
    </row>
    <row r="1268" spans="1:5" x14ac:dyDescent="0.3">
      <c r="A1268" t="s">
        <v>66</v>
      </c>
      <c r="B1268" t="s">
        <v>0</v>
      </c>
      <c r="C1268" t="s">
        <v>103</v>
      </c>
      <c r="D1268" t="s">
        <v>36</v>
      </c>
      <c r="E1268">
        <v>0.87528797449737961</v>
      </c>
    </row>
    <row r="1269" spans="1:5" x14ac:dyDescent="0.3">
      <c r="A1269" t="s">
        <v>66</v>
      </c>
      <c r="B1269" t="s">
        <v>0</v>
      </c>
      <c r="C1269" t="s">
        <v>104</v>
      </c>
      <c r="D1269" t="s">
        <v>36</v>
      </c>
      <c r="E1269">
        <v>2.3579849946409439</v>
      </c>
    </row>
    <row r="1270" spans="1:5" x14ac:dyDescent="0.3">
      <c r="A1270" t="s">
        <v>66</v>
      </c>
      <c r="B1270" t="s">
        <v>0</v>
      </c>
      <c r="C1270" t="s">
        <v>105</v>
      </c>
      <c r="D1270" t="s">
        <v>36</v>
      </c>
      <c r="E1270">
        <v>2.9665975201160948</v>
      </c>
    </row>
    <row r="1271" spans="1:5" x14ac:dyDescent="0.3">
      <c r="A1271" t="s">
        <v>66</v>
      </c>
      <c r="B1271" t="s">
        <v>0</v>
      </c>
      <c r="C1271" t="s">
        <v>106</v>
      </c>
      <c r="D1271" t="s">
        <v>36</v>
      </c>
      <c r="E1271">
        <v>7.8414096916299556</v>
      </c>
    </row>
    <row r="1272" spans="1:5" x14ac:dyDescent="0.3">
      <c r="A1272" t="s">
        <v>66</v>
      </c>
      <c r="B1272" t="s">
        <v>0</v>
      </c>
      <c r="C1272" t="s">
        <v>107</v>
      </c>
      <c r="D1272" t="s">
        <v>36</v>
      </c>
      <c r="E1272">
        <v>3.2158870695252411</v>
      </c>
    </row>
    <row r="1273" spans="1:5" x14ac:dyDescent="0.3">
      <c r="A1273" t="s">
        <v>66</v>
      </c>
      <c r="B1273" t="s">
        <v>0</v>
      </c>
      <c r="C1273" t="s">
        <v>108</v>
      </c>
      <c r="D1273" t="s">
        <v>36</v>
      </c>
      <c r="E1273">
        <v>2.3366782865193341</v>
      </c>
    </row>
    <row r="1274" spans="1:5" x14ac:dyDescent="0.3">
      <c r="A1274" t="s">
        <v>66</v>
      </c>
      <c r="B1274" t="s">
        <v>0</v>
      </c>
      <c r="C1274" t="s">
        <v>109</v>
      </c>
      <c r="D1274" t="s">
        <v>36</v>
      </c>
      <c r="E1274">
        <v>2.8998242530755709</v>
      </c>
    </row>
    <row r="1275" spans="1:5" x14ac:dyDescent="0.3">
      <c r="A1275" t="s">
        <v>66</v>
      </c>
      <c r="B1275" t="s">
        <v>0</v>
      </c>
      <c r="C1275" t="s">
        <v>110</v>
      </c>
      <c r="D1275" t="s">
        <v>36</v>
      </c>
      <c r="E1275">
        <v>5.5383737950592504</v>
      </c>
    </row>
    <row r="1276" spans="1:5" x14ac:dyDescent="0.3">
      <c r="A1276" t="s">
        <v>66</v>
      </c>
      <c r="B1276" t="s">
        <v>0</v>
      </c>
      <c r="C1276" t="s">
        <v>111</v>
      </c>
      <c r="D1276" t="s">
        <v>36</v>
      </c>
      <c r="E1276">
        <v>7.0824524312896404</v>
      </c>
    </row>
    <row r="1277" spans="1:5" x14ac:dyDescent="0.3">
      <c r="A1277" t="s">
        <v>66</v>
      </c>
      <c r="B1277" t="s">
        <v>0</v>
      </c>
      <c r="C1277" t="s">
        <v>112</v>
      </c>
      <c r="D1277" t="s">
        <v>36</v>
      </c>
      <c r="E1277">
        <v>1.1638316920322289</v>
      </c>
    </row>
    <row r="1278" spans="1:5" x14ac:dyDescent="0.3">
      <c r="A1278" t="s">
        <v>66</v>
      </c>
      <c r="B1278" t="s">
        <v>0</v>
      </c>
      <c r="C1278" t="s">
        <v>113</v>
      </c>
      <c r="D1278" t="s">
        <v>36</v>
      </c>
      <c r="E1278">
        <v>0.94198244487261829</v>
      </c>
    </row>
    <row r="1279" spans="1:5" x14ac:dyDescent="0.3">
      <c r="A1279" t="s">
        <v>66</v>
      </c>
      <c r="B1279" t="s">
        <v>0</v>
      </c>
      <c r="C1279" t="s">
        <v>114</v>
      </c>
      <c r="D1279" t="s">
        <v>36</v>
      </c>
      <c r="E1279">
        <v>3.1304859613058889</v>
      </c>
    </row>
    <row r="1280" spans="1:5" x14ac:dyDescent="0.3">
      <c r="A1280" t="s">
        <v>66</v>
      </c>
      <c r="B1280" t="s">
        <v>0</v>
      </c>
      <c r="C1280" t="s">
        <v>115</v>
      </c>
      <c r="D1280" t="s">
        <v>36</v>
      </c>
      <c r="E1280">
        <v>2.8119507908611601</v>
      </c>
    </row>
    <row r="1281" spans="1:5" x14ac:dyDescent="0.3">
      <c r="A1281" t="s">
        <v>66</v>
      </c>
      <c r="B1281" t="s">
        <v>0</v>
      </c>
      <c r="C1281" t="s">
        <v>116</v>
      </c>
      <c r="D1281" t="s">
        <v>36</v>
      </c>
      <c r="E1281">
        <v>9.5278969957081543</v>
      </c>
    </row>
    <row r="1282" spans="1:5" x14ac:dyDescent="0.3">
      <c r="A1282" t="s">
        <v>67</v>
      </c>
      <c r="B1282" t="s">
        <v>69</v>
      </c>
      <c r="C1282" t="s">
        <v>69</v>
      </c>
      <c r="D1282" t="s">
        <v>33</v>
      </c>
      <c r="E1282">
        <v>26.252865003911321</v>
      </c>
    </row>
    <row r="1283" spans="1:5" x14ac:dyDescent="0.3">
      <c r="A1283" t="s">
        <v>67</v>
      </c>
      <c r="B1283" t="s">
        <v>70</v>
      </c>
      <c r="C1283" t="s">
        <v>78</v>
      </c>
      <c r="D1283" t="s">
        <v>33</v>
      </c>
      <c r="E1283">
        <v>27.210549255459728</v>
      </c>
    </row>
    <row r="1284" spans="1:5" x14ac:dyDescent="0.3">
      <c r="A1284" t="s">
        <v>67</v>
      </c>
      <c r="B1284" t="s">
        <v>70</v>
      </c>
      <c r="C1284" t="s">
        <v>79</v>
      </c>
      <c r="D1284" t="s">
        <v>33</v>
      </c>
      <c r="E1284">
        <v>25.205729872360131</v>
      </c>
    </row>
    <row r="1285" spans="1:5" x14ac:dyDescent="0.3">
      <c r="A1285" t="s">
        <v>67</v>
      </c>
      <c r="B1285" t="s">
        <v>70</v>
      </c>
      <c r="C1285" t="s">
        <v>80</v>
      </c>
      <c r="D1285" t="s">
        <v>33</v>
      </c>
      <c r="E1285">
        <v>24.757245307138952</v>
      </c>
    </row>
    <row r="1286" spans="1:5" x14ac:dyDescent="0.3">
      <c r="A1286" t="s">
        <v>67</v>
      </c>
      <c r="B1286" t="s">
        <v>70</v>
      </c>
      <c r="C1286" t="s">
        <v>81</v>
      </c>
      <c r="D1286" t="s">
        <v>33</v>
      </c>
      <c r="E1286">
        <v>30.89063403342232</v>
      </c>
    </row>
    <row r="1287" spans="1:5" x14ac:dyDescent="0.3">
      <c r="A1287" t="s">
        <v>67</v>
      </c>
      <c r="B1287" t="s">
        <v>71</v>
      </c>
      <c r="C1287" t="s">
        <v>82</v>
      </c>
      <c r="D1287" t="s">
        <v>33</v>
      </c>
      <c r="E1287">
        <v>23.888878047254831</v>
      </c>
    </row>
    <row r="1288" spans="1:5" x14ac:dyDescent="0.3">
      <c r="A1288" t="s">
        <v>67</v>
      </c>
      <c r="B1288" t="s">
        <v>71</v>
      </c>
      <c r="C1288" t="s">
        <v>83</v>
      </c>
      <c r="D1288" t="s">
        <v>33</v>
      </c>
      <c r="E1288">
        <v>26.881083993597588</v>
      </c>
    </row>
    <row r="1289" spans="1:5" x14ac:dyDescent="0.3">
      <c r="A1289" t="s">
        <v>67</v>
      </c>
      <c r="B1289" t="s">
        <v>71</v>
      </c>
      <c r="C1289" t="s">
        <v>84</v>
      </c>
      <c r="D1289" t="s">
        <v>33</v>
      </c>
      <c r="E1289">
        <v>27.055838280344901</v>
      </c>
    </row>
    <row r="1290" spans="1:5" x14ac:dyDescent="0.3">
      <c r="A1290" t="s">
        <v>67</v>
      </c>
      <c r="B1290" t="s">
        <v>71</v>
      </c>
      <c r="C1290" t="s">
        <v>85</v>
      </c>
      <c r="D1290" t="s">
        <v>33</v>
      </c>
      <c r="E1290">
        <v>25.85240860390395</v>
      </c>
    </row>
    <row r="1291" spans="1:5" x14ac:dyDescent="0.3">
      <c r="A1291" t="s">
        <v>67</v>
      </c>
      <c r="B1291" t="s">
        <v>72</v>
      </c>
      <c r="C1291" t="s">
        <v>86</v>
      </c>
      <c r="D1291" t="s">
        <v>33</v>
      </c>
      <c r="E1291">
        <v>26.071373238644071</v>
      </c>
    </row>
    <row r="1292" spans="1:5" x14ac:dyDescent="0.3">
      <c r="A1292" t="s">
        <v>67</v>
      </c>
      <c r="B1292" t="s">
        <v>72</v>
      </c>
      <c r="C1292" t="s">
        <v>87</v>
      </c>
      <c r="D1292" t="s">
        <v>33</v>
      </c>
      <c r="E1292">
        <v>26.44266929378594</v>
      </c>
    </row>
    <row r="1293" spans="1:5" x14ac:dyDescent="0.3">
      <c r="A1293" t="s">
        <v>67</v>
      </c>
      <c r="B1293" t="s">
        <v>73</v>
      </c>
      <c r="C1293" t="s">
        <v>88</v>
      </c>
      <c r="D1293" t="s">
        <v>33</v>
      </c>
      <c r="E1293">
        <v>26.796137908025351</v>
      </c>
    </row>
    <row r="1294" spans="1:5" x14ac:dyDescent="0.3">
      <c r="A1294" t="s">
        <v>67</v>
      </c>
      <c r="B1294" t="s">
        <v>73</v>
      </c>
      <c r="C1294" t="s">
        <v>89</v>
      </c>
      <c r="D1294" t="s">
        <v>33</v>
      </c>
      <c r="E1294">
        <v>25.882147289677039</v>
      </c>
    </row>
    <row r="1295" spans="1:5" x14ac:dyDescent="0.3">
      <c r="A1295" t="s">
        <v>67</v>
      </c>
      <c r="B1295" t="s">
        <v>74</v>
      </c>
      <c r="C1295" t="s">
        <v>90</v>
      </c>
      <c r="D1295" t="s">
        <v>33</v>
      </c>
      <c r="E1295">
        <v>25.97167206450759</v>
      </c>
    </row>
    <row r="1296" spans="1:5" x14ac:dyDescent="0.3">
      <c r="A1296" t="s">
        <v>67</v>
      </c>
      <c r="B1296" t="s">
        <v>74</v>
      </c>
      <c r="C1296" t="s">
        <v>91</v>
      </c>
      <c r="D1296" t="s">
        <v>33</v>
      </c>
      <c r="E1296">
        <v>26.43011151193469</v>
      </c>
    </row>
    <row r="1297" spans="1:5" x14ac:dyDescent="0.3">
      <c r="A1297" t="s">
        <v>67</v>
      </c>
      <c r="B1297" t="s">
        <v>75</v>
      </c>
      <c r="C1297" t="s">
        <v>92</v>
      </c>
      <c r="D1297" t="s">
        <v>33</v>
      </c>
      <c r="E1297">
        <v>25.682135454978621</v>
      </c>
    </row>
    <row r="1298" spans="1:5" x14ac:dyDescent="0.3">
      <c r="A1298" t="s">
        <v>67</v>
      </c>
      <c r="B1298" t="s">
        <v>75</v>
      </c>
      <c r="C1298" t="s">
        <v>93</v>
      </c>
      <c r="D1298" t="s">
        <v>33</v>
      </c>
      <c r="E1298">
        <v>27.149611203648622</v>
      </c>
    </row>
    <row r="1299" spans="1:5" x14ac:dyDescent="0.3">
      <c r="A1299" t="s">
        <v>67</v>
      </c>
      <c r="B1299" t="s">
        <v>75</v>
      </c>
      <c r="C1299" t="s">
        <v>94</v>
      </c>
      <c r="D1299" t="s">
        <v>33</v>
      </c>
      <c r="E1299">
        <v>25.988176027094521</v>
      </c>
    </row>
    <row r="1300" spans="1:5" x14ac:dyDescent="0.3">
      <c r="A1300" t="s">
        <v>67</v>
      </c>
      <c r="B1300" t="s">
        <v>75</v>
      </c>
      <c r="C1300" t="s">
        <v>95</v>
      </c>
      <c r="D1300" t="s">
        <v>33</v>
      </c>
      <c r="E1300">
        <v>27.577277377313099</v>
      </c>
    </row>
    <row r="1301" spans="1:5" x14ac:dyDescent="0.3">
      <c r="A1301" t="s">
        <v>67</v>
      </c>
      <c r="B1301" t="s">
        <v>76</v>
      </c>
      <c r="C1301" t="s">
        <v>96</v>
      </c>
      <c r="D1301" t="s">
        <v>33</v>
      </c>
      <c r="E1301">
        <v>24.315267312144179</v>
      </c>
    </row>
    <row r="1302" spans="1:5" x14ac:dyDescent="0.3">
      <c r="A1302" t="s">
        <v>67</v>
      </c>
      <c r="B1302" t="s">
        <v>76</v>
      </c>
      <c r="C1302" t="s">
        <v>97</v>
      </c>
      <c r="D1302" t="s">
        <v>33</v>
      </c>
      <c r="E1302">
        <v>26.104850160781179</v>
      </c>
    </row>
    <row r="1303" spans="1:5" x14ac:dyDescent="0.3">
      <c r="A1303" t="s">
        <v>67</v>
      </c>
      <c r="B1303" t="s">
        <v>76</v>
      </c>
      <c r="C1303" t="s">
        <v>98</v>
      </c>
      <c r="D1303" t="s">
        <v>33</v>
      </c>
      <c r="E1303">
        <v>27.095661868214879</v>
      </c>
    </row>
    <row r="1304" spans="1:5" x14ac:dyDescent="0.3">
      <c r="A1304" t="s">
        <v>67</v>
      </c>
      <c r="B1304" t="s">
        <v>0</v>
      </c>
      <c r="C1304" t="s">
        <v>99</v>
      </c>
      <c r="D1304" t="s">
        <v>33</v>
      </c>
      <c r="E1304">
        <v>19.246361262038771</v>
      </c>
    </row>
    <row r="1305" spans="1:5" x14ac:dyDescent="0.3">
      <c r="A1305" t="s">
        <v>67</v>
      </c>
      <c r="B1305" t="s">
        <v>0</v>
      </c>
      <c r="C1305" t="s">
        <v>100</v>
      </c>
      <c r="D1305" t="s">
        <v>33</v>
      </c>
      <c r="E1305">
        <v>10.18691588785047</v>
      </c>
    </row>
    <row r="1306" spans="1:5" x14ac:dyDescent="0.3">
      <c r="A1306" t="s">
        <v>67</v>
      </c>
      <c r="B1306" t="s">
        <v>0</v>
      </c>
      <c r="C1306" t="s">
        <v>101</v>
      </c>
      <c r="D1306" t="s">
        <v>33</v>
      </c>
      <c r="E1306">
        <v>45.877551020408163</v>
      </c>
    </row>
    <row r="1307" spans="1:5" x14ac:dyDescent="0.3">
      <c r="A1307" t="s">
        <v>67</v>
      </c>
      <c r="B1307" t="s">
        <v>0</v>
      </c>
      <c r="C1307" t="s">
        <v>102</v>
      </c>
      <c r="D1307" t="s">
        <v>33</v>
      </c>
      <c r="E1307">
        <v>46.469114781692618</v>
      </c>
    </row>
    <row r="1308" spans="1:5" x14ac:dyDescent="0.3">
      <c r="A1308" t="s">
        <v>67</v>
      </c>
      <c r="B1308" t="s">
        <v>0</v>
      </c>
      <c r="C1308" t="s">
        <v>103</v>
      </c>
      <c r="D1308" t="s">
        <v>33</v>
      </c>
      <c r="E1308">
        <v>35.171315651034043</v>
      </c>
    </row>
    <row r="1309" spans="1:5" x14ac:dyDescent="0.3">
      <c r="A1309" t="s">
        <v>67</v>
      </c>
      <c r="B1309" t="s">
        <v>0</v>
      </c>
      <c r="C1309" t="s">
        <v>104</v>
      </c>
      <c r="D1309" t="s">
        <v>33</v>
      </c>
      <c r="E1309">
        <v>29.804727646454261</v>
      </c>
    </row>
    <row r="1310" spans="1:5" x14ac:dyDescent="0.3">
      <c r="A1310" t="s">
        <v>67</v>
      </c>
      <c r="B1310" t="s">
        <v>0</v>
      </c>
      <c r="C1310" t="s">
        <v>105</v>
      </c>
      <c r="D1310" t="s">
        <v>33</v>
      </c>
      <c r="E1310">
        <v>22.398562291416599</v>
      </c>
    </row>
    <row r="1311" spans="1:5" x14ac:dyDescent="0.3">
      <c r="A1311" t="s">
        <v>67</v>
      </c>
      <c r="B1311" t="s">
        <v>0</v>
      </c>
      <c r="C1311" t="s">
        <v>106</v>
      </c>
      <c r="D1311" t="s">
        <v>33</v>
      </c>
      <c r="E1311">
        <v>12.69406392694064</v>
      </c>
    </row>
    <row r="1312" spans="1:5" x14ac:dyDescent="0.3">
      <c r="A1312" t="s">
        <v>67</v>
      </c>
      <c r="B1312" t="s">
        <v>0</v>
      </c>
      <c r="C1312" t="s">
        <v>107</v>
      </c>
      <c r="D1312" t="s">
        <v>33</v>
      </c>
      <c r="E1312">
        <v>30.019269995630371</v>
      </c>
    </row>
    <row r="1313" spans="1:5" x14ac:dyDescent="0.3">
      <c r="A1313" t="s">
        <v>67</v>
      </c>
      <c r="B1313" t="s">
        <v>0</v>
      </c>
      <c r="C1313" t="s">
        <v>108</v>
      </c>
      <c r="D1313" t="s">
        <v>33</v>
      </c>
      <c r="E1313">
        <v>30.363511291947979</v>
      </c>
    </row>
    <row r="1314" spans="1:5" x14ac:dyDescent="0.3">
      <c r="A1314" t="s">
        <v>67</v>
      </c>
      <c r="B1314" t="s">
        <v>0</v>
      </c>
      <c r="C1314" t="s">
        <v>109</v>
      </c>
      <c r="D1314" t="s">
        <v>33</v>
      </c>
      <c r="E1314">
        <v>34.641638225255967</v>
      </c>
    </row>
    <row r="1315" spans="1:5" x14ac:dyDescent="0.3">
      <c r="A1315" t="s">
        <v>67</v>
      </c>
      <c r="B1315" t="s">
        <v>0</v>
      </c>
      <c r="C1315" t="s">
        <v>110</v>
      </c>
      <c r="D1315" t="s">
        <v>33</v>
      </c>
      <c r="E1315">
        <v>11.47955457544656</v>
      </c>
    </row>
    <row r="1316" spans="1:5" x14ac:dyDescent="0.3">
      <c r="A1316" t="s">
        <v>67</v>
      </c>
      <c r="B1316" t="s">
        <v>0</v>
      </c>
      <c r="C1316" t="s">
        <v>111</v>
      </c>
      <c r="D1316" t="s">
        <v>33</v>
      </c>
      <c r="E1316">
        <v>18.997912317327771</v>
      </c>
    </row>
    <row r="1317" spans="1:5" x14ac:dyDescent="0.3">
      <c r="A1317" t="s">
        <v>67</v>
      </c>
      <c r="B1317" t="s">
        <v>0</v>
      </c>
      <c r="C1317" t="s">
        <v>112</v>
      </c>
      <c r="D1317" t="s">
        <v>33</v>
      </c>
      <c r="E1317">
        <v>21.038495971351839</v>
      </c>
    </row>
    <row r="1318" spans="1:5" x14ac:dyDescent="0.3">
      <c r="A1318" t="s">
        <v>67</v>
      </c>
      <c r="B1318" t="s">
        <v>0</v>
      </c>
      <c r="C1318" t="s">
        <v>113</v>
      </c>
      <c r="D1318" t="s">
        <v>33</v>
      </c>
      <c r="E1318">
        <v>33.464216522653579</v>
      </c>
    </row>
    <row r="1319" spans="1:5" x14ac:dyDescent="0.3">
      <c r="A1319" t="s">
        <v>67</v>
      </c>
      <c r="B1319" t="s">
        <v>0</v>
      </c>
      <c r="C1319" t="s">
        <v>114</v>
      </c>
      <c r="D1319" t="s">
        <v>33</v>
      </c>
      <c r="E1319">
        <v>20.097871516757412</v>
      </c>
    </row>
    <row r="1320" spans="1:5" x14ac:dyDescent="0.3">
      <c r="A1320" t="s">
        <v>67</v>
      </c>
      <c r="B1320" t="s">
        <v>0</v>
      </c>
      <c r="C1320" t="s">
        <v>115</v>
      </c>
      <c r="D1320" t="s">
        <v>33</v>
      </c>
      <c r="E1320">
        <v>9.5113438045375212</v>
      </c>
    </row>
    <row r="1321" spans="1:5" x14ac:dyDescent="0.3">
      <c r="A1321" t="s">
        <v>67</v>
      </c>
      <c r="B1321" t="s">
        <v>0</v>
      </c>
      <c r="C1321" t="s">
        <v>116</v>
      </c>
      <c r="D1321" t="s">
        <v>33</v>
      </c>
      <c r="E1321">
        <v>33.447979363714531</v>
      </c>
    </row>
    <row r="1322" spans="1:5" x14ac:dyDescent="0.3">
      <c r="A1322" t="s">
        <v>67</v>
      </c>
      <c r="B1322" t="s">
        <v>69</v>
      </c>
      <c r="C1322" t="s">
        <v>69</v>
      </c>
      <c r="D1322" t="s">
        <v>34</v>
      </c>
      <c r="E1322">
        <v>49.261629221520273</v>
      </c>
    </row>
    <row r="1323" spans="1:5" x14ac:dyDescent="0.3">
      <c r="A1323" t="s">
        <v>67</v>
      </c>
      <c r="B1323" t="s">
        <v>70</v>
      </c>
      <c r="C1323" t="s">
        <v>78</v>
      </c>
      <c r="D1323" t="s">
        <v>34</v>
      </c>
      <c r="E1323">
        <v>49.16807340402692</v>
      </c>
    </row>
    <row r="1324" spans="1:5" x14ac:dyDescent="0.3">
      <c r="A1324" t="s">
        <v>67</v>
      </c>
      <c r="B1324" t="s">
        <v>70</v>
      </c>
      <c r="C1324" t="s">
        <v>79</v>
      </c>
      <c r="D1324" t="s">
        <v>34</v>
      </c>
      <c r="E1324">
        <v>50.222036599138121</v>
      </c>
    </row>
    <row r="1325" spans="1:5" x14ac:dyDescent="0.3">
      <c r="A1325" t="s">
        <v>67</v>
      </c>
      <c r="B1325" t="s">
        <v>70</v>
      </c>
      <c r="C1325" t="s">
        <v>80</v>
      </c>
      <c r="D1325" t="s">
        <v>34</v>
      </c>
      <c r="E1325">
        <v>48.148069599776619</v>
      </c>
    </row>
    <row r="1326" spans="1:5" x14ac:dyDescent="0.3">
      <c r="A1326" t="s">
        <v>67</v>
      </c>
      <c r="B1326" t="s">
        <v>70</v>
      </c>
      <c r="C1326" t="s">
        <v>81</v>
      </c>
      <c r="D1326" t="s">
        <v>34</v>
      </c>
      <c r="E1326">
        <v>48.349567021266417</v>
      </c>
    </row>
    <row r="1327" spans="1:5" x14ac:dyDescent="0.3">
      <c r="A1327" t="s">
        <v>67</v>
      </c>
      <c r="B1327" t="s">
        <v>71</v>
      </c>
      <c r="C1327" t="s">
        <v>82</v>
      </c>
      <c r="D1327" t="s">
        <v>34</v>
      </c>
      <c r="E1327">
        <v>48.224406132023567</v>
      </c>
    </row>
    <row r="1328" spans="1:5" x14ac:dyDescent="0.3">
      <c r="A1328" t="s">
        <v>67</v>
      </c>
      <c r="B1328" t="s">
        <v>71</v>
      </c>
      <c r="C1328" t="s">
        <v>83</v>
      </c>
      <c r="D1328" t="s">
        <v>34</v>
      </c>
      <c r="E1328">
        <v>48.054544656775768</v>
      </c>
    </row>
    <row r="1329" spans="1:5" x14ac:dyDescent="0.3">
      <c r="A1329" t="s">
        <v>67</v>
      </c>
      <c r="B1329" t="s">
        <v>71</v>
      </c>
      <c r="C1329" t="s">
        <v>84</v>
      </c>
      <c r="D1329" t="s">
        <v>34</v>
      </c>
      <c r="E1329">
        <v>51.059575694807648</v>
      </c>
    </row>
    <row r="1330" spans="1:5" x14ac:dyDescent="0.3">
      <c r="A1330" t="s">
        <v>67</v>
      </c>
      <c r="B1330" t="s">
        <v>71</v>
      </c>
      <c r="C1330" t="s">
        <v>85</v>
      </c>
      <c r="D1330" t="s">
        <v>34</v>
      </c>
      <c r="E1330">
        <v>49.88673104668468</v>
      </c>
    </row>
    <row r="1331" spans="1:5" x14ac:dyDescent="0.3">
      <c r="A1331" t="s">
        <v>67</v>
      </c>
      <c r="B1331" t="s">
        <v>72</v>
      </c>
      <c r="C1331" t="s">
        <v>86</v>
      </c>
      <c r="D1331" t="s">
        <v>34</v>
      </c>
      <c r="E1331">
        <v>50.315152705891983</v>
      </c>
    </row>
    <row r="1332" spans="1:5" x14ac:dyDescent="0.3">
      <c r="A1332" t="s">
        <v>67</v>
      </c>
      <c r="B1332" t="s">
        <v>72</v>
      </c>
      <c r="C1332" t="s">
        <v>87</v>
      </c>
      <c r="D1332" t="s">
        <v>34</v>
      </c>
      <c r="E1332">
        <v>48.159853190398707</v>
      </c>
    </row>
    <row r="1333" spans="1:5" x14ac:dyDescent="0.3">
      <c r="A1333" t="s">
        <v>67</v>
      </c>
      <c r="B1333" t="s">
        <v>73</v>
      </c>
      <c r="C1333" t="s">
        <v>88</v>
      </c>
      <c r="D1333" t="s">
        <v>34</v>
      </c>
      <c r="E1333">
        <v>48.435691676558363</v>
      </c>
    </row>
    <row r="1334" spans="1:5" x14ac:dyDescent="0.3">
      <c r="A1334" t="s">
        <v>67</v>
      </c>
      <c r="B1334" t="s">
        <v>73</v>
      </c>
      <c r="C1334" t="s">
        <v>89</v>
      </c>
      <c r="D1334" t="s">
        <v>34</v>
      </c>
      <c r="E1334">
        <v>49.863740554318007</v>
      </c>
    </row>
    <row r="1335" spans="1:5" x14ac:dyDescent="0.3">
      <c r="A1335" t="s">
        <v>67</v>
      </c>
      <c r="B1335" t="s">
        <v>74</v>
      </c>
      <c r="C1335" t="s">
        <v>90</v>
      </c>
      <c r="D1335" t="s">
        <v>34</v>
      </c>
      <c r="E1335">
        <v>50.029861257267697</v>
      </c>
    </row>
    <row r="1336" spans="1:5" x14ac:dyDescent="0.3">
      <c r="A1336" t="s">
        <v>67</v>
      </c>
      <c r="B1336" t="s">
        <v>74</v>
      </c>
      <c r="C1336" t="s">
        <v>91</v>
      </c>
      <c r="D1336" t="s">
        <v>34</v>
      </c>
      <c r="E1336">
        <v>48.860450736699583</v>
      </c>
    </row>
    <row r="1337" spans="1:5" x14ac:dyDescent="0.3">
      <c r="A1337" t="s">
        <v>67</v>
      </c>
      <c r="B1337" t="s">
        <v>75</v>
      </c>
      <c r="C1337" t="s">
        <v>92</v>
      </c>
      <c r="D1337" t="s">
        <v>34</v>
      </c>
      <c r="E1337">
        <v>49.137810202238022</v>
      </c>
    </row>
    <row r="1338" spans="1:5" x14ac:dyDescent="0.3">
      <c r="A1338" t="s">
        <v>67</v>
      </c>
      <c r="B1338" t="s">
        <v>75</v>
      </c>
      <c r="C1338" t="s">
        <v>93</v>
      </c>
      <c r="D1338" t="s">
        <v>34</v>
      </c>
      <c r="E1338">
        <v>48.849217435197133</v>
      </c>
    </row>
    <row r="1339" spans="1:5" x14ac:dyDescent="0.3">
      <c r="A1339" t="s">
        <v>67</v>
      </c>
      <c r="B1339" t="s">
        <v>75</v>
      </c>
      <c r="C1339" t="s">
        <v>94</v>
      </c>
      <c r="D1339" t="s">
        <v>34</v>
      </c>
      <c r="E1339">
        <v>49.908211581552138</v>
      </c>
    </row>
    <row r="1340" spans="1:5" x14ac:dyDescent="0.3">
      <c r="A1340" t="s">
        <v>67</v>
      </c>
      <c r="B1340" t="s">
        <v>75</v>
      </c>
      <c r="C1340" t="s">
        <v>95</v>
      </c>
      <c r="D1340" t="s">
        <v>34</v>
      </c>
      <c r="E1340">
        <v>49.238255614599822</v>
      </c>
    </row>
    <row r="1341" spans="1:5" x14ac:dyDescent="0.3">
      <c r="A1341" t="s">
        <v>67</v>
      </c>
      <c r="B1341" t="s">
        <v>76</v>
      </c>
      <c r="C1341" t="s">
        <v>96</v>
      </c>
      <c r="D1341" t="s">
        <v>34</v>
      </c>
      <c r="E1341">
        <v>51.862411790383888</v>
      </c>
    </row>
    <row r="1342" spans="1:5" x14ac:dyDescent="0.3">
      <c r="A1342" t="s">
        <v>67</v>
      </c>
      <c r="B1342" t="s">
        <v>76</v>
      </c>
      <c r="C1342" t="s">
        <v>97</v>
      </c>
      <c r="D1342" t="s">
        <v>34</v>
      </c>
      <c r="E1342">
        <v>47.355461406642881</v>
      </c>
    </row>
    <row r="1343" spans="1:5" x14ac:dyDescent="0.3">
      <c r="A1343" t="s">
        <v>67</v>
      </c>
      <c r="B1343" t="s">
        <v>76</v>
      </c>
      <c r="C1343" t="s">
        <v>98</v>
      </c>
      <c r="D1343" t="s">
        <v>34</v>
      </c>
      <c r="E1343">
        <v>49.24715551041588</v>
      </c>
    </row>
    <row r="1344" spans="1:5" x14ac:dyDescent="0.3">
      <c r="A1344" t="s">
        <v>67</v>
      </c>
      <c r="B1344" t="s">
        <v>0</v>
      </c>
      <c r="C1344" t="s">
        <v>99</v>
      </c>
      <c r="D1344" t="s">
        <v>34</v>
      </c>
      <c r="E1344">
        <v>59.286804746971292</v>
      </c>
    </row>
    <row r="1345" spans="1:5" x14ac:dyDescent="0.3">
      <c r="A1345" t="s">
        <v>67</v>
      </c>
      <c r="B1345" t="s">
        <v>0</v>
      </c>
      <c r="C1345" t="s">
        <v>100</v>
      </c>
      <c r="D1345" t="s">
        <v>34</v>
      </c>
      <c r="E1345">
        <v>42.803738317757009</v>
      </c>
    </row>
    <row r="1346" spans="1:5" x14ac:dyDescent="0.3">
      <c r="A1346" t="s">
        <v>67</v>
      </c>
      <c r="B1346" t="s">
        <v>0</v>
      </c>
      <c r="C1346" t="s">
        <v>101</v>
      </c>
      <c r="D1346" t="s">
        <v>34</v>
      </c>
      <c r="E1346">
        <v>46.448979591836739</v>
      </c>
    </row>
    <row r="1347" spans="1:5" x14ac:dyDescent="0.3">
      <c r="A1347" t="s">
        <v>67</v>
      </c>
      <c r="B1347" t="s">
        <v>0</v>
      </c>
      <c r="C1347" t="s">
        <v>102</v>
      </c>
      <c r="D1347" t="s">
        <v>34</v>
      </c>
      <c r="E1347">
        <v>48.472453257004339</v>
      </c>
    </row>
    <row r="1348" spans="1:5" x14ac:dyDescent="0.3">
      <c r="A1348" t="s">
        <v>67</v>
      </c>
      <c r="B1348" t="s">
        <v>0</v>
      </c>
      <c r="C1348" t="s">
        <v>103</v>
      </c>
      <c r="D1348" t="s">
        <v>34</v>
      </c>
      <c r="E1348">
        <v>50.418058575273619</v>
      </c>
    </row>
    <row r="1349" spans="1:5" x14ac:dyDescent="0.3">
      <c r="A1349" t="s">
        <v>67</v>
      </c>
      <c r="B1349" t="s">
        <v>0</v>
      </c>
      <c r="C1349" t="s">
        <v>104</v>
      </c>
      <c r="D1349" t="s">
        <v>34</v>
      </c>
      <c r="E1349">
        <v>51.49023638232272</v>
      </c>
    </row>
    <row r="1350" spans="1:5" x14ac:dyDescent="0.3">
      <c r="A1350" t="s">
        <v>67</v>
      </c>
      <c r="B1350" t="s">
        <v>0</v>
      </c>
      <c r="C1350" t="s">
        <v>105</v>
      </c>
      <c r="D1350" t="s">
        <v>34</v>
      </c>
      <c r="E1350">
        <v>52.008187489919237</v>
      </c>
    </row>
    <row r="1351" spans="1:5" x14ac:dyDescent="0.3">
      <c r="A1351" t="s">
        <v>67</v>
      </c>
      <c r="B1351" t="s">
        <v>0</v>
      </c>
      <c r="C1351" t="s">
        <v>106</v>
      </c>
      <c r="D1351" t="s">
        <v>34</v>
      </c>
      <c r="E1351">
        <v>33.515981735159819</v>
      </c>
    </row>
    <row r="1352" spans="1:5" x14ac:dyDescent="0.3">
      <c r="A1352" t="s">
        <v>67</v>
      </c>
      <c r="B1352" t="s">
        <v>0</v>
      </c>
      <c r="C1352" t="s">
        <v>107</v>
      </c>
      <c r="D1352" t="s">
        <v>34</v>
      </c>
      <c r="E1352">
        <v>48.586154974725652</v>
      </c>
    </row>
    <row r="1353" spans="1:5" x14ac:dyDescent="0.3">
      <c r="A1353" t="s">
        <v>67</v>
      </c>
      <c r="B1353" t="s">
        <v>0</v>
      </c>
      <c r="C1353" t="s">
        <v>108</v>
      </c>
      <c r="D1353" t="s">
        <v>34</v>
      </c>
      <c r="E1353">
        <v>49.472823772633021</v>
      </c>
    </row>
    <row r="1354" spans="1:5" x14ac:dyDescent="0.3">
      <c r="A1354" t="s">
        <v>67</v>
      </c>
      <c r="B1354" t="s">
        <v>0</v>
      </c>
      <c r="C1354" t="s">
        <v>109</v>
      </c>
      <c r="D1354" t="s">
        <v>34</v>
      </c>
      <c r="E1354">
        <v>47.781569965870297</v>
      </c>
    </row>
    <row r="1355" spans="1:5" x14ac:dyDescent="0.3">
      <c r="A1355" t="s">
        <v>67</v>
      </c>
      <c r="B1355" t="s">
        <v>0</v>
      </c>
      <c r="C1355" t="s">
        <v>110</v>
      </c>
      <c r="D1355" t="s">
        <v>34</v>
      </c>
      <c r="E1355">
        <v>46.344520908913019</v>
      </c>
    </row>
    <row r="1356" spans="1:5" x14ac:dyDescent="0.3">
      <c r="A1356" t="s">
        <v>67</v>
      </c>
      <c r="B1356" t="s">
        <v>0</v>
      </c>
      <c r="C1356" t="s">
        <v>111</v>
      </c>
      <c r="D1356" t="s">
        <v>34</v>
      </c>
      <c r="E1356">
        <v>43.110647181628387</v>
      </c>
    </row>
    <row r="1357" spans="1:5" x14ac:dyDescent="0.3">
      <c r="A1357" t="s">
        <v>67</v>
      </c>
      <c r="B1357" t="s">
        <v>0</v>
      </c>
      <c r="C1357" t="s">
        <v>112</v>
      </c>
      <c r="D1357" t="s">
        <v>34</v>
      </c>
      <c r="E1357">
        <v>61.235452103849603</v>
      </c>
    </row>
    <row r="1358" spans="1:5" x14ac:dyDescent="0.3">
      <c r="A1358" t="s">
        <v>67</v>
      </c>
      <c r="B1358" t="s">
        <v>0</v>
      </c>
      <c r="C1358" t="s">
        <v>113</v>
      </c>
      <c r="D1358" t="s">
        <v>34</v>
      </c>
      <c r="E1358">
        <v>52.214106657359629</v>
      </c>
    </row>
    <row r="1359" spans="1:5" x14ac:dyDescent="0.3">
      <c r="A1359" t="s">
        <v>67</v>
      </c>
      <c r="B1359" t="s">
        <v>0</v>
      </c>
      <c r="C1359" t="s">
        <v>114</v>
      </c>
      <c r="D1359" t="s">
        <v>34</v>
      </c>
      <c r="E1359">
        <v>56.643070096008643</v>
      </c>
    </row>
    <row r="1360" spans="1:5" x14ac:dyDescent="0.3">
      <c r="A1360" t="s">
        <v>67</v>
      </c>
      <c r="B1360" t="s">
        <v>0</v>
      </c>
      <c r="C1360" t="s">
        <v>115</v>
      </c>
      <c r="D1360" t="s">
        <v>34</v>
      </c>
      <c r="E1360">
        <v>56.195462478184993</v>
      </c>
    </row>
    <row r="1361" spans="1:5" x14ac:dyDescent="0.3">
      <c r="A1361" t="s">
        <v>67</v>
      </c>
      <c r="B1361" t="s">
        <v>0</v>
      </c>
      <c r="C1361" t="s">
        <v>116</v>
      </c>
      <c r="D1361" t="s">
        <v>34</v>
      </c>
      <c r="E1361">
        <v>40.58469475494411</v>
      </c>
    </row>
    <row r="1362" spans="1:5" x14ac:dyDescent="0.3">
      <c r="A1362" t="s">
        <v>67</v>
      </c>
      <c r="B1362" t="s">
        <v>69</v>
      </c>
      <c r="C1362" t="s">
        <v>69</v>
      </c>
      <c r="D1362" t="s">
        <v>35</v>
      </c>
      <c r="E1362">
        <v>22.29214369512685</v>
      </c>
    </row>
    <row r="1363" spans="1:5" x14ac:dyDescent="0.3">
      <c r="A1363" t="s">
        <v>67</v>
      </c>
      <c r="B1363" t="s">
        <v>70</v>
      </c>
      <c r="C1363" t="s">
        <v>78</v>
      </c>
      <c r="D1363" t="s">
        <v>35</v>
      </c>
      <c r="E1363">
        <v>21.09732378099979</v>
      </c>
    </row>
    <row r="1364" spans="1:5" x14ac:dyDescent="0.3">
      <c r="A1364" t="s">
        <v>67</v>
      </c>
      <c r="B1364" t="s">
        <v>70</v>
      </c>
      <c r="C1364" t="s">
        <v>79</v>
      </c>
      <c r="D1364" t="s">
        <v>35</v>
      </c>
      <c r="E1364">
        <v>22.22794591229037</v>
      </c>
    </row>
    <row r="1365" spans="1:5" x14ac:dyDescent="0.3">
      <c r="A1365" t="s">
        <v>67</v>
      </c>
      <c r="B1365" t="s">
        <v>70</v>
      </c>
      <c r="C1365" t="s">
        <v>80</v>
      </c>
      <c r="D1365" t="s">
        <v>35</v>
      </c>
      <c r="E1365">
        <v>25.148338861543799</v>
      </c>
    </row>
    <row r="1366" spans="1:5" x14ac:dyDescent="0.3">
      <c r="A1366" t="s">
        <v>67</v>
      </c>
      <c r="B1366" t="s">
        <v>70</v>
      </c>
      <c r="C1366" t="s">
        <v>81</v>
      </c>
      <c r="D1366" t="s">
        <v>35</v>
      </c>
      <c r="E1366">
        <v>19.157785148807669</v>
      </c>
    </row>
    <row r="1367" spans="1:5" x14ac:dyDescent="0.3">
      <c r="A1367" t="s">
        <v>67</v>
      </c>
      <c r="B1367" t="s">
        <v>71</v>
      </c>
      <c r="C1367" t="s">
        <v>82</v>
      </c>
      <c r="D1367" t="s">
        <v>35</v>
      </c>
      <c r="E1367">
        <v>25.688792237653988</v>
      </c>
    </row>
    <row r="1368" spans="1:5" x14ac:dyDescent="0.3">
      <c r="A1368" t="s">
        <v>67</v>
      </c>
      <c r="B1368" t="s">
        <v>71</v>
      </c>
      <c r="C1368" t="s">
        <v>83</v>
      </c>
      <c r="D1368" t="s">
        <v>35</v>
      </c>
      <c r="E1368">
        <v>22.944050789741571</v>
      </c>
    </row>
    <row r="1369" spans="1:5" x14ac:dyDescent="0.3">
      <c r="A1369" t="s">
        <v>67</v>
      </c>
      <c r="B1369" t="s">
        <v>71</v>
      </c>
      <c r="C1369" t="s">
        <v>84</v>
      </c>
      <c r="D1369" t="s">
        <v>35</v>
      </c>
      <c r="E1369">
        <v>19.604342326318381</v>
      </c>
    </row>
    <row r="1370" spans="1:5" x14ac:dyDescent="0.3">
      <c r="A1370" t="s">
        <v>67</v>
      </c>
      <c r="B1370" t="s">
        <v>71</v>
      </c>
      <c r="C1370" t="s">
        <v>85</v>
      </c>
      <c r="D1370" t="s">
        <v>35</v>
      </c>
      <c r="E1370">
        <v>22.091455736372829</v>
      </c>
    </row>
    <row r="1371" spans="1:5" x14ac:dyDescent="0.3">
      <c r="A1371" t="s">
        <v>67</v>
      </c>
      <c r="B1371" t="s">
        <v>72</v>
      </c>
      <c r="C1371" t="s">
        <v>86</v>
      </c>
      <c r="D1371" t="s">
        <v>35</v>
      </c>
      <c r="E1371">
        <v>21.547271183290299</v>
      </c>
    </row>
    <row r="1372" spans="1:5" x14ac:dyDescent="0.3">
      <c r="A1372" t="s">
        <v>67</v>
      </c>
      <c r="B1372" t="s">
        <v>72</v>
      </c>
      <c r="C1372" t="s">
        <v>87</v>
      </c>
      <c r="D1372" t="s">
        <v>35</v>
      </c>
      <c r="E1372">
        <v>23.071132196054538</v>
      </c>
    </row>
    <row r="1373" spans="1:5" x14ac:dyDescent="0.3">
      <c r="A1373" t="s">
        <v>67</v>
      </c>
      <c r="B1373" t="s">
        <v>73</v>
      </c>
      <c r="C1373" t="s">
        <v>88</v>
      </c>
      <c r="D1373" t="s">
        <v>35</v>
      </c>
      <c r="E1373">
        <v>22.66430290683769</v>
      </c>
    </row>
    <row r="1374" spans="1:5" x14ac:dyDescent="0.3">
      <c r="A1374" t="s">
        <v>67</v>
      </c>
      <c r="B1374" t="s">
        <v>73</v>
      </c>
      <c r="C1374" t="s">
        <v>89</v>
      </c>
      <c r="D1374" t="s">
        <v>35</v>
      </c>
      <c r="E1374">
        <v>22.00385390151737</v>
      </c>
    </row>
    <row r="1375" spans="1:5" x14ac:dyDescent="0.3">
      <c r="A1375" t="s">
        <v>67</v>
      </c>
      <c r="B1375" t="s">
        <v>74</v>
      </c>
      <c r="C1375" t="s">
        <v>90</v>
      </c>
      <c r="D1375" t="s">
        <v>35</v>
      </c>
      <c r="E1375">
        <v>21.638868458566201</v>
      </c>
    </row>
    <row r="1376" spans="1:5" x14ac:dyDescent="0.3">
      <c r="A1376" t="s">
        <v>67</v>
      </c>
      <c r="B1376" t="s">
        <v>74</v>
      </c>
      <c r="C1376" t="s">
        <v>91</v>
      </c>
      <c r="D1376" t="s">
        <v>35</v>
      </c>
      <c r="E1376">
        <v>22.62655223040996</v>
      </c>
    </row>
    <row r="1377" spans="1:5" x14ac:dyDescent="0.3">
      <c r="A1377" t="s">
        <v>67</v>
      </c>
      <c r="B1377" t="s">
        <v>75</v>
      </c>
      <c r="C1377" t="s">
        <v>92</v>
      </c>
      <c r="D1377" t="s">
        <v>35</v>
      </c>
      <c r="E1377">
        <v>22.73448457899282</v>
      </c>
    </row>
    <row r="1378" spans="1:5" x14ac:dyDescent="0.3">
      <c r="A1378" t="s">
        <v>67</v>
      </c>
      <c r="B1378" t="s">
        <v>75</v>
      </c>
      <c r="C1378" t="s">
        <v>93</v>
      </c>
      <c r="D1378" t="s">
        <v>35</v>
      </c>
      <c r="E1378">
        <v>22.02470806450717</v>
      </c>
    </row>
    <row r="1379" spans="1:5" x14ac:dyDescent="0.3">
      <c r="A1379" t="s">
        <v>67</v>
      </c>
      <c r="B1379" t="s">
        <v>75</v>
      </c>
      <c r="C1379" t="s">
        <v>94</v>
      </c>
      <c r="D1379" t="s">
        <v>35</v>
      </c>
      <c r="E1379">
        <v>21.754812541033321</v>
      </c>
    </row>
    <row r="1380" spans="1:5" x14ac:dyDescent="0.3">
      <c r="A1380" t="s">
        <v>67</v>
      </c>
      <c r="B1380" t="s">
        <v>75</v>
      </c>
      <c r="C1380" t="s">
        <v>95</v>
      </c>
      <c r="D1380" t="s">
        <v>35</v>
      </c>
      <c r="E1380">
        <v>20.676868269893269</v>
      </c>
    </row>
    <row r="1381" spans="1:5" x14ac:dyDescent="0.3">
      <c r="A1381" t="s">
        <v>67</v>
      </c>
      <c r="B1381" t="s">
        <v>76</v>
      </c>
      <c r="C1381" t="s">
        <v>96</v>
      </c>
      <c r="D1381" t="s">
        <v>35</v>
      </c>
      <c r="E1381">
        <v>21.74271302108594</v>
      </c>
    </row>
    <row r="1382" spans="1:5" x14ac:dyDescent="0.3">
      <c r="A1382" t="s">
        <v>67</v>
      </c>
      <c r="B1382" t="s">
        <v>76</v>
      </c>
      <c r="C1382" t="s">
        <v>97</v>
      </c>
      <c r="D1382" t="s">
        <v>35</v>
      </c>
      <c r="E1382">
        <v>23.997997539249329</v>
      </c>
    </row>
    <row r="1383" spans="1:5" x14ac:dyDescent="0.3">
      <c r="A1383" t="s">
        <v>67</v>
      </c>
      <c r="B1383" t="s">
        <v>76</v>
      </c>
      <c r="C1383" t="s">
        <v>98</v>
      </c>
      <c r="D1383" t="s">
        <v>35</v>
      </c>
      <c r="E1383">
        <v>21.603767902877909</v>
      </c>
    </row>
    <row r="1384" spans="1:5" x14ac:dyDescent="0.3">
      <c r="A1384" t="s">
        <v>67</v>
      </c>
      <c r="B1384" t="s">
        <v>0</v>
      </c>
      <c r="C1384" t="s">
        <v>99</v>
      </c>
      <c r="D1384" t="s">
        <v>35</v>
      </c>
      <c r="E1384">
        <v>20.28209417828052</v>
      </c>
    </row>
    <row r="1385" spans="1:5" x14ac:dyDescent="0.3">
      <c r="A1385" t="s">
        <v>67</v>
      </c>
      <c r="B1385" t="s">
        <v>0</v>
      </c>
      <c r="C1385" t="s">
        <v>100</v>
      </c>
      <c r="D1385" t="s">
        <v>35</v>
      </c>
      <c r="E1385">
        <v>43.271028037383182</v>
      </c>
    </row>
    <row r="1386" spans="1:5" x14ac:dyDescent="0.3">
      <c r="A1386" t="s">
        <v>67</v>
      </c>
      <c r="B1386" t="s">
        <v>0</v>
      </c>
      <c r="C1386" t="s">
        <v>101</v>
      </c>
      <c r="D1386" t="s">
        <v>35</v>
      </c>
      <c r="E1386">
        <v>6.7755102040816322</v>
      </c>
    </row>
    <row r="1387" spans="1:5" x14ac:dyDescent="0.3">
      <c r="A1387" t="s">
        <v>67</v>
      </c>
      <c r="B1387" t="s">
        <v>0</v>
      </c>
      <c r="C1387" t="s">
        <v>102</v>
      </c>
      <c r="D1387" t="s">
        <v>35</v>
      </c>
      <c r="E1387">
        <v>4.3216903648422216</v>
      </c>
    </row>
    <row r="1388" spans="1:5" x14ac:dyDescent="0.3">
      <c r="A1388" t="s">
        <v>67</v>
      </c>
      <c r="B1388" t="s">
        <v>0</v>
      </c>
      <c r="C1388" t="s">
        <v>103</v>
      </c>
      <c r="D1388" t="s">
        <v>35</v>
      </c>
      <c r="E1388">
        <v>13.404645446933889</v>
      </c>
    </row>
    <row r="1389" spans="1:5" x14ac:dyDescent="0.3">
      <c r="A1389" t="s">
        <v>67</v>
      </c>
      <c r="B1389" t="s">
        <v>0</v>
      </c>
      <c r="C1389" t="s">
        <v>104</v>
      </c>
      <c r="D1389" t="s">
        <v>35</v>
      </c>
      <c r="E1389">
        <v>16.855087358684479</v>
      </c>
    </row>
    <row r="1390" spans="1:5" x14ac:dyDescent="0.3">
      <c r="A1390" t="s">
        <v>67</v>
      </c>
      <c r="B1390" t="s">
        <v>0</v>
      </c>
      <c r="C1390" t="s">
        <v>105</v>
      </c>
      <c r="D1390" t="s">
        <v>35</v>
      </c>
      <c r="E1390">
        <v>23.605629384785239</v>
      </c>
    </row>
    <row r="1391" spans="1:5" x14ac:dyDescent="0.3">
      <c r="A1391" t="s">
        <v>67</v>
      </c>
      <c r="B1391" t="s">
        <v>0</v>
      </c>
      <c r="C1391" t="s">
        <v>106</v>
      </c>
      <c r="D1391" t="s">
        <v>35</v>
      </c>
      <c r="E1391">
        <v>49.315068493150683</v>
      </c>
    </row>
    <row r="1392" spans="1:5" x14ac:dyDescent="0.3">
      <c r="A1392" t="s">
        <v>67</v>
      </c>
      <c r="B1392" t="s">
        <v>0</v>
      </c>
      <c r="C1392" t="s">
        <v>107</v>
      </c>
      <c r="D1392" t="s">
        <v>35</v>
      </c>
      <c r="E1392">
        <v>18.52380179986433</v>
      </c>
    </row>
    <row r="1393" spans="1:5" x14ac:dyDescent="0.3">
      <c r="A1393" t="s">
        <v>67</v>
      </c>
      <c r="B1393" t="s">
        <v>0</v>
      </c>
      <c r="C1393" t="s">
        <v>108</v>
      </c>
      <c r="D1393" t="s">
        <v>35</v>
      </c>
      <c r="E1393">
        <v>17.914599914181998</v>
      </c>
    </row>
    <row r="1394" spans="1:5" x14ac:dyDescent="0.3">
      <c r="A1394" t="s">
        <v>67</v>
      </c>
      <c r="B1394" t="s">
        <v>0</v>
      </c>
      <c r="C1394" t="s">
        <v>109</v>
      </c>
      <c r="D1394" t="s">
        <v>35</v>
      </c>
      <c r="E1394">
        <v>15.61433447098976</v>
      </c>
    </row>
    <row r="1395" spans="1:5" x14ac:dyDescent="0.3">
      <c r="A1395" t="s">
        <v>67</v>
      </c>
      <c r="B1395" t="s">
        <v>0</v>
      </c>
      <c r="C1395" t="s">
        <v>110</v>
      </c>
      <c r="D1395" t="s">
        <v>35</v>
      </c>
      <c r="E1395">
        <v>36.13004970440673</v>
      </c>
    </row>
    <row r="1396" spans="1:5" x14ac:dyDescent="0.3">
      <c r="A1396" t="s">
        <v>67</v>
      </c>
      <c r="B1396" t="s">
        <v>0</v>
      </c>
      <c r="C1396" t="s">
        <v>111</v>
      </c>
      <c r="D1396" t="s">
        <v>35</v>
      </c>
      <c r="E1396">
        <v>34.759916492693108</v>
      </c>
    </row>
    <row r="1397" spans="1:5" x14ac:dyDescent="0.3">
      <c r="A1397" t="s">
        <v>67</v>
      </c>
      <c r="B1397" t="s">
        <v>0</v>
      </c>
      <c r="C1397" t="s">
        <v>112</v>
      </c>
      <c r="D1397" t="s">
        <v>35</v>
      </c>
      <c r="E1397">
        <v>17.00984780662489</v>
      </c>
    </row>
    <row r="1398" spans="1:5" x14ac:dyDescent="0.3">
      <c r="A1398" t="s">
        <v>67</v>
      </c>
      <c r="B1398" t="s">
        <v>0</v>
      </c>
      <c r="C1398" t="s">
        <v>113</v>
      </c>
      <c r="D1398" t="s">
        <v>35</v>
      </c>
      <c r="E1398">
        <v>13.73054977900969</v>
      </c>
    </row>
    <row r="1399" spans="1:5" x14ac:dyDescent="0.3">
      <c r="A1399" t="s">
        <v>67</v>
      </c>
      <c r="B1399" t="s">
        <v>0</v>
      </c>
      <c r="C1399" t="s">
        <v>114</v>
      </c>
      <c r="D1399" t="s">
        <v>35</v>
      </c>
      <c r="E1399">
        <v>21.84276670472412</v>
      </c>
    </row>
    <row r="1400" spans="1:5" x14ac:dyDescent="0.3">
      <c r="A1400" t="s">
        <v>67</v>
      </c>
      <c r="B1400" t="s">
        <v>0</v>
      </c>
      <c r="C1400" t="s">
        <v>115</v>
      </c>
      <c r="D1400" t="s">
        <v>35</v>
      </c>
      <c r="E1400">
        <v>32.809773123909252</v>
      </c>
    </row>
    <row r="1401" spans="1:5" x14ac:dyDescent="0.3">
      <c r="A1401" t="s">
        <v>67</v>
      </c>
      <c r="B1401" t="s">
        <v>0</v>
      </c>
      <c r="C1401" t="s">
        <v>116</v>
      </c>
      <c r="D1401" t="s">
        <v>35</v>
      </c>
      <c r="E1401">
        <v>21.668099742046429</v>
      </c>
    </row>
    <row r="1402" spans="1:5" x14ac:dyDescent="0.3">
      <c r="A1402" t="s">
        <v>67</v>
      </c>
      <c r="B1402" t="s">
        <v>69</v>
      </c>
      <c r="C1402" t="s">
        <v>69</v>
      </c>
      <c r="D1402" t="s">
        <v>36</v>
      </c>
      <c r="E1402">
        <v>2.1933620794415538</v>
      </c>
    </row>
    <row r="1403" spans="1:5" x14ac:dyDescent="0.3">
      <c r="A1403" t="s">
        <v>67</v>
      </c>
      <c r="B1403" t="s">
        <v>70</v>
      </c>
      <c r="C1403" t="s">
        <v>78</v>
      </c>
      <c r="D1403" t="s">
        <v>36</v>
      </c>
      <c r="E1403">
        <v>2.5240535595135629</v>
      </c>
    </row>
    <row r="1404" spans="1:5" x14ac:dyDescent="0.3">
      <c r="A1404" t="s">
        <v>67</v>
      </c>
      <c r="B1404" t="s">
        <v>70</v>
      </c>
      <c r="C1404" t="s">
        <v>79</v>
      </c>
      <c r="D1404" t="s">
        <v>36</v>
      </c>
      <c r="E1404">
        <v>2.344287616211385</v>
      </c>
    </row>
    <row r="1405" spans="1:5" x14ac:dyDescent="0.3">
      <c r="A1405" t="s">
        <v>67</v>
      </c>
      <c r="B1405" t="s">
        <v>70</v>
      </c>
      <c r="C1405" t="s">
        <v>80</v>
      </c>
      <c r="D1405" t="s">
        <v>36</v>
      </c>
      <c r="E1405">
        <v>1.9463462315406299</v>
      </c>
    </row>
    <row r="1406" spans="1:5" x14ac:dyDescent="0.3">
      <c r="A1406" t="s">
        <v>67</v>
      </c>
      <c r="B1406" t="s">
        <v>70</v>
      </c>
      <c r="C1406" t="s">
        <v>81</v>
      </c>
      <c r="D1406" t="s">
        <v>36</v>
      </c>
      <c r="E1406">
        <v>1.602013796503611</v>
      </c>
    </row>
    <row r="1407" spans="1:5" x14ac:dyDescent="0.3">
      <c r="A1407" t="s">
        <v>67</v>
      </c>
      <c r="B1407" t="s">
        <v>71</v>
      </c>
      <c r="C1407" t="s">
        <v>82</v>
      </c>
      <c r="D1407" t="s">
        <v>36</v>
      </c>
      <c r="E1407">
        <v>2.1979235830676069</v>
      </c>
    </row>
    <row r="1408" spans="1:5" x14ac:dyDescent="0.3">
      <c r="A1408" t="s">
        <v>67</v>
      </c>
      <c r="B1408" t="s">
        <v>71</v>
      </c>
      <c r="C1408" t="s">
        <v>83</v>
      </c>
      <c r="D1408" t="s">
        <v>36</v>
      </c>
      <c r="E1408">
        <v>2.1203205598850889</v>
      </c>
    </row>
    <row r="1409" spans="1:5" x14ac:dyDescent="0.3">
      <c r="A1409" t="s">
        <v>67</v>
      </c>
      <c r="B1409" t="s">
        <v>71</v>
      </c>
      <c r="C1409" t="s">
        <v>84</v>
      </c>
      <c r="D1409" t="s">
        <v>36</v>
      </c>
      <c r="E1409">
        <v>2.2802436985290679</v>
      </c>
    </row>
    <row r="1410" spans="1:5" x14ac:dyDescent="0.3">
      <c r="A1410" t="s">
        <v>67</v>
      </c>
      <c r="B1410" t="s">
        <v>71</v>
      </c>
      <c r="C1410" t="s">
        <v>85</v>
      </c>
      <c r="D1410" t="s">
        <v>36</v>
      </c>
      <c r="E1410">
        <v>2.1694046130385298</v>
      </c>
    </row>
    <row r="1411" spans="1:5" x14ac:dyDescent="0.3">
      <c r="A1411" t="s">
        <v>67</v>
      </c>
      <c r="B1411" t="s">
        <v>72</v>
      </c>
      <c r="C1411" t="s">
        <v>86</v>
      </c>
      <c r="D1411" t="s">
        <v>36</v>
      </c>
      <c r="E1411">
        <v>2.0662028721736529</v>
      </c>
    </row>
    <row r="1412" spans="1:5" x14ac:dyDescent="0.3">
      <c r="A1412" t="s">
        <v>67</v>
      </c>
      <c r="B1412" t="s">
        <v>72</v>
      </c>
      <c r="C1412" t="s">
        <v>87</v>
      </c>
      <c r="D1412" t="s">
        <v>36</v>
      </c>
      <c r="E1412">
        <v>2.326345319760823</v>
      </c>
    </row>
    <row r="1413" spans="1:5" x14ac:dyDescent="0.3">
      <c r="A1413" t="s">
        <v>67</v>
      </c>
      <c r="B1413" t="s">
        <v>73</v>
      </c>
      <c r="C1413" t="s">
        <v>88</v>
      </c>
      <c r="D1413" t="s">
        <v>36</v>
      </c>
      <c r="E1413">
        <v>2.1038675085785941</v>
      </c>
    </row>
    <row r="1414" spans="1:5" x14ac:dyDescent="0.3">
      <c r="A1414" t="s">
        <v>67</v>
      </c>
      <c r="B1414" t="s">
        <v>73</v>
      </c>
      <c r="C1414" t="s">
        <v>89</v>
      </c>
      <c r="D1414" t="s">
        <v>36</v>
      </c>
      <c r="E1414">
        <v>2.2502582544876089</v>
      </c>
    </row>
    <row r="1415" spans="1:5" x14ac:dyDescent="0.3">
      <c r="A1415" t="s">
        <v>67</v>
      </c>
      <c r="B1415" t="s">
        <v>74</v>
      </c>
      <c r="C1415" t="s">
        <v>90</v>
      </c>
      <c r="D1415" t="s">
        <v>36</v>
      </c>
      <c r="E1415">
        <v>2.359598219658519</v>
      </c>
    </row>
    <row r="1416" spans="1:5" x14ac:dyDescent="0.3">
      <c r="A1416" t="s">
        <v>67</v>
      </c>
      <c r="B1416" t="s">
        <v>74</v>
      </c>
      <c r="C1416" t="s">
        <v>91</v>
      </c>
      <c r="D1416" t="s">
        <v>36</v>
      </c>
      <c r="E1416">
        <v>2.082885520955791</v>
      </c>
    </row>
    <row r="1417" spans="1:5" x14ac:dyDescent="0.3">
      <c r="A1417" t="s">
        <v>67</v>
      </c>
      <c r="B1417" t="s">
        <v>75</v>
      </c>
      <c r="C1417" t="s">
        <v>92</v>
      </c>
      <c r="D1417" t="s">
        <v>36</v>
      </c>
      <c r="E1417">
        <v>2.4455697637905018</v>
      </c>
    </row>
    <row r="1418" spans="1:5" x14ac:dyDescent="0.3">
      <c r="A1418" t="s">
        <v>67</v>
      </c>
      <c r="B1418" t="s">
        <v>75</v>
      </c>
      <c r="C1418" t="s">
        <v>93</v>
      </c>
      <c r="D1418" t="s">
        <v>36</v>
      </c>
      <c r="E1418">
        <v>1.976463296647097</v>
      </c>
    </row>
    <row r="1419" spans="1:5" x14ac:dyDescent="0.3">
      <c r="A1419" t="s">
        <v>67</v>
      </c>
      <c r="B1419" t="s">
        <v>75</v>
      </c>
      <c r="C1419" t="s">
        <v>94</v>
      </c>
      <c r="D1419" t="s">
        <v>36</v>
      </c>
      <c r="E1419">
        <v>2.3487998503200278</v>
      </c>
    </row>
    <row r="1420" spans="1:5" x14ac:dyDescent="0.3">
      <c r="A1420" t="s">
        <v>67</v>
      </c>
      <c r="B1420" t="s">
        <v>75</v>
      </c>
      <c r="C1420" t="s">
        <v>95</v>
      </c>
      <c r="D1420" t="s">
        <v>36</v>
      </c>
      <c r="E1420">
        <v>2.5075987381938298</v>
      </c>
    </row>
    <row r="1421" spans="1:5" x14ac:dyDescent="0.3">
      <c r="A1421" t="s">
        <v>67</v>
      </c>
      <c r="B1421" t="s">
        <v>76</v>
      </c>
      <c r="C1421" t="s">
        <v>96</v>
      </c>
      <c r="D1421" t="s">
        <v>36</v>
      </c>
      <c r="E1421">
        <v>2.0796078763859782</v>
      </c>
    </row>
    <row r="1422" spans="1:5" x14ac:dyDescent="0.3">
      <c r="A1422" t="s">
        <v>67</v>
      </c>
      <c r="B1422" t="s">
        <v>76</v>
      </c>
      <c r="C1422" t="s">
        <v>97</v>
      </c>
      <c r="D1422" t="s">
        <v>36</v>
      </c>
      <c r="E1422">
        <v>2.54169089332661</v>
      </c>
    </row>
    <row r="1423" spans="1:5" x14ac:dyDescent="0.3">
      <c r="A1423" t="s">
        <v>67</v>
      </c>
      <c r="B1423" t="s">
        <v>76</v>
      </c>
      <c r="C1423" t="s">
        <v>98</v>
      </c>
      <c r="D1423" t="s">
        <v>36</v>
      </c>
      <c r="E1423">
        <v>2.0534147184913372</v>
      </c>
    </row>
    <row r="1424" spans="1:5" x14ac:dyDescent="0.3">
      <c r="A1424" t="s">
        <v>67</v>
      </c>
      <c r="B1424" t="s">
        <v>0</v>
      </c>
      <c r="C1424" t="s">
        <v>99</v>
      </c>
      <c r="D1424" t="s">
        <v>36</v>
      </c>
      <c r="E1424">
        <v>1.1847398127093911</v>
      </c>
    </row>
    <row r="1425" spans="1:5" x14ac:dyDescent="0.3">
      <c r="A1425" t="s">
        <v>67</v>
      </c>
      <c r="B1425" t="s">
        <v>0</v>
      </c>
      <c r="C1425" t="s">
        <v>100</v>
      </c>
      <c r="D1425" t="s">
        <v>36</v>
      </c>
      <c r="E1425">
        <v>3.7383177570093449</v>
      </c>
    </row>
    <row r="1426" spans="1:5" x14ac:dyDescent="0.3">
      <c r="A1426" t="s">
        <v>67</v>
      </c>
      <c r="B1426" t="s">
        <v>0</v>
      </c>
      <c r="C1426" t="s">
        <v>101</v>
      </c>
      <c r="D1426" t="s">
        <v>36</v>
      </c>
      <c r="E1426">
        <v>0.89795918367346939</v>
      </c>
    </row>
    <row r="1427" spans="1:5" x14ac:dyDescent="0.3">
      <c r="A1427" t="s">
        <v>67</v>
      </c>
      <c r="B1427" t="s">
        <v>0</v>
      </c>
      <c r="C1427" t="s">
        <v>102</v>
      </c>
      <c r="D1427" t="s">
        <v>36</v>
      </c>
      <c r="E1427">
        <v>0.73674159646080162</v>
      </c>
    </row>
    <row r="1428" spans="1:5" x14ac:dyDescent="0.3">
      <c r="A1428" t="s">
        <v>67</v>
      </c>
      <c r="B1428" t="s">
        <v>0</v>
      </c>
      <c r="C1428" t="s">
        <v>103</v>
      </c>
      <c r="D1428" t="s">
        <v>36</v>
      </c>
      <c r="E1428">
        <v>1.005980326758465</v>
      </c>
    </row>
    <row r="1429" spans="1:5" x14ac:dyDescent="0.3">
      <c r="A1429" t="s">
        <v>67</v>
      </c>
      <c r="B1429" t="s">
        <v>0</v>
      </c>
      <c r="C1429" t="s">
        <v>104</v>
      </c>
      <c r="D1429" t="s">
        <v>36</v>
      </c>
      <c r="E1429">
        <v>1.8499486125385409</v>
      </c>
    </row>
    <row r="1430" spans="1:5" x14ac:dyDescent="0.3">
      <c r="A1430" t="s">
        <v>67</v>
      </c>
      <c r="B1430" t="s">
        <v>0</v>
      </c>
      <c r="C1430" t="s">
        <v>105</v>
      </c>
      <c r="D1430" t="s">
        <v>36</v>
      </c>
      <c r="E1430">
        <v>1.9876208338789161</v>
      </c>
    </row>
    <row r="1431" spans="1:5" x14ac:dyDescent="0.3">
      <c r="A1431" t="s">
        <v>67</v>
      </c>
      <c r="B1431" t="s">
        <v>0</v>
      </c>
      <c r="C1431" t="s">
        <v>106</v>
      </c>
      <c r="D1431" t="s">
        <v>36</v>
      </c>
      <c r="E1431">
        <v>4.474885844748858</v>
      </c>
    </row>
    <row r="1432" spans="1:5" x14ac:dyDescent="0.3">
      <c r="A1432" t="s">
        <v>67</v>
      </c>
      <c r="B1432" t="s">
        <v>0</v>
      </c>
      <c r="C1432" t="s">
        <v>107</v>
      </c>
      <c r="D1432" t="s">
        <v>36</v>
      </c>
      <c r="E1432">
        <v>2.8707732297796378</v>
      </c>
    </row>
    <row r="1433" spans="1:5" x14ac:dyDescent="0.3">
      <c r="A1433" t="s">
        <v>67</v>
      </c>
      <c r="B1433" t="s">
        <v>0</v>
      </c>
      <c r="C1433" t="s">
        <v>108</v>
      </c>
      <c r="D1433" t="s">
        <v>36</v>
      </c>
      <c r="E1433">
        <v>2.2490650212369978</v>
      </c>
    </row>
    <row r="1434" spans="1:5" x14ac:dyDescent="0.3">
      <c r="A1434" t="s">
        <v>67</v>
      </c>
      <c r="B1434" t="s">
        <v>0</v>
      </c>
      <c r="C1434" t="s">
        <v>109</v>
      </c>
      <c r="D1434" t="s">
        <v>36</v>
      </c>
      <c r="E1434">
        <v>1.9624573378839589</v>
      </c>
    </row>
    <row r="1435" spans="1:5" x14ac:dyDescent="0.3">
      <c r="A1435" t="s">
        <v>67</v>
      </c>
      <c r="B1435" t="s">
        <v>0</v>
      </c>
      <c r="C1435" t="s">
        <v>110</v>
      </c>
      <c r="D1435" t="s">
        <v>36</v>
      </c>
      <c r="E1435">
        <v>6.0458748112336806</v>
      </c>
    </row>
    <row r="1436" spans="1:5" x14ac:dyDescent="0.3">
      <c r="A1436" t="s">
        <v>67</v>
      </c>
      <c r="B1436" t="s">
        <v>0</v>
      </c>
      <c r="C1436" t="s">
        <v>111</v>
      </c>
      <c r="D1436" t="s">
        <v>36</v>
      </c>
      <c r="E1436">
        <v>3.131524008350731</v>
      </c>
    </row>
    <row r="1437" spans="1:5" x14ac:dyDescent="0.3">
      <c r="A1437" t="s">
        <v>67</v>
      </c>
      <c r="B1437" t="s">
        <v>0</v>
      </c>
      <c r="C1437" t="s">
        <v>112</v>
      </c>
      <c r="D1437" t="s">
        <v>36</v>
      </c>
      <c r="E1437">
        <v>0.71620411817367946</v>
      </c>
    </row>
    <row r="1438" spans="1:5" x14ac:dyDescent="0.3">
      <c r="A1438" t="s">
        <v>67</v>
      </c>
      <c r="B1438" t="s">
        <v>0</v>
      </c>
      <c r="C1438" t="s">
        <v>113</v>
      </c>
      <c r="D1438" t="s">
        <v>36</v>
      </c>
      <c r="E1438">
        <v>0.59112704097714963</v>
      </c>
    </row>
    <row r="1439" spans="1:5" x14ac:dyDescent="0.3">
      <c r="A1439" t="s">
        <v>67</v>
      </c>
      <c r="B1439" t="s">
        <v>0</v>
      </c>
      <c r="C1439" t="s">
        <v>114</v>
      </c>
      <c r="D1439" t="s">
        <v>36</v>
      </c>
      <c r="E1439">
        <v>1.4162916825098191</v>
      </c>
    </row>
    <row r="1440" spans="1:5" x14ac:dyDescent="0.3">
      <c r="A1440" t="s">
        <v>67</v>
      </c>
      <c r="B1440" t="s">
        <v>0</v>
      </c>
      <c r="C1440" t="s">
        <v>115</v>
      </c>
      <c r="D1440" t="s">
        <v>36</v>
      </c>
      <c r="E1440">
        <v>1.483420593368237</v>
      </c>
    </row>
    <row r="1441" spans="1:5" x14ac:dyDescent="0.3">
      <c r="A1441" t="s">
        <v>67</v>
      </c>
      <c r="B1441" t="s">
        <v>0</v>
      </c>
      <c r="C1441" t="s">
        <v>116</v>
      </c>
      <c r="D1441" t="s">
        <v>36</v>
      </c>
      <c r="E1441">
        <v>4.2992261392949267</v>
      </c>
    </row>
    <row r="1442" spans="1:5" x14ac:dyDescent="0.3">
      <c r="A1442" t="s">
        <v>1</v>
      </c>
      <c r="B1442" t="s">
        <v>69</v>
      </c>
      <c r="C1442" t="s">
        <v>69</v>
      </c>
      <c r="D1442" t="s">
        <v>33</v>
      </c>
      <c r="E1442">
        <v>27.999670881521279</v>
      </c>
    </row>
    <row r="1443" spans="1:5" x14ac:dyDescent="0.3">
      <c r="A1443" t="s">
        <v>1</v>
      </c>
      <c r="B1443" t="s">
        <v>70</v>
      </c>
      <c r="C1443" t="s">
        <v>78</v>
      </c>
      <c r="D1443" t="s">
        <v>33</v>
      </c>
      <c r="E1443">
        <v>28.743027746074539</v>
      </c>
    </row>
    <row r="1444" spans="1:5" x14ac:dyDescent="0.3">
      <c r="A1444" t="s">
        <v>1</v>
      </c>
      <c r="B1444" t="s">
        <v>70</v>
      </c>
      <c r="C1444" t="s">
        <v>79</v>
      </c>
      <c r="D1444" t="s">
        <v>33</v>
      </c>
      <c r="E1444">
        <v>27.575163298603201</v>
      </c>
    </row>
    <row r="1445" spans="1:5" x14ac:dyDescent="0.3">
      <c r="A1445" t="s">
        <v>1</v>
      </c>
      <c r="B1445" t="s">
        <v>70</v>
      </c>
      <c r="C1445" t="s">
        <v>80</v>
      </c>
      <c r="D1445" t="s">
        <v>33</v>
      </c>
      <c r="E1445">
        <v>27.620496745017299</v>
      </c>
    </row>
    <row r="1446" spans="1:5" x14ac:dyDescent="0.3">
      <c r="A1446" t="s">
        <v>1</v>
      </c>
      <c r="B1446" t="s">
        <v>70</v>
      </c>
      <c r="C1446" t="s">
        <v>81</v>
      </c>
      <c r="D1446" t="s">
        <v>33</v>
      </c>
      <c r="E1446">
        <v>28.689698446242399</v>
      </c>
    </row>
    <row r="1447" spans="1:5" x14ac:dyDescent="0.3">
      <c r="A1447" t="s">
        <v>1</v>
      </c>
      <c r="B1447" t="s">
        <v>71</v>
      </c>
      <c r="C1447" t="s">
        <v>82</v>
      </c>
      <c r="D1447" t="s">
        <v>33</v>
      </c>
      <c r="E1447">
        <v>25.257490834594432</v>
      </c>
    </row>
    <row r="1448" spans="1:5" x14ac:dyDescent="0.3">
      <c r="A1448" t="s">
        <v>1</v>
      </c>
      <c r="B1448" t="s">
        <v>71</v>
      </c>
      <c r="C1448" t="s">
        <v>83</v>
      </c>
      <c r="D1448" t="s">
        <v>33</v>
      </c>
      <c r="E1448">
        <v>28.338380298570531</v>
      </c>
    </row>
    <row r="1449" spans="1:5" x14ac:dyDescent="0.3">
      <c r="A1449" t="s">
        <v>1</v>
      </c>
      <c r="B1449" t="s">
        <v>71</v>
      </c>
      <c r="C1449" t="s">
        <v>84</v>
      </c>
      <c r="D1449" t="s">
        <v>33</v>
      </c>
      <c r="E1449">
        <v>29.181637637208642</v>
      </c>
    </row>
    <row r="1450" spans="1:5" x14ac:dyDescent="0.3">
      <c r="A1450" t="s">
        <v>1</v>
      </c>
      <c r="B1450" t="s">
        <v>71</v>
      </c>
      <c r="C1450" t="s">
        <v>85</v>
      </c>
      <c r="D1450" t="s">
        <v>33</v>
      </c>
      <c r="E1450">
        <v>28.785713843093379</v>
      </c>
    </row>
    <row r="1451" spans="1:5" x14ac:dyDescent="0.3">
      <c r="A1451" t="s">
        <v>1</v>
      </c>
      <c r="B1451" t="s">
        <v>72</v>
      </c>
      <c r="C1451" t="s">
        <v>86</v>
      </c>
      <c r="D1451" t="s">
        <v>33</v>
      </c>
      <c r="E1451">
        <v>28.13899567275168</v>
      </c>
    </row>
    <row r="1452" spans="1:5" x14ac:dyDescent="0.3">
      <c r="A1452" t="s">
        <v>1</v>
      </c>
      <c r="B1452" t="s">
        <v>72</v>
      </c>
      <c r="C1452" t="s">
        <v>87</v>
      </c>
      <c r="D1452" t="s">
        <v>33</v>
      </c>
      <c r="E1452">
        <v>27.855127820140691</v>
      </c>
    </row>
    <row r="1453" spans="1:5" x14ac:dyDescent="0.3">
      <c r="A1453" t="s">
        <v>1</v>
      </c>
      <c r="B1453" t="s">
        <v>73</v>
      </c>
      <c r="C1453" t="s">
        <v>88</v>
      </c>
      <c r="D1453" t="s">
        <v>33</v>
      </c>
      <c r="E1453">
        <v>27.732327211686311</v>
      </c>
    </row>
    <row r="1454" spans="1:5" x14ac:dyDescent="0.3">
      <c r="A1454" t="s">
        <v>1</v>
      </c>
      <c r="B1454" t="s">
        <v>73</v>
      </c>
      <c r="C1454" t="s">
        <v>89</v>
      </c>
      <c r="D1454" t="s">
        <v>33</v>
      </c>
      <c r="E1454">
        <v>28.15339576270776</v>
      </c>
    </row>
    <row r="1455" spans="1:5" x14ac:dyDescent="0.3">
      <c r="A1455" t="s">
        <v>1</v>
      </c>
      <c r="B1455" t="s">
        <v>74</v>
      </c>
      <c r="C1455" t="s">
        <v>90</v>
      </c>
      <c r="D1455" t="s">
        <v>33</v>
      </c>
      <c r="E1455">
        <v>27.535339552495142</v>
      </c>
    </row>
    <row r="1456" spans="1:5" x14ac:dyDescent="0.3">
      <c r="A1456" t="s">
        <v>1</v>
      </c>
      <c r="B1456" t="s">
        <v>74</v>
      </c>
      <c r="C1456" t="s">
        <v>91</v>
      </c>
      <c r="D1456" t="s">
        <v>33</v>
      </c>
      <c r="E1456">
        <v>28.151102617895042</v>
      </c>
    </row>
    <row r="1457" spans="1:5" x14ac:dyDescent="0.3">
      <c r="A1457" t="s">
        <v>1</v>
      </c>
      <c r="B1457" t="s">
        <v>75</v>
      </c>
      <c r="C1457" t="s">
        <v>92</v>
      </c>
      <c r="D1457" t="s">
        <v>33</v>
      </c>
      <c r="E1457">
        <v>27.10554699515821</v>
      </c>
    </row>
    <row r="1458" spans="1:5" x14ac:dyDescent="0.3">
      <c r="A1458" t="s">
        <v>1</v>
      </c>
      <c r="B1458" t="s">
        <v>75</v>
      </c>
      <c r="C1458" t="s">
        <v>93</v>
      </c>
      <c r="D1458" t="s">
        <v>33</v>
      </c>
      <c r="E1458">
        <v>28.111581667486512</v>
      </c>
    </row>
    <row r="1459" spans="1:5" x14ac:dyDescent="0.3">
      <c r="A1459" t="s">
        <v>1</v>
      </c>
      <c r="B1459" t="s">
        <v>75</v>
      </c>
      <c r="C1459" t="s">
        <v>94</v>
      </c>
      <c r="D1459" t="s">
        <v>33</v>
      </c>
      <c r="E1459">
        <v>27.859621323570469</v>
      </c>
    </row>
    <row r="1460" spans="1:5" x14ac:dyDescent="0.3">
      <c r="A1460" t="s">
        <v>1</v>
      </c>
      <c r="B1460" t="s">
        <v>75</v>
      </c>
      <c r="C1460" t="s">
        <v>95</v>
      </c>
      <c r="D1460" t="s">
        <v>33</v>
      </c>
      <c r="E1460">
        <v>30.610004648361659</v>
      </c>
    </row>
    <row r="1461" spans="1:5" x14ac:dyDescent="0.3">
      <c r="A1461" t="s">
        <v>1</v>
      </c>
      <c r="B1461" t="s">
        <v>76</v>
      </c>
      <c r="C1461" t="s">
        <v>96</v>
      </c>
      <c r="D1461" t="s">
        <v>33</v>
      </c>
      <c r="E1461">
        <v>26.510548241122571</v>
      </c>
    </row>
    <row r="1462" spans="1:5" x14ac:dyDescent="0.3">
      <c r="A1462" t="s">
        <v>1</v>
      </c>
      <c r="B1462" t="s">
        <v>76</v>
      </c>
      <c r="C1462" t="s">
        <v>97</v>
      </c>
      <c r="D1462" t="s">
        <v>33</v>
      </c>
      <c r="E1462">
        <v>26.227542833307879</v>
      </c>
    </row>
    <row r="1463" spans="1:5" x14ac:dyDescent="0.3">
      <c r="A1463" t="s">
        <v>1</v>
      </c>
      <c r="B1463" t="s">
        <v>76</v>
      </c>
      <c r="C1463" t="s">
        <v>98</v>
      </c>
      <c r="D1463" t="s">
        <v>33</v>
      </c>
      <c r="E1463">
        <v>29.363797193140659</v>
      </c>
    </row>
    <row r="1464" spans="1:5" x14ac:dyDescent="0.3">
      <c r="A1464" t="s">
        <v>1</v>
      </c>
      <c r="B1464" t="s">
        <v>0</v>
      </c>
      <c r="C1464" t="s">
        <v>99</v>
      </c>
      <c r="D1464" t="s">
        <v>33</v>
      </c>
      <c r="E1464">
        <v>38.378034503095257</v>
      </c>
    </row>
    <row r="1465" spans="1:5" x14ac:dyDescent="0.3">
      <c r="A1465" t="s">
        <v>1</v>
      </c>
      <c r="B1465" t="s">
        <v>0</v>
      </c>
      <c r="C1465" t="s">
        <v>100</v>
      </c>
      <c r="D1465" t="s">
        <v>33</v>
      </c>
      <c r="E1465">
        <v>17.768688438251932</v>
      </c>
    </row>
    <row r="1466" spans="1:5" x14ac:dyDescent="0.3">
      <c r="A1466" t="s">
        <v>1</v>
      </c>
      <c r="B1466" t="s">
        <v>0</v>
      </c>
      <c r="C1466" t="s">
        <v>101</v>
      </c>
      <c r="D1466" t="s">
        <v>33</v>
      </c>
      <c r="E1466">
        <v>31.814982403217691</v>
      </c>
    </row>
    <row r="1467" spans="1:5" x14ac:dyDescent="0.3">
      <c r="A1467" t="s">
        <v>1</v>
      </c>
      <c r="B1467" t="s">
        <v>0</v>
      </c>
      <c r="C1467" t="s">
        <v>102</v>
      </c>
      <c r="D1467" t="s">
        <v>33</v>
      </c>
      <c r="E1467">
        <v>40.195057848826629</v>
      </c>
    </row>
    <row r="1468" spans="1:5" x14ac:dyDescent="0.3">
      <c r="A1468" t="s">
        <v>1</v>
      </c>
      <c r="B1468" t="s">
        <v>0</v>
      </c>
      <c r="C1468" t="s">
        <v>103</v>
      </c>
      <c r="D1468" t="s">
        <v>33</v>
      </c>
      <c r="E1468">
        <v>35.132966319951663</v>
      </c>
    </row>
    <row r="1469" spans="1:5" x14ac:dyDescent="0.3">
      <c r="A1469" t="s">
        <v>1</v>
      </c>
      <c r="B1469" t="s">
        <v>0</v>
      </c>
      <c r="C1469" t="s">
        <v>104</v>
      </c>
      <c r="D1469" t="s">
        <v>33</v>
      </c>
      <c r="E1469">
        <v>23.18424420676708</v>
      </c>
    </row>
    <row r="1470" spans="1:5" x14ac:dyDescent="0.3">
      <c r="A1470" t="s">
        <v>1</v>
      </c>
      <c r="B1470" t="s">
        <v>0</v>
      </c>
      <c r="C1470" t="s">
        <v>105</v>
      </c>
      <c r="D1470" t="s">
        <v>33</v>
      </c>
      <c r="E1470">
        <v>32.447075029406783</v>
      </c>
    </row>
    <row r="1471" spans="1:5" x14ac:dyDescent="0.3">
      <c r="A1471" t="s">
        <v>1</v>
      </c>
      <c r="B1471" t="s">
        <v>0</v>
      </c>
      <c r="C1471" t="s">
        <v>106</v>
      </c>
      <c r="D1471" t="s">
        <v>33</v>
      </c>
      <c r="E1471">
        <v>21.55052592110685</v>
      </c>
    </row>
    <row r="1472" spans="1:5" x14ac:dyDescent="0.3">
      <c r="A1472" t="s">
        <v>1</v>
      </c>
      <c r="B1472" t="s">
        <v>0</v>
      </c>
      <c r="C1472" t="s">
        <v>107</v>
      </c>
      <c r="D1472" t="s">
        <v>33</v>
      </c>
      <c r="E1472">
        <v>28.26113496543228</v>
      </c>
    </row>
    <row r="1473" spans="1:5" x14ac:dyDescent="0.3">
      <c r="A1473" t="s">
        <v>1</v>
      </c>
      <c r="B1473" t="s">
        <v>0</v>
      </c>
      <c r="C1473" t="s">
        <v>108</v>
      </c>
      <c r="D1473" t="s">
        <v>33</v>
      </c>
      <c r="E1473">
        <v>28.856115547254181</v>
      </c>
    </row>
    <row r="1474" spans="1:5" x14ac:dyDescent="0.3">
      <c r="A1474" t="s">
        <v>1</v>
      </c>
      <c r="B1474" t="s">
        <v>0</v>
      </c>
      <c r="C1474" t="s">
        <v>109</v>
      </c>
      <c r="D1474" t="s">
        <v>33</v>
      </c>
      <c r="E1474">
        <v>32.183474412266243</v>
      </c>
    </row>
    <row r="1475" spans="1:5" x14ac:dyDescent="0.3">
      <c r="A1475" t="s">
        <v>1</v>
      </c>
      <c r="B1475" t="s">
        <v>0</v>
      </c>
      <c r="C1475" t="s">
        <v>110</v>
      </c>
      <c r="D1475" t="s">
        <v>33</v>
      </c>
      <c r="E1475">
        <v>18.938521343247</v>
      </c>
    </row>
    <row r="1476" spans="1:5" x14ac:dyDescent="0.3">
      <c r="A1476" t="s">
        <v>1</v>
      </c>
      <c r="B1476" t="s">
        <v>0</v>
      </c>
      <c r="C1476" t="s">
        <v>111</v>
      </c>
      <c r="D1476" t="s">
        <v>33</v>
      </c>
      <c r="E1476">
        <v>27.230298120771138</v>
      </c>
    </row>
    <row r="1477" spans="1:5" x14ac:dyDescent="0.3">
      <c r="A1477" t="s">
        <v>1</v>
      </c>
      <c r="B1477" t="s">
        <v>0</v>
      </c>
      <c r="C1477" t="s">
        <v>112</v>
      </c>
      <c r="D1477" t="s">
        <v>33</v>
      </c>
      <c r="E1477">
        <v>24.831189542244609</v>
      </c>
    </row>
    <row r="1478" spans="1:5" x14ac:dyDescent="0.3">
      <c r="A1478" t="s">
        <v>1</v>
      </c>
      <c r="B1478" t="s">
        <v>0</v>
      </c>
      <c r="C1478" t="s">
        <v>113</v>
      </c>
      <c r="D1478" t="s">
        <v>33</v>
      </c>
      <c r="E1478">
        <v>37.316179998367147</v>
      </c>
    </row>
    <row r="1479" spans="1:5" x14ac:dyDescent="0.3">
      <c r="A1479" t="s">
        <v>1</v>
      </c>
      <c r="B1479" t="s">
        <v>0</v>
      </c>
      <c r="C1479" t="s">
        <v>114</v>
      </c>
      <c r="D1479" t="s">
        <v>33</v>
      </c>
      <c r="E1479">
        <v>22.670799035152911</v>
      </c>
    </row>
    <row r="1480" spans="1:5" x14ac:dyDescent="0.3">
      <c r="A1480" t="s">
        <v>1</v>
      </c>
      <c r="B1480" t="s">
        <v>0</v>
      </c>
      <c r="C1480" t="s">
        <v>115</v>
      </c>
      <c r="D1480" t="s">
        <v>33</v>
      </c>
      <c r="E1480">
        <v>18.257051469644608</v>
      </c>
    </row>
    <row r="1481" spans="1:5" x14ac:dyDescent="0.3">
      <c r="A1481" t="s">
        <v>1</v>
      </c>
      <c r="B1481" t="s">
        <v>0</v>
      </c>
      <c r="C1481" t="s">
        <v>116</v>
      </c>
      <c r="D1481" t="s">
        <v>33</v>
      </c>
      <c r="E1481">
        <v>23.529663559827419</v>
      </c>
    </row>
    <row r="1482" spans="1:5" x14ac:dyDescent="0.3">
      <c r="A1482" t="s">
        <v>1</v>
      </c>
      <c r="B1482" t="s">
        <v>69</v>
      </c>
      <c r="C1482" t="s">
        <v>69</v>
      </c>
      <c r="D1482" t="s">
        <v>34</v>
      </c>
      <c r="E1482">
        <v>51.634308050519557</v>
      </c>
    </row>
    <row r="1483" spans="1:5" x14ac:dyDescent="0.3">
      <c r="A1483" t="s">
        <v>1</v>
      </c>
      <c r="B1483" t="s">
        <v>70</v>
      </c>
      <c r="C1483" t="s">
        <v>78</v>
      </c>
      <c r="D1483" t="s">
        <v>34</v>
      </c>
      <c r="E1483">
        <v>50.915664799798812</v>
      </c>
    </row>
    <row r="1484" spans="1:5" x14ac:dyDescent="0.3">
      <c r="A1484" t="s">
        <v>1</v>
      </c>
      <c r="B1484" t="s">
        <v>70</v>
      </c>
      <c r="C1484" t="s">
        <v>79</v>
      </c>
      <c r="D1484" t="s">
        <v>34</v>
      </c>
      <c r="E1484">
        <v>51.584857415530507</v>
      </c>
    </row>
    <row r="1485" spans="1:5" x14ac:dyDescent="0.3">
      <c r="A1485" t="s">
        <v>1</v>
      </c>
      <c r="B1485" t="s">
        <v>70</v>
      </c>
      <c r="C1485" t="s">
        <v>80</v>
      </c>
      <c r="D1485" t="s">
        <v>34</v>
      </c>
      <c r="E1485">
        <v>52.050793424782313</v>
      </c>
    </row>
    <row r="1486" spans="1:5" x14ac:dyDescent="0.3">
      <c r="A1486" t="s">
        <v>1</v>
      </c>
      <c r="B1486" t="s">
        <v>70</v>
      </c>
      <c r="C1486" t="s">
        <v>81</v>
      </c>
      <c r="D1486" t="s">
        <v>34</v>
      </c>
      <c r="E1486">
        <v>52.899415183014511</v>
      </c>
    </row>
    <row r="1487" spans="1:5" x14ac:dyDescent="0.3">
      <c r="A1487" t="s">
        <v>1</v>
      </c>
      <c r="B1487" t="s">
        <v>71</v>
      </c>
      <c r="C1487" t="s">
        <v>82</v>
      </c>
      <c r="D1487" t="s">
        <v>34</v>
      </c>
      <c r="E1487">
        <v>52.015378694022537</v>
      </c>
    </row>
    <row r="1488" spans="1:5" x14ac:dyDescent="0.3">
      <c r="A1488" t="s">
        <v>1</v>
      </c>
      <c r="B1488" t="s">
        <v>71</v>
      </c>
      <c r="C1488" t="s">
        <v>83</v>
      </c>
      <c r="D1488" t="s">
        <v>34</v>
      </c>
      <c r="E1488">
        <v>51.349399011914556</v>
      </c>
    </row>
    <row r="1489" spans="1:5" x14ac:dyDescent="0.3">
      <c r="A1489" t="s">
        <v>1</v>
      </c>
      <c r="B1489" t="s">
        <v>71</v>
      </c>
      <c r="C1489" t="s">
        <v>84</v>
      </c>
      <c r="D1489" t="s">
        <v>34</v>
      </c>
      <c r="E1489">
        <v>51.733379644620427</v>
      </c>
    </row>
    <row r="1490" spans="1:5" x14ac:dyDescent="0.3">
      <c r="A1490" t="s">
        <v>1</v>
      </c>
      <c r="B1490" t="s">
        <v>71</v>
      </c>
      <c r="C1490" t="s">
        <v>85</v>
      </c>
      <c r="D1490" t="s">
        <v>34</v>
      </c>
      <c r="E1490">
        <v>51.600660601415967</v>
      </c>
    </row>
    <row r="1491" spans="1:5" x14ac:dyDescent="0.3">
      <c r="A1491" t="s">
        <v>1</v>
      </c>
      <c r="B1491" t="s">
        <v>72</v>
      </c>
      <c r="C1491" t="s">
        <v>86</v>
      </c>
      <c r="D1491" t="s">
        <v>34</v>
      </c>
      <c r="E1491">
        <v>52.213149094449321</v>
      </c>
    </row>
    <row r="1492" spans="1:5" x14ac:dyDescent="0.3">
      <c r="A1492" t="s">
        <v>1</v>
      </c>
      <c r="B1492" t="s">
        <v>72</v>
      </c>
      <c r="C1492" t="s">
        <v>87</v>
      </c>
      <c r="D1492" t="s">
        <v>34</v>
      </c>
      <c r="E1492">
        <v>51.033787096542383</v>
      </c>
    </row>
    <row r="1493" spans="1:5" x14ac:dyDescent="0.3">
      <c r="A1493" t="s">
        <v>1</v>
      </c>
      <c r="B1493" t="s">
        <v>73</v>
      </c>
      <c r="C1493" t="s">
        <v>88</v>
      </c>
      <c r="D1493" t="s">
        <v>34</v>
      </c>
      <c r="E1493">
        <v>51.334649132336409</v>
      </c>
    </row>
    <row r="1494" spans="1:5" x14ac:dyDescent="0.3">
      <c r="A1494" t="s">
        <v>1</v>
      </c>
      <c r="B1494" t="s">
        <v>73</v>
      </c>
      <c r="C1494" t="s">
        <v>89</v>
      </c>
      <c r="D1494" t="s">
        <v>34</v>
      </c>
      <c r="E1494">
        <v>51.931417130273793</v>
      </c>
    </row>
    <row r="1495" spans="1:5" x14ac:dyDescent="0.3">
      <c r="A1495" t="s">
        <v>1</v>
      </c>
      <c r="B1495" t="s">
        <v>74</v>
      </c>
      <c r="C1495" t="s">
        <v>90</v>
      </c>
      <c r="D1495" t="s">
        <v>34</v>
      </c>
      <c r="E1495">
        <v>51.468243981941839</v>
      </c>
    </row>
    <row r="1496" spans="1:5" x14ac:dyDescent="0.3">
      <c r="A1496" t="s">
        <v>1</v>
      </c>
      <c r="B1496" t="s">
        <v>74</v>
      </c>
      <c r="C1496" t="s">
        <v>91</v>
      </c>
      <c r="D1496" t="s">
        <v>34</v>
      </c>
      <c r="E1496">
        <v>51.743653119450613</v>
      </c>
    </row>
    <row r="1497" spans="1:5" x14ac:dyDescent="0.3">
      <c r="A1497" t="s">
        <v>1</v>
      </c>
      <c r="B1497" t="s">
        <v>75</v>
      </c>
      <c r="C1497" t="s">
        <v>92</v>
      </c>
      <c r="D1497" t="s">
        <v>34</v>
      </c>
      <c r="E1497">
        <v>52.523158424299737</v>
      </c>
    </row>
    <row r="1498" spans="1:5" x14ac:dyDescent="0.3">
      <c r="A1498" t="s">
        <v>1</v>
      </c>
      <c r="B1498" t="s">
        <v>75</v>
      </c>
      <c r="C1498" t="s">
        <v>93</v>
      </c>
      <c r="D1498" t="s">
        <v>34</v>
      </c>
      <c r="E1498">
        <v>51.475689969843963</v>
      </c>
    </row>
    <row r="1499" spans="1:5" x14ac:dyDescent="0.3">
      <c r="A1499" t="s">
        <v>1</v>
      </c>
      <c r="B1499" t="s">
        <v>75</v>
      </c>
      <c r="C1499" t="s">
        <v>94</v>
      </c>
      <c r="D1499" t="s">
        <v>34</v>
      </c>
      <c r="E1499">
        <v>51.068110586672191</v>
      </c>
    </row>
    <row r="1500" spans="1:5" x14ac:dyDescent="0.3">
      <c r="A1500" t="s">
        <v>1</v>
      </c>
      <c r="B1500" t="s">
        <v>75</v>
      </c>
      <c r="C1500" t="s">
        <v>95</v>
      </c>
      <c r="D1500" t="s">
        <v>34</v>
      </c>
      <c r="E1500">
        <v>51.525345513345933</v>
      </c>
    </row>
    <row r="1501" spans="1:5" x14ac:dyDescent="0.3">
      <c r="A1501" t="s">
        <v>1</v>
      </c>
      <c r="B1501" t="s">
        <v>76</v>
      </c>
      <c r="C1501" t="s">
        <v>96</v>
      </c>
      <c r="D1501" t="s">
        <v>34</v>
      </c>
      <c r="E1501">
        <v>52.653527433506461</v>
      </c>
    </row>
    <row r="1502" spans="1:5" x14ac:dyDescent="0.3">
      <c r="A1502" t="s">
        <v>1</v>
      </c>
      <c r="B1502" t="s">
        <v>76</v>
      </c>
      <c r="C1502" t="s">
        <v>97</v>
      </c>
      <c r="D1502" t="s">
        <v>34</v>
      </c>
      <c r="E1502">
        <v>51.748458611758473</v>
      </c>
    </row>
    <row r="1503" spans="1:5" x14ac:dyDescent="0.3">
      <c r="A1503" t="s">
        <v>1</v>
      </c>
      <c r="B1503" t="s">
        <v>76</v>
      </c>
      <c r="C1503" t="s">
        <v>98</v>
      </c>
      <c r="D1503" t="s">
        <v>34</v>
      </c>
      <c r="E1503">
        <v>51.212830367166063</v>
      </c>
    </row>
    <row r="1504" spans="1:5" x14ac:dyDescent="0.3">
      <c r="A1504" t="s">
        <v>1</v>
      </c>
      <c r="B1504" t="s">
        <v>0</v>
      </c>
      <c r="C1504" t="s">
        <v>99</v>
      </c>
      <c r="D1504" t="s">
        <v>34</v>
      </c>
      <c r="E1504">
        <v>50.660419387637631</v>
      </c>
    </row>
    <row r="1505" spans="1:5" x14ac:dyDescent="0.3">
      <c r="A1505" t="s">
        <v>1</v>
      </c>
      <c r="B1505" t="s">
        <v>0</v>
      </c>
      <c r="C1505" t="s">
        <v>100</v>
      </c>
      <c r="D1505" t="s">
        <v>34</v>
      </c>
      <c r="E1505">
        <v>55.871418976566062</v>
      </c>
    </row>
    <row r="1506" spans="1:5" x14ac:dyDescent="0.3">
      <c r="A1506" t="s">
        <v>1</v>
      </c>
      <c r="B1506" t="s">
        <v>0</v>
      </c>
      <c r="C1506" t="s">
        <v>101</v>
      </c>
      <c r="D1506" t="s">
        <v>34</v>
      </c>
      <c r="E1506">
        <v>53.745600804424342</v>
      </c>
    </row>
    <row r="1507" spans="1:5" x14ac:dyDescent="0.3">
      <c r="A1507" t="s">
        <v>1</v>
      </c>
      <c r="B1507" t="s">
        <v>0</v>
      </c>
      <c r="C1507" t="s">
        <v>102</v>
      </c>
      <c r="D1507" t="s">
        <v>34</v>
      </c>
      <c r="E1507">
        <v>49.935273260170113</v>
      </c>
    </row>
    <row r="1508" spans="1:5" x14ac:dyDescent="0.3">
      <c r="A1508" t="s">
        <v>1</v>
      </c>
      <c r="B1508" t="s">
        <v>0</v>
      </c>
      <c r="C1508" t="s">
        <v>103</v>
      </c>
      <c r="D1508" t="s">
        <v>34</v>
      </c>
      <c r="E1508">
        <v>51.206936426627337</v>
      </c>
    </row>
    <row r="1509" spans="1:5" x14ac:dyDescent="0.3">
      <c r="A1509" t="s">
        <v>1</v>
      </c>
      <c r="B1509" t="s">
        <v>0</v>
      </c>
      <c r="C1509" t="s">
        <v>104</v>
      </c>
      <c r="D1509" t="s">
        <v>34</v>
      </c>
      <c r="E1509">
        <v>53.55069448060695</v>
      </c>
    </row>
    <row r="1510" spans="1:5" x14ac:dyDescent="0.3">
      <c r="A1510" t="s">
        <v>1</v>
      </c>
      <c r="B1510" t="s">
        <v>0</v>
      </c>
      <c r="C1510" t="s">
        <v>105</v>
      </c>
      <c r="D1510" t="s">
        <v>34</v>
      </c>
      <c r="E1510">
        <v>46.488766393011034</v>
      </c>
    </row>
    <row r="1511" spans="1:5" x14ac:dyDescent="0.3">
      <c r="A1511" t="s">
        <v>1</v>
      </c>
      <c r="B1511" t="s">
        <v>0</v>
      </c>
      <c r="C1511" t="s">
        <v>106</v>
      </c>
      <c r="D1511" t="s">
        <v>34</v>
      </c>
      <c r="E1511">
        <v>47.580815245909967</v>
      </c>
    </row>
    <row r="1512" spans="1:5" x14ac:dyDescent="0.3">
      <c r="A1512" t="s">
        <v>1</v>
      </c>
      <c r="B1512" t="s">
        <v>0</v>
      </c>
      <c r="C1512" t="s">
        <v>107</v>
      </c>
      <c r="D1512" t="s">
        <v>34</v>
      </c>
      <c r="E1512">
        <v>51.37278538963043</v>
      </c>
    </row>
    <row r="1513" spans="1:5" x14ac:dyDescent="0.3">
      <c r="A1513" t="s">
        <v>1</v>
      </c>
      <c r="B1513" t="s">
        <v>0</v>
      </c>
      <c r="C1513" t="s">
        <v>108</v>
      </c>
      <c r="D1513" t="s">
        <v>34</v>
      </c>
      <c r="E1513">
        <v>53.464496859319269</v>
      </c>
    </row>
    <row r="1514" spans="1:5" x14ac:dyDescent="0.3">
      <c r="A1514" t="s">
        <v>1</v>
      </c>
      <c r="B1514" t="s">
        <v>0</v>
      </c>
      <c r="C1514" t="s">
        <v>109</v>
      </c>
      <c r="D1514" t="s">
        <v>34</v>
      </c>
      <c r="E1514">
        <v>49.857505642156703</v>
      </c>
    </row>
    <row r="1515" spans="1:5" x14ac:dyDescent="0.3">
      <c r="A1515" t="s">
        <v>1</v>
      </c>
      <c r="B1515" t="s">
        <v>0</v>
      </c>
      <c r="C1515" t="s">
        <v>110</v>
      </c>
      <c r="D1515" t="s">
        <v>34</v>
      </c>
      <c r="E1515">
        <v>51.671167856165233</v>
      </c>
    </row>
    <row r="1516" spans="1:5" x14ac:dyDescent="0.3">
      <c r="A1516" t="s">
        <v>1</v>
      </c>
      <c r="B1516" t="s">
        <v>0</v>
      </c>
      <c r="C1516" t="s">
        <v>111</v>
      </c>
      <c r="D1516" t="s">
        <v>34</v>
      </c>
      <c r="E1516">
        <v>48.114393234620643</v>
      </c>
    </row>
    <row r="1517" spans="1:5" x14ac:dyDescent="0.3">
      <c r="A1517" t="s">
        <v>1</v>
      </c>
      <c r="B1517" t="s">
        <v>0</v>
      </c>
      <c r="C1517" t="s">
        <v>112</v>
      </c>
      <c r="D1517" t="s">
        <v>34</v>
      </c>
      <c r="E1517">
        <v>62.010226133750933</v>
      </c>
    </row>
    <row r="1518" spans="1:5" x14ac:dyDescent="0.3">
      <c r="A1518" t="s">
        <v>1</v>
      </c>
      <c r="B1518" t="s">
        <v>0</v>
      </c>
      <c r="C1518" t="s">
        <v>113</v>
      </c>
      <c r="D1518" t="s">
        <v>34</v>
      </c>
      <c r="E1518">
        <v>48.917233059839347</v>
      </c>
    </row>
    <row r="1519" spans="1:5" x14ac:dyDescent="0.3">
      <c r="A1519" t="s">
        <v>1</v>
      </c>
      <c r="B1519" t="s">
        <v>0</v>
      </c>
      <c r="C1519" t="s">
        <v>114</v>
      </c>
      <c r="D1519" t="s">
        <v>34</v>
      </c>
      <c r="E1519">
        <v>53.037649334889352</v>
      </c>
    </row>
    <row r="1520" spans="1:5" x14ac:dyDescent="0.3">
      <c r="A1520" t="s">
        <v>1</v>
      </c>
      <c r="B1520" t="s">
        <v>0</v>
      </c>
      <c r="C1520" t="s">
        <v>115</v>
      </c>
      <c r="D1520" t="s">
        <v>34</v>
      </c>
      <c r="E1520">
        <v>57.497818457526087</v>
      </c>
    </row>
    <row r="1521" spans="1:5" x14ac:dyDescent="0.3">
      <c r="A1521" t="s">
        <v>1</v>
      </c>
      <c r="B1521" t="s">
        <v>0</v>
      </c>
      <c r="C1521" t="s">
        <v>116</v>
      </c>
      <c r="D1521" t="s">
        <v>34</v>
      </c>
      <c r="E1521">
        <v>42.888047992637922</v>
      </c>
    </row>
    <row r="1522" spans="1:5" x14ac:dyDescent="0.3">
      <c r="A1522" t="s">
        <v>1</v>
      </c>
      <c r="B1522" t="s">
        <v>69</v>
      </c>
      <c r="C1522" t="s">
        <v>69</v>
      </c>
      <c r="D1522" t="s">
        <v>35</v>
      </c>
      <c r="E1522">
        <v>17.455630771797729</v>
      </c>
    </row>
    <row r="1523" spans="1:5" x14ac:dyDescent="0.3">
      <c r="A1523" t="s">
        <v>1</v>
      </c>
      <c r="B1523" t="s">
        <v>70</v>
      </c>
      <c r="C1523" t="s">
        <v>78</v>
      </c>
      <c r="D1523" t="s">
        <v>35</v>
      </c>
      <c r="E1523">
        <v>17.338660621603651</v>
      </c>
    </row>
    <row r="1524" spans="1:5" x14ac:dyDescent="0.3">
      <c r="A1524" t="s">
        <v>1</v>
      </c>
      <c r="B1524" t="s">
        <v>70</v>
      </c>
      <c r="C1524" t="s">
        <v>79</v>
      </c>
      <c r="D1524" t="s">
        <v>35</v>
      </c>
      <c r="E1524">
        <v>17.86556473904443</v>
      </c>
    </row>
    <row r="1525" spans="1:5" x14ac:dyDescent="0.3">
      <c r="A1525" t="s">
        <v>1</v>
      </c>
      <c r="B1525" t="s">
        <v>70</v>
      </c>
      <c r="C1525" t="s">
        <v>80</v>
      </c>
      <c r="D1525" t="s">
        <v>35</v>
      </c>
      <c r="E1525">
        <v>17.714190316360561</v>
      </c>
    </row>
    <row r="1526" spans="1:5" x14ac:dyDescent="0.3">
      <c r="A1526" t="s">
        <v>1</v>
      </c>
      <c r="B1526" t="s">
        <v>70</v>
      </c>
      <c r="C1526" t="s">
        <v>81</v>
      </c>
      <c r="D1526" t="s">
        <v>35</v>
      </c>
      <c r="E1526">
        <v>15.645987143320641</v>
      </c>
    </row>
    <row r="1527" spans="1:5" x14ac:dyDescent="0.3">
      <c r="A1527" t="s">
        <v>1</v>
      </c>
      <c r="B1527" t="s">
        <v>71</v>
      </c>
      <c r="C1527" t="s">
        <v>82</v>
      </c>
      <c r="D1527" t="s">
        <v>35</v>
      </c>
      <c r="E1527">
        <v>19.64279585675607</v>
      </c>
    </row>
    <row r="1528" spans="1:5" x14ac:dyDescent="0.3">
      <c r="A1528" t="s">
        <v>1</v>
      </c>
      <c r="B1528" t="s">
        <v>71</v>
      </c>
      <c r="C1528" t="s">
        <v>83</v>
      </c>
      <c r="D1528" t="s">
        <v>35</v>
      </c>
      <c r="E1528">
        <v>17.287894921560721</v>
      </c>
    </row>
    <row r="1529" spans="1:5" x14ac:dyDescent="0.3">
      <c r="A1529" t="s">
        <v>1</v>
      </c>
      <c r="B1529" t="s">
        <v>71</v>
      </c>
      <c r="C1529" t="s">
        <v>84</v>
      </c>
      <c r="D1529" t="s">
        <v>35</v>
      </c>
      <c r="E1529">
        <v>16.307040754130199</v>
      </c>
    </row>
    <row r="1530" spans="1:5" x14ac:dyDescent="0.3">
      <c r="A1530" t="s">
        <v>1</v>
      </c>
      <c r="B1530" t="s">
        <v>71</v>
      </c>
      <c r="C1530" t="s">
        <v>85</v>
      </c>
      <c r="D1530" t="s">
        <v>35</v>
      </c>
      <c r="E1530">
        <v>17.133383300100888</v>
      </c>
    </row>
    <row r="1531" spans="1:5" x14ac:dyDescent="0.3">
      <c r="A1531" t="s">
        <v>1</v>
      </c>
      <c r="B1531" t="s">
        <v>72</v>
      </c>
      <c r="C1531" t="s">
        <v>86</v>
      </c>
      <c r="D1531" t="s">
        <v>35</v>
      </c>
      <c r="E1531">
        <v>16.84270801750986</v>
      </c>
    </row>
    <row r="1532" spans="1:5" x14ac:dyDescent="0.3">
      <c r="A1532" t="s">
        <v>1</v>
      </c>
      <c r="B1532" t="s">
        <v>72</v>
      </c>
      <c r="C1532" t="s">
        <v>87</v>
      </c>
      <c r="D1532" t="s">
        <v>35</v>
      </c>
      <c r="E1532">
        <v>18.091509932370819</v>
      </c>
    </row>
    <row r="1533" spans="1:5" x14ac:dyDescent="0.3">
      <c r="A1533" t="s">
        <v>1</v>
      </c>
      <c r="B1533" t="s">
        <v>73</v>
      </c>
      <c r="C1533" t="s">
        <v>88</v>
      </c>
      <c r="D1533" t="s">
        <v>35</v>
      </c>
      <c r="E1533">
        <v>17.871945042229559</v>
      </c>
    </row>
    <row r="1534" spans="1:5" x14ac:dyDescent="0.3">
      <c r="A1534" t="s">
        <v>1</v>
      </c>
      <c r="B1534" t="s">
        <v>73</v>
      </c>
      <c r="C1534" t="s">
        <v>89</v>
      </c>
      <c r="D1534" t="s">
        <v>35</v>
      </c>
      <c r="E1534">
        <v>17.140133391593661</v>
      </c>
    </row>
    <row r="1535" spans="1:5" x14ac:dyDescent="0.3">
      <c r="A1535" t="s">
        <v>1</v>
      </c>
      <c r="B1535" t="s">
        <v>74</v>
      </c>
      <c r="C1535" t="s">
        <v>90</v>
      </c>
      <c r="D1535" t="s">
        <v>35</v>
      </c>
      <c r="E1535">
        <v>18.079992206378009</v>
      </c>
    </row>
    <row r="1536" spans="1:5" x14ac:dyDescent="0.3">
      <c r="A1536" t="s">
        <v>1</v>
      </c>
      <c r="B1536" t="s">
        <v>74</v>
      </c>
      <c r="C1536" t="s">
        <v>91</v>
      </c>
      <c r="D1536" t="s">
        <v>35</v>
      </c>
      <c r="E1536">
        <v>17.21487846984579</v>
      </c>
    </row>
    <row r="1537" spans="1:5" x14ac:dyDescent="0.3">
      <c r="A1537" t="s">
        <v>1</v>
      </c>
      <c r="B1537" t="s">
        <v>75</v>
      </c>
      <c r="C1537" t="s">
        <v>92</v>
      </c>
      <c r="D1537" t="s">
        <v>35</v>
      </c>
      <c r="E1537">
        <v>17.545831352452801</v>
      </c>
    </row>
    <row r="1538" spans="1:5" x14ac:dyDescent="0.3">
      <c r="A1538" t="s">
        <v>1</v>
      </c>
      <c r="B1538" t="s">
        <v>75</v>
      </c>
      <c r="C1538" t="s">
        <v>93</v>
      </c>
      <c r="D1538" t="s">
        <v>35</v>
      </c>
      <c r="E1538">
        <v>17.464851984986861</v>
      </c>
    </row>
    <row r="1539" spans="1:5" x14ac:dyDescent="0.3">
      <c r="A1539" t="s">
        <v>1</v>
      </c>
      <c r="B1539" t="s">
        <v>75</v>
      </c>
      <c r="C1539" t="s">
        <v>94</v>
      </c>
      <c r="D1539" t="s">
        <v>35</v>
      </c>
      <c r="E1539">
        <v>17.89130556488643</v>
      </c>
    </row>
    <row r="1540" spans="1:5" x14ac:dyDescent="0.3">
      <c r="A1540" t="s">
        <v>1</v>
      </c>
      <c r="B1540" t="s">
        <v>75</v>
      </c>
      <c r="C1540" t="s">
        <v>95</v>
      </c>
      <c r="D1540" t="s">
        <v>35</v>
      </c>
      <c r="E1540">
        <v>14.94983304160659</v>
      </c>
    </row>
    <row r="1541" spans="1:5" x14ac:dyDescent="0.3">
      <c r="A1541" t="s">
        <v>1</v>
      </c>
      <c r="B1541" t="s">
        <v>76</v>
      </c>
      <c r="C1541" t="s">
        <v>96</v>
      </c>
      <c r="D1541" t="s">
        <v>35</v>
      </c>
      <c r="E1541">
        <v>18.46369126221121</v>
      </c>
    </row>
    <row r="1542" spans="1:5" x14ac:dyDescent="0.3">
      <c r="A1542" t="s">
        <v>1</v>
      </c>
      <c r="B1542" t="s">
        <v>76</v>
      </c>
      <c r="C1542" t="s">
        <v>97</v>
      </c>
      <c r="D1542" t="s">
        <v>35</v>
      </c>
      <c r="E1542">
        <v>19.143678415048459</v>
      </c>
    </row>
    <row r="1543" spans="1:5" x14ac:dyDescent="0.3">
      <c r="A1543" t="s">
        <v>1</v>
      </c>
      <c r="B1543" t="s">
        <v>76</v>
      </c>
      <c r="C1543" t="s">
        <v>98</v>
      </c>
      <c r="D1543" t="s">
        <v>35</v>
      </c>
      <c r="E1543">
        <v>16.79281596943817</v>
      </c>
    </row>
    <row r="1544" spans="1:5" x14ac:dyDescent="0.3">
      <c r="A1544" t="s">
        <v>1</v>
      </c>
      <c r="B1544" t="s">
        <v>0</v>
      </c>
      <c r="C1544" t="s">
        <v>99</v>
      </c>
      <c r="D1544" t="s">
        <v>35</v>
      </c>
      <c r="E1544">
        <v>10.13515129874593</v>
      </c>
    </row>
    <row r="1545" spans="1:5" x14ac:dyDescent="0.3">
      <c r="A1545" t="s">
        <v>1</v>
      </c>
      <c r="B1545" t="s">
        <v>0</v>
      </c>
      <c r="C1545" t="s">
        <v>100</v>
      </c>
      <c r="D1545" t="s">
        <v>35</v>
      </c>
      <c r="E1545">
        <v>23.881611165099219</v>
      </c>
    </row>
    <row r="1546" spans="1:5" x14ac:dyDescent="0.3">
      <c r="A1546" t="s">
        <v>1</v>
      </c>
      <c r="B1546" t="s">
        <v>0</v>
      </c>
      <c r="C1546" t="s">
        <v>101</v>
      </c>
      <c r="D1546" t="s">
        <v>35</v>
      </c>
      <c r="E1546">
        <v>12.941176470588241</v>
      </c>
    </row>
    <row r="1547" spans="1:5" x14ac:dyDescent="0.3">
      <c r="A1547" t="s">
        <v>1</v>
      </c>
      <c r="B1547" t="s">
        <v>0</v>
      </c>
      <c r="C1547" t="s">
        <v>102</v>
      </c>
      <c r="D1547" t="s">
        <v>35</v>
      </c>
      <c r="E1547">
        <v>8.4231969597153409</v>
      </c>
    </row>
    <row r="1548" spans="1:5" x14ac:dyDescent="0.3">
      <c r="A1548" t="s">
        <v>1</v>
      </c>
      <c r="B1548" t="s">
        <v>0</v>
      </c>
      <c r="C1548" t="s">
        <v>103</v>
      </c>
      <c r="D1548" t="s">
        <v>35</v>
      </c>
      <c r="E1548">
        <v>11.398650658681859</v>
      </c>
    </row>
    <row r="1549" spans="1:5" x14ac:dyDescent="0.3">
      <c r="A1549" t="s">
        <v>1</v>
      </c>
      <c r="B1549" t="s">
        <v>0</v>
      </c>
      <c r="C1549" t="s">
        <v>104</v>
      </c>
      <c r="D1549" t="s">
        <v>35</v>
      </c>
      <c r="E1549">
        <v>20.118586940939601</v>
      </c>
    </row>
    <row r="1550" spans="1:5" x14ac:dyDescent="0.3">
      <c r="A1550" t="s">
        <v>1</v>
      </c>
      <c r="B1550" t="s">
        <v>0</v>
      </c>
      <c r="C1550" t="s">
        <v>105</v>
      </c>
      <c r="D1550" t="s">
        <v>35</v>
      </c>
      <c r="E1550">
        <v>17.508155798429879</v>
      </c>
    </row>
    <row r="1551" spans="1:5" x14ac:dyDescent="0.3">
      <c r="A1551" t="s">
        <v>1</v>
      </c>
      <c r="B1551" t="s">
        <v>0</v>
      </c>
      <c r="C1551" t="s">
        <v>106</v>
      </c>
      <c r="D1551" t="s">
        <v>35</v>
      </c>
      <c r="E1551">
        <v>27.376605140128301</v>
      </c>
    </row>
    <row r="1552" spans="1:5" x14ac:dyDescent="0.3">
      <c r="A1552" t="s">
        <v>1</v>
      </c>
      <c r="B1552" t="s">
        <v>0</v>
      </c>
      <c r="C1552" t="s">
        <v>107</v>
      </c>
      <c r="D1552" t="s">
        <v>35</v>
      </c>
      <c r="E1552">
        <v>16.702111893179818</v>
      </c>
    </row>
    <row r="1553" spans="1:5" x14ac:dyDescent="0.3">
      <c r="A1553" t="s">
        <v>1</v>
      </c>
      <c r="B1553" t="s">
        <v>0</v>
      </c>
      <c r="C1553" t="s">
        <v>108</v>
      </c>
      <c r="D1553" t="s">
        <v>35</v>
      </c>
      <c r="E1553">
        <v>14.26690764851271</v>
      </c>
    </row>
    <row r="1554" spans="1:5" x14ac:dyDescent="0.3">
      <c r="A1554" t="s">
        <v>1</v>
      </c>
      <c r="B1554" t="s">
        <v>0</v>
      </c>
      <c r="C1554" t="s">
        <v>109</v>
      </c>
      <c r="D1554" t="s">
        <v>35</v>
      </c>
      <c r="E1554">
        <v>15.21764434542963</v>
      </c>
    </row>
    <row r="1555" spans="1:5" x14ac:dyDescent="0.3">
      <c r="A1555" t="s">
        <v>1</v>
      </c>
      <c r="B1555" t="s">
        <v>0</v>
      </c>
      <c r="C1555" t="s">
        <v>110</v>
      </c>
      <c r="D1555" t="s">
        <v>35</v>
      </c>
      <c r="E1555">
        <v>24.232022125381839</v>
      </c>
    </row>
    <row r="1556" spans="1:5" x14ac:dyDescent="0.3">
      <c r="A1556" t="s">
        <v>1</v>
      </c>
      <c r="B1556" t="s">
        <v>0</v>
      </c>
      <c r="C1556" t="s">
        <v>111</v>
      </c>
      <c r="D1556" t="s">
        <v>35</v>
      </c>
      <c r="E1556">
        <v>20.29490955964727</v>
      </c>
    </row>
    <row r="1557" spans="1:5" x14ac:dyDescent="0.3">
      <c r="A1557" t="s">
        <v>1</v>
      </c>
      <c r="B1557" t="s">
        <v>0</v>
      </c>
      <c r="C1557" t="s">
        <v>112</v>
      </c>
      <c r="D1557" t="s">
        <v>35</v>
      </c>
      <c r="E1557">
        <v>11.78530932709724</v>
      </c>
    </row>
    <row r="1558" spans="1:5" x14ac:dyDescent="0.3">
      <c r="A1558" t="s">
        <v>1</v>
      </c>
      <c r="B1558" t="s">
        <v>0</v>
      </c>
      <c r="C1558" t="s">
        <v>113</v>
      </c>
      <c r="D1558" t="s">
        <v>35</v>
      </c>
      <c r="E1558">
        <v>11.91075400471861</v>
      </c>
    </row>
    <row r="1559" spans="1:5" x14ac:dyDescent="0.3">
      <c r="A1559" t="s">
        <v>1</v>
      </c>
      <c r="B1559" t="s">
        <v>0</v>
      </c>
      <c r="C1559" t="s">
        <v>114</v>
      </c>
      <c r="D1559" t="s">
        <v>35</v>
      </c>
      <c r="E1559">
        <v>20.583574386718229</v>
      </c>
    </row>
    <row r="1560" spans="1:5" x14ac:dyDescent="0.3">
      <c r="A1560" t="s">
        <v>1</v>
      </c>
      <c r="B1560" t="s">
        <v>0</v>
      </c>
      <c r="C1560" t="s">
        <v>115</v>
      </c>
      <c r="D1560" t="s">
        <v>35</v>
      </c>
      <c r="E1560">
        <v>22.606482920428739</v>
      </c>
    </row>
    <row r="1561" spans="1:5" x14ac:dyDescent="0.3">
      <c r="A1561" t="s">
        <v>1</v>
      </c>
      <c r="B1561" t="s">
        <v>0</v>
      </c>
      <c r="C1561" t="s">
        <v>116</v>
      </c>
      <c r="D1561" t="s">
        <v>35</v>
      </c>
      <c r="E1561">
        <v>26.641920191264109</v>
      </c>
    </row>
    <row r="1562" spans="1:5" x14ac:dyDescent="0.3">
      <c r="A1562" t="s">
        <v>1</v>
      </c>
      <c r="B1562" t="s">
        <v>69</v>
      </c>
      <c r="C1562" t="s">
        <v>69</v>
      </c>
      <c r="D1562" t="s">
        <v>36</v>
      </c>
      <c r="E1562">
        <v>2.9103902961614039</v>
      </c>
    </row>
    <row r="1563" spans="1:5" x14ac:dyDescent="0.3">
      <c r="A1563" t="s">
        <v>1</v>
      </c>
      <c r="B1563" t="s">
        <v>70</v>
      </c>
      <c r="C1563" t="s">
        <v>78</v>
      </c>
      <c r="D1563" t="s">
        <v>36</v>
      </c>
      <c r="E1563">
        <v>3.0026468325229949</v>
      </c>
    </row>
    <row r="1564" spans="1:5" x14ac:dyDescent="0.3">
      <c r="A1564" t="s">
        <v>1</v>
      </c>
      <c r="B1564" t="s">
        <v>70</v>
      </c>
      <c r="C1564" t="s">
        <v>79</v>
      </c>
      <c r="D1564" t="s">
        <v>36</v>
      </c>
      <c r="E1564">
        <v>2.9744145468218681</v>
      </c>
    </row>
    <row r="1565" spans="1:5" x14ac:dyDescent="0.3">
      <c r="A1565" t="s">
        <v>1</v>
      </c>
      <c r="B1565" t="s">
        <v>70</v>
      </c>
      <c r="C1565" t="s">
        <v>80</v>
      </c>
      <c r="D1565" t="s">
        <v>36</v>
      </c>
      <c r="E1565">
        <v>2.614519513839805</v>
      </c>
    </row>
    <row r="1566" spans="1:5" x14ac:dyDescent="0.3">
      <c r="A1566" t="s">
        <v>1</v>
      </c>
      <c r="B1566" t="s">
        <v>70</v>
      </c>
      <c r="C1566" t="s">
        <v>81</v>
      </c>
      <c r="D1566" t="s">
        <v>36</v>
      </c>
      <c r="E1566">
        <v>2.764899227422426</v>
      </c>
    </row>
    <row r="1567" spans="1:5" x14ac:dyDescent="0.3">
      <c r="A1567" t="s">
        <v>1</v>
      </c>
      <c r="B1567" t="s">
        <v>71</v>
      </c>
      <c r="C1567" t="s">
        <v>82</v>
      </c>
      <c r="D1567" t="s">
        <v>36</v>
      </c>
      <c r="E1567">
        <v>3.0843346146269668</v>
      </c>
    </row>
    <row r="1568" spans="1:5" x14ac:dyDescent="0.3">
      <c r="A1568" t="s">
        <v>1</v>
      </c>
      <c r="B1568" t="s">
        <v>71</v>
      </c>
      <c r="C1568" t="s">
        <v>83</v>
      </c>
      <c r="D1568" t="s">
        <v>36</v>
      </c>
      <c r="E1568">
        <v>3.0243257679541888</v>
      </c>
    </row>
    <row r="1569" spans="1:5" x14ac:dyDescent="0.3">
      <c r="A1569" t="s">
        <v>1</v>
      </c>
      <c r="B1569" t="s">
        <v>71</v>
      </c>
      <c r="C1569" t="s">
        <v>84</v>
      </c>
      <c r="D1569" t="s">
        <v>36</v>
      </c>
      <c r="E1569">
        <v>2.7779419640407368</v>
      </c>
    </row>
    <row r="1570" spans="1:5" x14ac:dyDescent="0.3">
      <c r="A1570" t="s">
        <v>1</v>
      </c>
      <c r="B1570" t="s">
        <v>71</v>
      </c>
      <c r="C1570" t="s">
        <v>85</v>
      </c>
      <c r="D1570" t="s">
        <v>36</v>
      </c>
      <c r="E1570">
        <v>2.4802422553897712</v>
      </c>
    </row>
    <row r="1571" spans="1:5" x14ac:dyDescent="0.3">
      <c r="A1571" t="s">
        <v>1</v>
      </c>
      <c r="B1571" t="s">
        <v>72</v>
      </c>
      <c r="C1571" t="s">
        <v>86</v>
      </c>
      <c r="D1571" t="s">
        <v>36</v>
      </c>
      <c r="E1571">
        <v>2.8051472152891539</v>
      </c>
    </row>
    <row r="1572" spans="1:5" x14ac:dyDescent="0.3">
      <c r="A1572" t="s">
        <v>1</v>
      </c>
      <c r="B1572" t="s">
        <v>72</v>
      </c>
      <c r="C1572" t="s">
        <v>87</v>
      </c>
      <c r="D1572" t="s">
        <v>36</v>
      </c>
      <c r="E1572">
        <v>3.0195751509461228</v>
      </c>
    </row>
    <row r="1573" spans="1:5" x14ac:dyDescent="0.3">
      <c r="A1573" t="s">
        <v>1</v>
      </c>
      <c r="B1573" t="s">
        <v>73</v>
      </c>
      <c r="C1573" t="s">
        <v>88</v>
      </c>
      <c r="D1573" t="s">
        <v>36</v>
      </c>
      <c r="E1573">
        <v>3.0610786137477222</v>
      </c>
    </row>
    <row r="1574" spans="1:5" x14ac:dyDescent="0.3">
      <c r="A1574" t="s">
        <v>1</v>
      </c>
      <c r="B1574" t="s">
        <v>73</v>
      </c>
      <c r="C1574" t="s">
        <v>89</v>
      </c>
      <c r="D1574" t="s">
        <v>36</v>
      </c>
      <c r="E1574">
        <v>2.7750537154247898</v>
      </c>
    </row>
    <row r="1575" spans="1:5" x14ac:dyDescent="0.3">
      <c r="A1575" t="s">
        <v>1</v>
      </c>
      <c r="B1575" t="s">
        <v>74</v>
      </c>
      <c r="C1575" t="s">
        <v>90</v>
      </c>
      <c r="D1575" t="s">
        <v>36</v>
      </c>
      <c r="E1575">
        <v>2.9164242591850118</v>
      </c>
    </row>
    <row r="1576" spans="1:5" x14ac:dyDescent="0.3">
      <c r="A1576" t="s">
        <v>1</v>
      </c>
      <c r="B1576" t="s">
        <v>74</v>
      </c>
      <c r="C1576" t="s">
        <v>91</v>
      </c>
      <c r="D1576" t="s">
        <v>36</v>
      </c>
      <c r="E1576">
        <v>2.8903657928086002</v>
      </c>
    </row>
    <row r="1577" spans="1:5" x14ac:dyDescent="0.3">
      <c r="A1577" t="s">
        <v>1</v>
      </c>
      <c r="B1577" t="s">
        <v>75</v>
      </c>
      <c r="C1577" t="s">
        <v>92</v>
      </c>
      <c r="D1577" t="s">
        <v>36</v>
      </c>
      <c r="E1577">
        <v>2.8254632280892071</v>
      </c>
    </row>
    <row r="1578" spans="1:5" x14ac:dyDescent="0.3">
      <c r="A1578" t="s">
        <v>1</v>
      </c>
      <c r="B1578" t="s">
        <v>75</v>
      </c>
      <c r="C1578" t="s">
        <v>93</v>
      </c>
      <c r="D1578" t="s">
        <v>36</v>
      </c>
      <c r="E1578">
        <v>2.947876377682678</v>
      </c>
    </row>
    <row r="1579" spans="1:5" x14ac:dyDescent="0.3">
      <c r="A1579" t="s">
        <v>1</v>
      </c>
      <c r="B1579" t="s">
        <v>75</v>
      </c>
      <c r="C1579" t="s">
        <v>94</v>
      </c>
      <c r="D1579" t="s">
        <v>36</v>
      </c>
      <c r="E1579">
        <v>3.1809625248709108</v>
      </c>
    </row>
    <row r="1580" spans="1:5" x14ac:dyDescent="0.3">
      <c r="A1580" t="s">
        <v>1</v>
      </c>
      <c r="B1580" t="s">
        <v>75</v>
      </c>
      <c r="C1580" t="s">
        <v>95</v>
      </c>
      <c r="D1580" t="s">
        <v>36</v>
      </c>
      <c r="E1580">
        <v>2.914816796685765</v>
      </c>
    </row>
    <row r="1581" spans="1:5" x14ac:dyDescent="0.3">
      <c r="A1581" t="s">
        <v>1</v>
      </c>
      <c r="B1581" t="s">
        <v>76</v>
      </c>
      <c r="C1581" t="s">
        <v>96</v>
      </c>
      <c r="D1581" t="s">
        <v>36</v>
      </c>
      <c r="E1581">
        <v>2.3722330631597539</v>
      </c>
    </row>
    <row r="1582" spans="1:5" x14ac:dyDescent="0.3">
      <c r="A1582" t="s">
        <v>1</v>
      </c>
      <c r="B1582" t="s">
        <v>76</v>
      </c>
      <c r="C1582" t="s">
        <v>97</v>
      </c>
      <c r="D1582" t="s">
        <v>36</v>
      </c>
      <c r="E1582">
        <v>2.8803201398851939</v>
      </c>
    </row>
    <row r="1583" spans="1:5" x14ac:dyDescent="0.3">
      <c r="A1583" t="s">
        <v>1</v>
      </c>
      <c r="B1583" t="s">
        <v>76</v>
      </c>
      <c r="C1583" t="s">
        <v>98</v>
      </c>
      <c r="D1583" t="s">
        <v>36</v>
      </c>
      <c r="E1583">
        <v>2.630556470255113</v>
      </c>
    </row>
    <row r="1584" spans="1:5" x14ac:dyDescent="0.3">
      <c r="A1584" t="s">
        <v>1</v>
      </c>
      <c r="B1584" t="s">
        <v>0</v>
      </c>
      <c r="C1584" t="s">
        <v>99</v>
      </c>
      <c r="D1584" t="s">
        <v>36</v>
      </c>
      <c r="E1584">
        <v>0.82639481052118202</v>
      </c>
    </row>
    <row r="1585" spans="1:5" x14ac:dyDescent="0.3">
      <c r="A1585" t="s">
        <v>1</v>
      </c>
      <c r="B1585" t="s">
        <v>0</v>
      </c>
      <c r="C1585" t="s">
        <v>100</v>
      </c>
      <c r="D1585" t="s">
        <v>36</v>
      </c>
      <c r="E1585">
        <v>2.4782814200827961</v>
      </c>
    </row>
    <row r="1586" spans="1:5" x14ac:dyDescent="0.3">
      <c r="A1586" t="s">
        <v>1</v>
      </c>
      <c r="B1586" t="s">
        <v>0</v>
      </c>
      <c r="C1586" t="s">
        <v>101</v>
      </c>
      <c r="D1586" t="s">
        <v>36</v>
      </c>
      <c r="E1586">
        <v>1.498240321769734</v>
      </c>
    </row>
    <row r="1587" spans="1:5" x14ac:dyDescent="0.3">
      <c r="A1587" t="s">
        <v>1</v>
      </c>
      <c r="B1587" t="s">
        <v>0</v>
      </c>
      <c r="C1587" t="s">
        <v>102</v>
      </c>
      <c r="D1587" t="s">
        <v>36</v>
      </c>
      <c r="E1587">
        <v>1.4464719312879091</v>
      </c>
    </row>
    <row r="1588" spans="1:5" x14ac:dyDescent="0.3">
      <c r="A1588" t="s">
        <v>1</v>
      </c>
      <c r="B1588" t="s">
        <v>0</v>
      </c>
      <c r="C1588" t="s">
        <v>103</v>
      </c>
      <c r="D1588" t="s">
        <v>36</v>
      </c>
      <c r="E1588">
        <v>2.261446594739116</v>
      </c>
    </row>
    <row r="1589" spans="1:5" x14ac:dyDescent="0.3">
      <c r="A1589" t="s">
        <v>1</v>
      </c>
      <c r="B1589" t="s">
        <v>0</v>
      </c>
      <c r="C1589" t="s">
        <v>104</v>
      </c>
      <c r="D1589" t="s">
        <v>36</v>
      </c>
      <c r="E1589">
        <v>3.1464743716863661</v>
      </c>
    </row>
    <row r="1590" spans="1:5" x14ac:dyDescent="0.3">
      <c r="A1590" t="s">
        <v>1</v>
      </c>
      <c r="B1590" t="s">
        <v>0</v>
      </c>
      <c r="C1590" t="s">
        <v>105</v>
      </c>
      <c r="D1590" t="s">
        <v>36</v>
      </c>
      <c r="E1590">
        <v>3.5560027791523008</v>
      </c>
    </row>
    <row r="1591" spans="1:5" x14ac:dyDescent="0.3">
      <c r="A1591" t="s">
        <v>1</v>
      </c>
      <c r="B1591" t="s">
        <v>0</v>
      </c>
      <c r="C1591" t="s">
        <v>106</v>
      </c>
      <c r="D1591" t="s">
        <v>36</v>
      </c>
      <c r="E1591">
        <v>3.4920536928548418</v>
      </c>
    </row>
    <row r="1592" spans="1:5" x14ac:dyDescent="0.3">
      <c r="A1592" t="s">
        <v>1</v>
      </c>
      <c r="B1592" t="s">
        <v>0</v>
      </c>
      <c r="C1592" t="s">
        <v>107</v>
      </c>
      <c r="D1592" t="s">
        <v>36</v>
      </c>
      <c r="E1592">
        <v>3.6639677517574651</v>
      </c>
    </row>
    <row r="1593" spans="1:5" x14ac:dyDescent="0.3">
      <c r="A1593" t="s">
        <v>1</v>
      </c>
      <c r="B1593" t="s">
        <v>0</v>
      </c>
      <c r="C1593" t="s">
        <v>108</v>
      </c>
      <c r="D1593" t="s">
        <v>36</v>
      </c>
      <c r="E1593">
        <v>3.4124799449138341</v>
      </c>
    </row>
    <row r="1594" spans="1:5" x14ac:dyDescent="0.3">
      <c r="A1594" t="s">
        <v>1</v>
      </c>
      <c r="B1594" t="s">
        <v>0</v>
      </c>
      <c r="C1594" t="s">
        <v>109</v>
      </c>
      <c r="D1594" t="s">
        <v>36</v>
      </c>
      <c r="E1594">
        <v>2.7413756001474039</v>
      </c>
    </row>
    <row r="1595" spans="1:5" x14ac:dyDescent="0.3">
      <c r="A1595" t="s">
        <v>1</v>
      </c>
      <c r="B1595" t="s">
        <v>0</v>
      </c>
      <c r="C1595" t="s">
        <v>110</v>
      </c>
      <c r="D1595" t="s">
        <v>36</v>
      </c>
      <c r="E1595">
        <v>5.1582886752059194</v>
      </c>
    </row>
    <row r="1596" spans="1:5" x14ac:dyDescent="0.3">
      <c r="A1596" t="s">
        <v>1</v>
      </c>
      <c r="B1596" t="s">
        <v>0</v>
      </c>
      <c r="C1596" t="s">
        <v>111</v>
      </c>
      <c r="D1596" t="s">
        <v>36</v>
      </c>
      <c r="E1596">
        <v>4.3603990849609602</v>
      </c>
    </row>
    <row r="1597" spans="1:5" x14ac:dyDescent="0.3">
      <c r="A1597" t="s">
        <v>1</v>
      </c>
      <c r="B1597" t="s">
        <v>0</v>
      </c>
      <c r="C1597" t="s">
        <v>112</v>
      </c>
      <c r="D1597" t="s">
        <v>36</v>
      </c>
      <c r="E1597">
        <v>1.3732749969072231</v>
      </c>
    </row>
    <row r="1598" spans="1:5" x14ac:dyDescent="0.3">
      <c r="A1598" t="s">
        <v>1</v>
      </c>
      <c r="B1598" t="s">
        <v>0</v>
      </c>
      <c r="C1598" t="s">
        <v>113</v>
      </c>
      <c r="D1598" t="s">
        <v>36</v>
      </c>
      <c r="E1598">
        <v>1.8558329370748821</v>
      </c>
    </row>
    <row r="1599" spans="1:5" x14ac:dyDescent="0.3">
      <c r="A1599" t="s">
        <v>1</v>
      </c>
      <c r="B1599" t="s">
        <v>0</v>
      </c>
      <c r="C1599" t="s">
        <v>114</v>
      </c>
      <c r="D1599" t="s">
        <v>36</v>
      </c>
      <c r="E1599">
        <v>3.7079772432394931</v>
      </c>
    </row>
    <row r="1600" spans="1:5" x14ac:dyDescent="0.3">
      <c r="A1600" t="s">
        <v>1</v>
      </c>
      <c r="B1600" t="s">
        <v>0</v>
      </c>
      <c r="C1600" t="s">
        <v>115</v>
      </c>
      <c r="D1600" t="s">
        <v>36</v>
      </c>
      <c r="E1600">
        <v>1.6386471524005299</v>
      </c>
    </row>
    <row r="1601" spans="1:5" x14ac:dyDescent="0.3">
      <c r="A1601" t="s">
        <v>1</v>
      </c>
      <c r="B1601" t="s">
        <v>0</v>
      </c>
      <c r="C1601" t="s">
        <v>116</v>
      </c>
      <c r="D1601" t="s">
        <v>36</v>
      </c>
      <c r="E1601">
        <v>6.9403682562705669</v>
      </c>
    </row>
  </sheetData>
  <mergeCells count="2">
    <mergeCell ref="P3:S3"/>
    <mergeCell ref="O3:O4"/>
  </mergeCell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29"/>
  <dimension ref="A1:U1601"/>
  <sheetViews>
    <sheetView showGridLines="0" topLeftCell="N1" workbookViewId="0">
      <selection activeCell="Z34" sqref="Z34"/>
    </sheetView>
  </sheetViews>
  <sheetFormatPr defaultRowHeight="16.5" x14ac:dyDescent="0.3"/>
  <cols>
    <col min="1" max="4" width="0" hidden="1" customWidth="1"/>
    <col min="5" max="5" width="0" style="1" hidden="1" customWidth="1"/>
    <col min="6" max="7" width="0" hidden="1" customWidth="1"/>
    <col min="8" max="8" width="24.140625" style="5" hidden="1" customWidth="1"/>
    <col min="9" max="9" width="11.42578125" style="6" hidden="1" customWidth="1"/>
    <col min="10" max="10" width="7" style="6" hidden="1" customWidth="1"/>
    <col min="11" max="11" width="6" style="6" hidden="1" customWidth="1"/>
    <col min="12" max="12" width="9.140625" style="6" hidden="1" customWidth="1"/>
    <col min="13" max="13" width="6.140625" style="8" hidden="1" customWidth="1"/>
    <col min="15" max="15" width="22.5703125" style="20" bestFit="1" customWidth="1"/>
    <col min="16" max="19" width="10.7109375" style="20" customWidth="1"/>
    <col min="20" max="20" width="6.140625" style="20" bestFit="1" customWidth="1"/>
    <col min="21" max="21" width="9.140625" style="20"/>
  </cols>
  <sheetData>
    <row r="1" spans="1:21" x14ac:dyDescent="0.3">
      <c r="A1" t="s">
        <v>58</v>
      </c>
      <c r="B1" t="s">
        <v>68</v>
      </c>
      <c r="C1" t="s">
        <v>77</v>
      </c>
      <c r="D1" t="s">
        <v>117</v>
      </c>
      <c r="E1" t="s">
        <v>118</v>
      </c>
      <c r="H1" s="59" t="s">
        <v>58</v>
      </c>
      <c r="I1" s="62" t="s">
        <v>1</v>
      </c>
    </row>
    <row r="2" spans="1:21" x14ac:dyDescent="0.3">
      <c r="A2" t="s">
        <v>59</v>
      </c>
      <c r="B2" t="s">
        <v>69</v>
      </c>
      <c r="C2" t="s">
        <v>69</v>
      </c>
      <c r="D2" t="s">
        <v>33</v>
      </c>
      <c r="E2">
        <v>29.14268862185456</v>
      </c>
    </row>
    <row r="3" spans="1:21" x14ac:dyDescent="0.3">
      <c r="A3" t="s">
        <v>59</v>
      </c>
      <c r="B3" t="s">
        <v>70</v>
      </c>
      <c r="C3" t="s">
        <v>78</v>
      </c>
      <c r="D3" t="s">
        <v>33</v>
      </c>
      <c r="E3">
        <v>29.884736435949542</v>
      </c>
      <c r="H3" s="59" t="s">
        <v>120</v>
      </c>
      <c r="I3" s="59"/>
      <c r="J3" s="59"/>
      <c r="K3" s="59"/>
      <c r="L3" s="59"/>
      <c r="M3" s="59"/>
      <c r="O3" s="263" t="s">
        <v>68</v>
      </c>
      <c r="P3" s="262" t="s">
        <v>121</v>
      </c>
      <c r="Q3" s="262"/>
      <c r="R3" s="262"/>
      <c r="S3" s="262"/>
      <c r="T3" s="9"/>
    </row>
    <row r="4" spans="1:21" ht="17.25" thickBot="1" x14ac:dyDescent="0.35">
      <c r="A4" t="s">
        <v>59</v>
      </c>
      <c r="B4" t="s">
        <v>70</v>
      </c>
      <c r="C4" t="s">
        <v>79</v>
      </c>
      <c r="D4" t="s">
        <v>33</v>
      </c>
      <c r="E4">
        <v>30.058011628825579</v>
      </c>
      <c r="H4" s="59"/>
      <c r="I4" s="62" t="s">
        <v>33</v>
      </c>
      <c r="J4" s="62" t="s">
        <v>34</v>
      </c>
      <c r="K4" s="62" t="s">
        <v>35</v>
      </c>
      <c r="L4" s="62" t="s">
        <v>36</v>
      </c>
      <c r="M4" s="63" t="s">
        <v>119</v>
      </c>
      <c r="O4" s="264"/>
      <c r="P4" s="11" t="s">
        <v>33</v>
      </c>
      <c r="Q4" s="11" t="s">
        <v>34</v>
      </c>
      <c r="R4" s="11" t="s">
        <v>35</v>
      </c>
      <c r="S4" s="11" t="s">
        <v>36</v>
      </c>
      <c r="T4" s="12" t="s">
        <v>119</v>
      </c>
    </row>
    <row r="5" spans="1:21" ht="17.25" thickTop="1" x14ac:dyDescent="0.3">
      <c r="A5" t="s">
        <v>59</v>
      </c>
      <c r="B5" t="s">
        <v>70</v>
      </c>
      <c r="C5" t="s">
        <v>80</v>
      </c>
      <c r="D5" t="s">
        <v>33</v>
      </c>
      <c r="E5">
        <v>28.006652823373599</v>
      </c>
      <c r="H5" s="60" t="s">
        <v>69</v>
      </c>
      <c r="I5" s="62"/>
      <c r="J5" s="62"/>
      <c r="K5" s="62"/>
      <c r="L5" s="62"/>
      <c r="M5" s="64"/>
      <c r="O5" s="13" t="s">
        <v>76</v>
      </c>
      <c r="P5" s="14"/>
      <c r="Q5" s="14"/>
      <c r="R5" s="14"/>
      <c r="S5" s="14"/>
      <c r="T5" s="15"/>
    </row>
    <row r="6" spans="1:21" x14ac:dyDescent="0.3">
      <c r="A6" t="s">
        <v>59</v>
      </c>
      <c r="B6" t="s">
        <v>70</v>
      </c>
      <c r="C6" t="s">
        <v>81</v>
      </c>
      <c r="D6" t="s">
        <v>33</v>
      </c>
      <c r="E6">
        <v>27.876406064687309</v>
      </c>
      <c r="H6" s="61" t="s">
        <v>69</v>
      </c>
      <c r="I6" s="62">
        <v>27.999670881521279</v>
      </c>
      <c r="J6" s="62">
        <v>51.634308050519557</v>
      </c>
      <c r="K6" s="62">
        <v>17.455630771797729</v>
      </c>
      <c r="L6" s="62">
        <v>2.9103902961614039</v>
      </c>
      <c r="M6" s="64">
        <v>99.999999999999972</v>
      </c>
      <c r="O6" s="16" t="s">
        <v>96</v>
      </c>
      <c r="P6" s="14">
        <v>26.510548241122571</v>
      </c>
      <c r="Q6" s="14">
        <v>52.653527433506461</v>
      </c>
      <c r="R6" s="14">
        <v>18.46369126221121</v>
      </c>
      <c r="S6" s="14">
        <v>2.3722330631597539</v>
      </c>
      <c r="T6" s="15">
        <v>100</v>
      </c>
    </row>
    <row r="7" spans="1:21" x14ac:dyDescent="0.3">
      <c r="A7" t="s">
        <v>59</v>
      </c>
      <c r="B7" t="s">
        <v>71</v>
      </c>
      <c r="C7" t="s">
        <v>82</v>
      </c>
      <c r="D7" t="s">
        <v>33</v>
      </c>
      <c r="E7">
        <v>27.763699954392969</v>
      </c>
      <c r="H7" s="60" t="s">
        <v>72</v>
      </c>
      <c r="I7" s="62"/>
      <c r="J7" s="62"/>
      <c r="K7" s="62"/>
      <c r="L7" s="62"/>
      <c r="M7" s="64"/>
      <c r="O7" s="16" t="s">
        <v>97</v>
      </c>
      <c r="P7" s="14">
        <v>26.227542833307879</v>
      </c>
      <c r="Q7" s="14">
        <v>51.748458611758473</v>
      </c>
      <c r="R7" s="14">
        <v>19.143678415048459</v>
      </c>
      <c r="S7" s="14">
        <v>2.8803201398851939</v>
      </c>
      <c r="T7" s="15">
        <v>100.00000000000001</v>
      </c>
    </row>
    <row r="8" spans="1:21" x14ac:dyDescent="0.3">
      <c r="A8" t="s">
        <v>59</v>
      </c>
      <c r="B8" t="s">
        <v>71</v>
      </c>
      <c r="C8" t="s">
        <v>83</v>
      </c>
      <c r="D8" t="s">
        <v>33</v>
      </c>
      <c r="E8">
        <v>27.47714573676846</v>
      </c>
      <c r="H8" s="61" t="s">
        <v>86</v>
      </c>
      <c r="I8" s="62">
        <v>28.13899567275168</v>
      </c>
      <c r="J8" s="62">
        <v>52.213149094449321</v>
      </c>
      <c r="K8" s="62">
        <v>16.84270801750986</v>
      </c>
      <c r="L8" s="62">
        <v>2.8051472152891539</v>
      </c>
      <c r="M8" s="64">
        <v>100.00000000000001</v>
      </c>
      <c r="O8" s="16" t="s">
        <v>98</v>
      </c>
      <c r="P8" s="14">
        <v>29.363797193140659</v>
      </c>
      <c r="Q8" s="14">
        <v>51.212830367166063</v>
      </c>
      <c r="R8" s="14">
        <v>16.79281596943817</v>
      </c>
      <c r="S8" s="14">
        <v>2.630556470255113</v>
      </c>
      <c r="T8" s="15">
        <v>100</v>
      </c>
      <c r="U8" s="89"/>
    </row>
    <row r="9" spans="1:21" x14ac:dyDescent="0.3">
      <c r="A9" t="s">
        <v>59</v>
      </c>
      <c r="B9" t="s">
        <v>71</v>
      </c>
      <c r="C9" t="s">
        <v>84</v>
      </c>
      <c r="D9" t="s">
        <v>33</v>
      </c>
      <c r="E9">
        <v>31.807993658430821</v>
      </c>
      <c r="H9" s="61" t="s">
        <v>87</v>
      </c>
      <c r="I9" s="62">
        <v>27.855127820140691</v>
      </c>
      <c r="J9" s="62">
        <v>51.033787096542383</v>
      </c>
      <c r="K9" s="62">
        <v>18.091509932370819</v>
      </c>
      <c r="L9" s="62">
        <v>3.0195751509461228</v>
      </c>
      <c r="M9" s="64">
        <v>100.00000000000001</v>
      </c>
      <c r="O9" s="13" t="s">
        <v>0</v>
      </c>
      <c r="P9" s="21"/>
      <c r="Q9" s="21"/>
      <c r="R9" s="21"/>
      <c r="S9" s="21"/>
      <c r="T9" s="15"/>
    </row>
    <row r="10" spans="1:21" x14ac:dyDescent="0.3">
      <c r="A10" t="s">
        <v>59</v>
      </c>
      <c r="B10" t="s">
        <v>71</v>
      </c>
      <c r="C10" t="s">
        <v>85</v>
      </c>
      <c r="D10" t="s">
        <v>33</v>
      </c>
      <c r="E10">
        <v>32.054368947287827</v>
      </c>
      <c r="H10" s="60" t="s">
        <v>71</v>
      </c>
      <c r="I10" s="62"/>
      <c r="J10" s="62"/>
      <c r="K10" s="62"/>
      <c r="L10" s="62"/>
      <c r="M10" s="64"/>
      <c r="O10" s="16" t="s">
        <v>99</v>
      </c>
      <c r="P10" s="21">
        <v>38.378034503095257</v>
      </c>
      <c r="Q10" s="21">
        <v>50.660419387637631</v>
      </c>
      <c r="R10" s="21">
        <v>10.13515129874593</v>
      </c>
      <c r="S10" s="21">
        <v>0.82639481052118202</v>
      </c>
      <c r="T10" s="15">
        <v>100</v>
      </c>
    </row>
    <row r="11" spans="1:21" x14ac:dyDescent="0.3">
      <c r="A11" t="s">
        <v>59</v>
      </c>
      <c r="B11" t="s">
        <v>72</v>
      </c>
      <c r="C11" t="s">
        <v>86</v>
      </c>
      <c r="D11" t="s">
        <v>33</v>
      </c>
      <c r="E11">
        <v>30.198123321383729</v>
      </c>
      <c r="H11" s="61" t="s">
        <v>82</v>
      </c>
      <c r="I11" s="62">
        <v>25.257490834594432</v>
      </c>
      <c r="J11" s="62">
        <v>52.015378694022537</v>
      </c>
      <c r="K11" s="62">
        <v>19.64279585675607</v>
      </c>
      <c r="L11" s="62">
        <v>3.0843346146269668</v>
      </c>
      <c r="M11" s="64">
        <v>100</v>
      </c>
      <c r="O11" s="16" t="s">
        <v>100</v>
      </c>
      <c r="P11" s="21">
        <v>17.768688438251932</v>
      </c>
      <c r="Q11" s="21">
        <v>55.871418976566062</v>
      </c>
      <c r="R11" s="21">
        <v>23.881611165099219</v>
      </c>
      <c r="S11" s="21">
        <v>2.4782814200827961</v>
      </c>
      <c r="T11" s="15">
        <v>100</v>
      </c>
    </row>
    <row r="12" spans="1:21" x14ac:dyDescent="0.3">
      <c r="A12" t="s">
        <v>59</v>
      </c>
      <c r="B12" t="s">
        <v>72</v>
      </c>
      <c r="C12" t="s">
        <v>87</v>
      </c>
      <c r="D12" t="s">
        <v>33</v>
      </c>
      <c r="E12">
        <v>28.045609414138092</v>
      </c>
      <c r="H12" s="61" t="s">
        <v>83</v>
      </c>
      <c r="I12" s="62">
        <v>28.338380298570531</v>
      </c>
      <c r="J12" s="62">
        <v>51.349399011914556</v>
      </c>
      <c r="K12" s="62">
        <v>17.287894921560721</v>
      </c>
      <c r="L12" s="62">
        <v>3.0243257679541888</v>
      </c>
      <c r="M12" s="64">
        <v>100</v>
      </c>
      <c r="O12" s="16" t="s">
        <v>101</v>
      </c>
      <c r="P12" s="21">
        <v>31.814982403217691</v>
      </c>
      <c r="Q12" s="21">
        <v>53.745600804424342</v>
      </c>
      <c r="R12" s="21">
        <v>12.941176470588241</v>
      </c>
      <c r="S12" s="21">
        <v>1.498240321769734</v>
      </c>
      <c r="T12" s="15">
        <v>100</v>
      </c>
    </row>
    <row r="13" spans="1:21" x14ac:dyDescent="0.3">
      <c r="A13" t="s">
        <v>59</v>
      </c>
      <c r="B13" t="s">
        <v>73</v>
      </c>
      <c r="C13" t="s">
        <v>88</v>
      </c>
      <c r="D13" t="s">
        <v>33</v>
      </c>
      <c r="E13">
        <v>29.62767232426021</v>
      </c>
      <c r="H13" s="61" t="s">
        <v>84</v>
      </c>
      <c r="I13" s="62">
        <v>29.181637637208642</v>
      </c>
      <c r="J13" s="62">
        <v>51.733379644620427</v>
      </c>
      <c r="K13" s="62">
        <v>16.307040754130199</v>
      </c>
      <c r="L13" s="62">
        <v>2.7779419640407368</v>
      </c>
      <c r="M13" s="64">
        <v>100</v>
      </c>
      <c r="O13" s="16" t="s">
        <v>102</v>
      </c>
      <c r="P13" s="21">
        <v>40.195057848826629</v>
      </c>
      <c r="Q13" s="21">
        <v>49.935273260170113</v>
      </c>
      <c r="R13" s="21">
        <v>8.4231969597153409</v>
      </c>
      <c r="S13" s="21">
        <v>1.4464719312879091</v>
      </c>
      <c r="T13" s="15">
        <v>100</v>
      </c>
    </row>
    <row r="14" spans="1:21" x14ac:dyDescent="0.3">
      <c r="A14" t="s">
        <v>59</v>
      </c>
      <c r="B14" t="s">
        <v>73</v>
      </c>
      <c r="C14" t="s">
        <v>89</v>
      </c>
      <c r="D14" t="s">
        <v>33</v>
      </c>
      <c r="E14">
        <v>28.63940551180869</v>
      </c>
      <c r="H14" s="61" t="s">
        <v>85</v>
      </c>
      <c r="I14" s="62">
        <v>28.785713843093379</v>
      </c>
      <c r="J14" s="62">
        <v>51.600660601415967</v>
      </c>
      <c r="K14" s="62">
        <v>17.133383300100888</v>
      </c>
      <c r="L14" s="62">
        <v>2.4802422553897712</v>
      </c>
      <c r="M14" s="64">
        <v>100</v>
      </c>
      <c r="O14" s="16" t="s">
        <v>103</v>
      </c>
      <c r="P14" s="21">
        <v>35.132966319951663</v>
      </c>
      <c r="Q14" s="21">
        <v>51.206936426627337</v>
      </c>
      <c r="R14" s="21">
        <v>11.398650658681859</v>
      </c>
      <c r="S14" s="21">
        <v>2.261446594739116</v>
      </c>
      <c r="T14" s="15">
        <v>99.999999999999972</v>
      </c>
    </row>
    <row r="15" spans="1:21" x14ac:dyDescent="0.3">
      <c r="A15" t="s">
        <v>59</v>
      </c>
      <c r="B15" t="s">
        <v>74</v>
      </c>
      <c r="C15" t="s">
        <v>90</v>
      </c>
      <c r="D15" t="s">
        <v>33</v>
      </c>
      <c r="E15">
        <v>29.726871880834789</v>
      </c>
      <c r="H15" s="60" t="s">
        <v>73</v>
      </c>
      <c r="I15" s="62"/>
      <c r="J15" s="62"/>
      <c r="K15" s="62"/>
      <c r="L15" s="62"/>
      <c r="M15" s="64"/>
      <c r="O15" s="16" t="s">
        <v>104</v>
      </c>
      <c r="P15" s="21">
        <v>23.18424420676708</v>
      </c>
      <c r="Q15" s="21">
        <v>53.55069448060695</v>
      </c>
      <c r="R15" s="21">
        <v>20.118586940939601</v>
      </c>
      <c r="S15" s="21">
        <v>3.1464743716863661</v>
      </c>
      <c r="T15" s="15">
        <v>99.999999999999986</v>
      </c>
    </row>
    <row r="16" spans="1:21" x14ac:dyDescent="0.3">
      <c r="A16" t="s">
        <v>59</v>
      </c>
      <c r="B16" t="s">
        <v>74</v>
      </c>
      <c r="C16" t="s">
        <v>91</v>
      </c>
      <c r="D16" t="s">
        <v>33</v>
      </c>
      <c r="E16">
        <v>29.047379320319219</v>
      </c>
      <c r="H16" s="61" t="s">
        <v>89</v>
      </c>
      <c r="I16" s="62">
        <v>28.15339576270776</v>
      </c>
      <c r="J16" s="62">
        <v>51.931417130273793</v>
      </c>
      <c r="K16" s="62">
        <v>17.140133391593661</v>
      </c>
      <c r="L16" s="62">
        <v>2.7750537154247898</v>
      </c>
      <c r="M16" s="64">
        <v>100</v>
      </c>
      <c r="O16" s="16" t="s">
        <v>105</v>
      </c>
      <c r="P16" s="21">
        <v>32.447075029406783</v>
      </c>
      <c r="Q16" s="21">
        <v>46.488766393011034</v>
      </c>
      <c r="R16" s="21">
        <v>17.508155798429879</v>
      </c>
      <c r="S16" s="21">
        <v>3.5560027791523008</v>
      </c>
      <c r="T16" s="15">
        <v>100</v>
      </c>
    </row>
    <row r="17" spans="1:20" x14ac:dyDescent="0.3">
      <c r="A17" t="s">
        <v>59</v>
      </c>
      <c r="B17" t="s">
        <v>75</v>
      </c>
      <c r="C17" t="s">
        <v>92</v>
      </c>
      <c r="D17" t="s">
        <v>33</v>
      </c>
      <c r="E17">
        <v>29.50225472811767</v>
      </c>
      <c r="H17" s="61" t="s">
        <v>88</v>
      </c>
      <c r="I17" s="62">
        <v>27.732327211686311</v>
      </c>
      <c r="J17" s="62">
        <v>51.334649132336409</v>
      </c>
      <c r="K17" s="62">
        <v>17.871945042229559</v>
      </c>
      <c r="L17" s="62">
        <v>3.0610786137477222</v>
      </c>
      <c r="M17" s="64">
        <v>100</v>
      </c>
      <c r="O17" s="16" t="s">
        <v>106</v>
      </c>
      <c r="P17" s="21">
        <v>21.55052592110685</v>
      </c>
      <c r="Q17" s="21">
        <v>47.580815245909967</v>
      </c>
      <c r="R17" s="21">
        <v>27.376605140128301</v>
      </c>
      <c r="S17" s="21">
        <v>3.4920536928548418</v>
      </c>
      <c r="T17" s="15">
        <v>99.999999999999957</v>
      </c>
    </row>
    <row r="18" spans="1:20" x14ac:dyDescent="0.3">
      <c r="A18" t="s">
        <v>59</v>
      </c>
      <c r="B18" t="s">
        <v>75</v>
      </c>
      <c r="C18" t="s">
        <v>93</v>
      </c>
      <c r="D18" t="s">
        <v>33</v>
      </c>
      <c r="E18">
        <v>28.432231446728611</v>
      </c>
      <c r="H18" s="60" t="s">
        <v>74</v>
      </c>
      <c r="I18" s="62"/>
      <c r="J18" s="62"/>
      <c r="K18" s="62"/>
      <c r="L18" s="62"/>
      <c r="M18" s="64"/>
      <c r="O18" s="16" t="s">
        <v>114</v>
      </c>
      <c r="P18" s="21">
        <v>22.670799035152911</v>
      </c>
      <c r="Q18" s="21">
        <v>53.037649334889352</v>
      </c>
      <c r="R18" s="21">
        <v>20.583574386718229</v>
      </c>
      <c r="S18" s="21">
        <v>3.7079772432394931</v>
      </c>
      <c r="T18" s="15">
        <v>99.999999999999986</v>
      </c>
    </row>
    <row r="19" spans="1:20" x14ac:dyDescent="0.3">
      <c r="A19" t="s">
        <v>59</v>
      </c>
      <c r="B19" t="s">
        <v>75</v>
      </c>
      <c r="C19" t="s">
        <v>94</v>
      </c>
      <c r="D19" t="s">
        <v>33</v>
      </c>
      <c r="E19">
        <v>28.488324341780331</v>
      </c>
      <c r="H19" s="61" t="s">
        <v>91</v>
      </c>
      <c r="I19" s="62">
        <v>28.151102617895042</v>
      </c>
      <c r="J19" s="62">
        <v>51.743653119450613</v>
      </c>
      <c r="K19" s="62">
        <v>17.21487846984579</v>
      </c>
      <c r="L19" s="62">
        <v>2.8903657928086002</v>
      </c>
      <c r="M19" s="64">
        <v>100.00000000000004</v>
      </c>
      <c r="O19" s="16" t="s">
        <v>107</v>
      </c>
      <c r="P19" s="21">
        <v>28.26113496543228</v>
      </c>
      <c r="Q19" s="21">
        <v>51.37278538963043</v>
      </c>
      <c r="R19" s="21">
        <v>16.702111893179818</v>
      </c>
      <c r="S19" s="21">
        <v>3.6639677517574651</v>
      </c>
      <c r="T19" s="15">
        <v>99.999999999999986</v>
      </c>
    </row>
    <row r="20" spans="1:20" x14ac:dyDescent="0.3">
      <c r="A20" t="s">
        <v>59</v>
      </c>
      <c r="B20" t="s">
        <v>75</v>
      </c>
      <c r="C20" t="s">
        <v>95</v>
      </c>
      <c r="D20" t="s">
        <v>33</v>
      </c>
      <c r="E20">
        <v>30.38967519773156</v>
      </c>
      <c r="H20" s="61" t="s">
        <v>90</v>
      </c>
      <c r="I20" s="62">
        <v>27.535339552495142</v>
      </c>
      <c r="J20" s="62">
        <v>51.468243981941839</v>
      </c>
      <c r="K20" s="62">
        <v>18.079992206378009</v>
      </c>
      <c r="L20" s="62">
        <v>2.9164242591850118</v>
      </c>
      <c r="M20" s="64">
        <v>100</v>
      </c>
      <c r="O20" s="16" t="s">
        <v>108</v>
      </c>
      <c r="P20" s="21">
        <v>28.856115547254181</v>
      </c>
      <c r="Q20" s="21">
        <v>53.464496859319269</v>
      </c>
      <c r="R20" s="21">
        <v>14.26690764851271</v>
      </c>
      <c r="S20" s="21">
        <v>3.4124799449138341</v>
      </c>
      <c r="T20" s="15">
        <v>100</v>
      </c>
    </row>
    <row r="21" spans="1:20" x14ac:dyDescent="0.3">
      <c r="A21" t="s">
        <v>59</v>
      </c>
      <c r="B21" t="s">
        <v>76</v>
      </c>
      <c r="C21" t="s">
        <v>96</v>
      </c>
      <c r="D21" t="s">
        <v>33</v>
      </c>
      <c r="E21"/>
      <c r="H21" s="60" t="s">
        <v>70</v>
      </c>
      <c r="I21" s="62"/>
      <c r="J21" s="62"/>
      <c r="K21" s="62"/>
      <c r="L21" s="62"/>
      <c r="M21" s="64"/>
      <c r="O21" s="16" t="s">
        <v>109</v>
      </c>
      <c r="P21" s="21">
        <v>32.183474412266243</v>
      </c>
      <c r="Q21" s="21">
        <v>49.857505642156703</v>
      </c>
      <c r="R21" s="21">
        <v>15.21764434542963</v>
      </c>
      <c r="S21" s="21">
        <v>2.7413756001474039</v>
      </c>
      <c r="T21" s="15">
        <v>99.999999999999972</v>
      </c>
    </row>
    <row r="22" spans="1:20" x14ac:dyDescent="0.3">
      <c r="A22" t="s">
        <v>59</v>
      </c>
      <c r="B22" t="s">
        <v>76</v>
      </c>
      <c r="C22" t="s">
        <v>97</v>
      </c>
      <c r="D22" t="s">
        <v>33</v>
      </c>
      <c r="E22"/>
      <c r="H22" s="61" t="s">
        <v>79</v>
      </c>
      <c r="I22" s="62">
        <v>27.575163298603201</v>
      </c>
      <c r="J22" s="62">
        <v>51.584857415530507</v>
      </c>
      <c r="K22" s="62">
        <v>17.86556473904443</v>
      </c>
      <c r="L22" s="62">
        <v>2.9744145468218681</v>
      </c>
      <c r="M22" s="64">
        <v>100</v>
      </c>
      <c r="O22" s="16" t="s">
        <v>110</v>
      </c>
      <c r="P22" s="21">
        <v>18.938521343247</v>
      </c>
      <c r="Q22" s="21">
        <v>51.671167856165233</v>
      </c>
      <c r="R22" s="21">
        <v>24.232022125381839</v>
      </c>
      <c r="S22" s="21">
        <v>5.1582886752059194</v>
      </c>
      <c r="T22" s="15">
        <v>100</v>
      </c>
    </row>
    <row r="23" spans="1:20" x14ac:dyDescent="0.3">
      <c r="A23" t="s">
        <v>59</v>
      </c>
      <c r="B23" t="s">
        <v>76</v>
      </c>
      <c r="C23" t="s">
        <v>98</v>
      </c>
      <c r="D23" t="s">
        <v>33</v>
      </c>
      <c r="E23"/>
      <c r="H23" s="61" t="s">
        <v>80</v>
      </c>
      <c r="I23" s="62">
        <v>27.620496745017299</v>
      </c>
      <c r="J23" s="62">
        <v>52.050793424782313</v>
      </c>
      <c r="K23" s="62">
        <v>17.714190316360561</v>
      </c>
      <c r="L23" s="62">
        <v>2.614519513839805</v>
      </c>
      <c r="M23" s="64">
        <v>99.999999999999986</v>
      </c>
      <c r="O23" s="16" t="s">
        <v>111</v>
      </c>
      <c r="P23" s="21">
        <v>27.230298120771138</v>
      </c>
      <c r="Q23" s="21">
        <v>48.114393234620643</v>
      </c>
      <c r="R23" s="21">
        <v>20.29490955964727</v>
      </c>
      <c r="S23" s="21">
        <v>4.3603990849609602</v>
      </c>
      <c r="T23" s="15">
        <v>100.00000000000001</v>
      </c>
    </row>
    <row r="24" spans="1:20" x14ac:dyDescent="0.3">
      <c r="A24" t="s">
        <v>59</v>
      </c>
      <c r="B24" t="s">
        <v>0</v>
      </c>
      <c r="C24" t="s">
        <v>99</v>
      </c>
      <c r="D24" t="s">
        <v>33</v>
      </c>
      <c r="E24">
        <v>54.739538855678902</v>
      </c>
      <c r="H24" s="61" t="s">
        <v>81</v>
      </c>
      <c r="I24" s="62">
        <v>28.689698446242399</v>
      </c>
      <c r="J24" s="62">
        <v>52.899415183014511</v>
      </c>
      <c r="K24" s="62">
        <v>15.645987143320641</v>
      </c>
      <c r="L24" s="62">
        <v>2.764899227422426</v>
      </c>
      <c r="M24" s="64">
        <v>99.999999999999986</v>
      </c>
      <c r="O24" s="16" t="s">
        <v>113</v>
      </c>
      <c r="P24" s="21">
        <v>37.316179998367147</v>
      </c>
      <c r="Q24" s="21">
        <v>48.917233059839347</v>
      </c>
      <c r="R24" s="21">
        <v>11.91075400471861</v>
      </c>
      <c r="S24" s="21">
        <v>1.8558329370748821</v>
      </c>
      <c r="T24" s="15">
        <v>99.999999999999986</v>
      </c>
    </row>
    <row r="25" spans="1:20" x14ac:dyDescent="0.3">
      <c r="A25" t="s">
        <v>59</v>
      </c>
      <c r="B25" t="s">
        <v>0</v>
      </c>
      <c r="C25" t="s">
        <v>100</v>
      </c>
      <c r="D25" t="s">
        <v>33</v>
      </c>
      <c r="E25">
        <v>23.840206185567009</v>
      </c>
      <c r="H25" s="61" t="s">
        <v>78</v>
      </c>
      <c r="I25" s="62">
        <v>28.743027746074539</v>
      </c>
      <c r="J25" s="62">
        <v>50.915664799798812</v>
      </c>
      <c r="K25" s="62">
        <v>17.338660621603651</v>
      </c>
      <c r="L25" s="62">
        <v>3.0026468325229949</v>
      </c>
      <c r="M25" s="64">
        <v>100</v>
      </c>
      <c r="O25" s="16" t="s">
        <v>112</v>
      </c>
      <c r="P25" s="21">
        <v>24.831189542244609</v>
      </c>
      <c r="Q25" s="21">
        <v>62.010226133750933</v>
      </c>
      <c r="R25" s="21">
        <v>11.78530932709724</v>
      </c>
      <c r="S25" s="21">
        <v>1.3732749969072231</v>
      </c>
      <c r="T25" s="15">
        <v>100</v>
      </c>
    </row>
    <row r="26" spans="1:20" x14ac:dyDescent="0.3">
      <c r="A26" t="s">
        <v>59</v>
      </c>
      <c r="B26" t="s">
        <v>0</v>
      </c>
      <c r="C26" t="s">
        <v>101</v>
      </c>
      <c r="D26" t="s">
        <v>33</v>
      </c>
      <c r="E26">
        <v>38.524590163934427</v>
      </c>
      <c r="H26" s="60" t="s">
        <v>75</v>
      </c>
      <c r="I26" s="62"/>
      <c r="J26" s="62"/>
      <c r="K26" s="62"/>
      <c r="L26" s="62"/>
      <c r="M26" s="64"/>
      <c r="O26" s="16" t="s">
        <v>115</v>
      </c>
      <c r="P26" s="21">
        <v>18.257051469644608</v>
      </c>
      <c r="Q26" s="21">
        <v>57.497818457526087</v>
      </c>
      <c r="R26" s="21">
        <v>22.606482920428739</v>
      </c>
      <c r="S26" s="21">
        <v>1.6386471524005299</v>
      </c>
      <c r="T26" s="15">
        <v>99.999999999999957</v>
      </c>
    </row>
    <row r="27" spans="1:20" x14ac:dyDescent="0.3">
      <c r="A27" t="s">
        <v>59</v>
      </c>
      <c r="B27" t="s">
        <v>0</v>
      </c>
      <c r="C27" t="s">
        <v>102</v>
      </c>
      <c r="D27" t="s">
        <v>33</v>
      </c>
      <c r="E27">
        <v>34.45680660374645</v>
      </c>
      <c r="H27" s="61" t="s">
        <v>93</v>
      </c>
      <c r="I27" s="62">
        <v>28.111581667486512</v>
      </c>
      <c r="J27" s="62">
        <v>51.475689969843963</v>
      </c>
      <c r="K27" s="62">
        <v>17.464851984986861</v>
      </c>
      <c r="L27" s="62">
        <v>2.947876377682678</v>
      </c>
      <c r="M27" s="64">
        <v>100.00000000000001</v>
      </c>
      <c r="O27" s="17" t="s">
        <v>116</v>
      </c>
      <c r="P27" s="121">
        <v>23.529663559827419</v>
      </c>
      <c r="Q27" s="121">
        <v>42.888047992637922</v>
      </c>
      <c r="R27" s="121">
        <v>26.641920191264109</v>
      </c>
      <c r="S27" s="121">
        <v>6.9403682562705669</v>
      </c>
      <c r="T27" s="19">
        <v>100</v>
      </c>
    </row>
    <row r="28" spans="1:20" x14ac:dyDescent="0.3">
      <c r="A28" t="s">
        <v>59</v>
      </c>
      <c r="B28" t="s">
        <v>0</v>
      </c>
      <c r="C28" t="s">
        <v>103</v>
      </c>
      <c r="D28" t="s">
        <v>33</v>
      </c>
      <c r="E28">
        <v>32.517524269440393</v>
      </c>
      <c r="H28" s="61" t="s">
        <v>92</v>
      </c>
      <c r="I28" s="62">
        <v>27.10554699515821</v>
      </c>
      <c r="J28" s="62">
        <v>52.523158424299737</v>
      </c>
      <c r="K28" s="62">
        <v>17.545831352452801</v>
      </c>
      <c r="L28" s="62">
        <v>2.8254632280892071</v>
      </c>
      <c r="M28" s="64">
        <v>99.999999999999943</v>
      </c>
    </row>
    <row r="29" spans="1:20" x14ac:dyDescent="0.3">
      <c r="A29" t="s">
        <v>59</v>
      </c>
      <c r="B29" t="s">
        <v>0</v>
      </c>
      <c r="C29" t="s">
        <v>104</v>
      </c>
      <c r="D29" t="s">
        <v>33</v>
      </c>
      <c r="E29">
        <v>15.31440162271805</v>
      </c>
      <c r="H29" s="61" t="s">
        <v>94</v>
      </c>
      <c r="I29" s="62">
        <v>27.859621323570469</v>
      </c>
      <c r="J29" s="62">
        <v>51.068110586672191</v>
      </c>
      <c r="K29" s="62">
        <v>17.89130556488643</v>
      </c>
      <c r="L29" s="62">
        <v>3.1809625248709108</v>
      </c>
      <c r="M29" s="64">
        <v>99.999999999999986</v>
      </c>
    </row>
    <row r="30" spans="1:20" x14ac:dyDescent="0.3">
      <c r="A30" t="s">
        <v>59</v>
      </c>
      <c r="B30" t="s">
        <v>0</v>
      </c>
      <c r="C30" t="s">
        <v>105</v>
      </c>
      <c r="D30" t="s">
        <v>33</v>
      </c>
      <c r="E30"/>
      <c r="H30" s="61" t="s">
        <v>95</v>
      </c>
      <c r="I30" s="62">
        <v>30.610004648361659</v>
      </c>
      <c r="J30" s="62">
        <v>51.525345513345933</v>
      </c>
      <c r="K30" s="62">
        <v>14.94983304160659</v>
      </c>
      <c r="L30" s="62">
        <v>2.914816796685765</v>
      </c>
      <c r="M30" s="64">
        <v>99.999999999999957</v>
      </c>
    </row>
    <row r="31" spans="1:20" x14ac:dyDescent="0.3">
      <c r="A31" t="s">
        <v>59</v>
      </c>
      <c r="B31" t="s">
        <v>0</v>
      </c>
      <c r="C31" t="s">
        <v>106</v>
      </c>
      <c r="D31" t="s">
        <v>33</v>
      </c>
      <c r="E31">
        <v>32.508833922261481</v>
      </c>
      <c r="H31" s="60" t="s">
        <v>76</v>
      </c>
      <c r="I31" s="62"/>
      <c r="J31" s="62"/>
      <c r="K31" s="62"/>
      <c r="L31" s="62"/>
      <c r="M31" s="64"/>
    </row>
    <row r="32" spans="1:20" x14ac:dyDescent="0.3">
      <c r="A32" t="s">
        <v>59</v>
      </c>
      <c r="B32" t="s">
        <v>0</v>
      </c>
      <c r="C32" t="s">
        <v>107</v>
      </c>
      <c r="D32" t="s">
        <v>33</v>
      </c>
      <c r="E32">
        <v>24.7578040904198</v>
      </c>
      <c r="H32" s="61" t="s">
        <v>97</v>
      </c>
      <c r="I32" s="62">
        <v>26.227542833307879</v>
      </c>
      <c r="J32" s="62">
        <v>51.748458611758473</v>
      </c>
      <c r="K32" s="62">
        <v>19.143678415048459</v>
      </c>
      <c r="L32" s="62">
        <v>2.8803201398851939</v>
      </c>
      <c r="M32" s="64">
        <v>100</v>
      </c>
    </row>
    <row r="33" spans="1:13" x14ac:dyDescent="0.3">
      <c r="A33" t="s">
        <v>59</v>
      </c>
      <c r="B33" t="s">
        <v>0</v>
      </c>
      <c r="C33" t="s">
        <v>108</v>
      </c>
      <c r="D33" t="s">
        <v>33</v>
      </c>
      <c r="E33">
        <v>15.686274509803919</v>
      </c>
      <c r="H33" s="61" t="s">
        <v>98</v>
      </c>
      <c r="I33" s="62">
        <v>29.363797193140659</v>
      </c>
      <c r="J33" s="62">
        <v>51.212830367166063</v>
      </c>
      <c r="K33" s="62">
        <v>16.79281596943817</v>
      </c>
      <c r="L33" s="62">
        <v>2.630556470255113</v>
      </c>
      <c r="M33" s="64">
        <v>100</v>
      </c>
    </row>
    <row r="34" spans="1:13" x14ac:dyDescent="0.3">
      <c r="A34" t="s">
        <v>59</v>
      </c>
      <c r="B34" t="s">
        <v>0</v>
      </c>
      <c r="C34" t="s">
        <v>109</v>
      </c>
      <c r="D34" t="s">
        <v>33</v>
      </c>
      <c r="E34">
        <v>32.033426183844007</v>
      </c>
      <c r="H34" s="61" t="s">
        <v>96</v>
      </c>
      <c r="I34" s="62">
        <v>26.510548241122571</v>
      </c>
      <c r="J34" s="62">
        <v>52.653527433506461</v>
      </c>
      <c r="K34" s="62">
        <v>18.46369126221121</v>
      </c>
      <c r="L34" s="62">
        <v>2.3722330631597539</v>
      </c>
      <c r="M34" s="64">
        <v>100</v>
      </c>
    </row>
    <row r="35" spans="1:13" x14ac:dyDescent="0.3">
      <c r="A35" t="s">
        <v>59</v>
      </c>
      <c r="B35" t="s">
        <v>0</v>
      </c>
      <c r="C35" t="s">
        <v>110</v>
      </c>
      <c r="D35" t="s">
        <v>33</v>
      </c>
      <c r="E35">
        <v>19.289340101522839</v>
      </c>
      <c r="H35" s="60" t="s">
        <v>0</v>
      </c>
      <c r="I35" s="62"/>
      <c r="J35" s="62"/>
      <c r="K35" s="62"/>
      <c r="L35" s="62"/>
      <c r="M35" s="64"/>
    </row>
    <row r="36" spans="1:13" x14ac:dyDescent="0.3">
      <c r="A36" t="s">
        <v>59</v>
      </c>
      <c r="B36" t="s">
        <v>0</v>
      </c>
      <c r="C36" t="s">
        <v>111</v>
      </c>
      <c r="D36" t="s">
        <v>33</v>
      </c>
      <c r="E36">
        <v>20.62062062062062</v>
      </c>
      <c r="H36" s="61" t="s">
        <v>99</v>
      </c>
      <c r="I36" s="62">
        <v>38.378034503095257</v>
      </c>
      <c r="J36" s="62">
        <v>50.660419387637631</v>
      </c>
      <c r="K36" s="62">
        <v>10.13515129874593</v>
      </c>
      <c r="L36" s="62">
        <v>0.82639481052118202</v>
      </c>
      <c r="M36" s="64">
        <v>99.999999999999986</v>
      </c>
    </row>
    <row r="37" spans="1:13" x14ac:dyDescent="0.3">
      <c r="A37" t="s">
        <v>59</v>
      </c>
      <c r="B37" t="s">
        <v>0</v>
      </c>
      <c r="C37" t="s">
        <v>112</v>
      </c>
      <c r="D37" t="s">
        <v>33</v>
      </c>
      <c r="E37">
        <v>28.795298726738491</v>
      </c>
      <c r="H37" s="61" t="s">
        <v>100</v>
      </c>
      <c r="I37" s="62">
        <v>17.768688438251932</v>
      </c>
      <c r="J37" s="62">
        <v>55.871418976566062</v>
      </c>
      <c r="K37" s="62">
        <v>23.881611165099219</v>
      </c>
      <c r="L37" s="62">
        <v>2.4782814200827961</v>
      </c>
      <c r="M37" s="64">
        <v>100</v>
      </c>
    </row>
    <row r="38" spans="1:13" x14ac:dyDescent="0.3">
      <c r="A38" t="s">
        <v>59</v>
      </c>
      <c r="B38" t="s">
        <v>0</v>
      </c>
      <c r="C38" t="s">
        <v>113</v>
      </c>
      <c r="D38" t="s">
        <v>33</v>
      </c>
      <c r="E38">
        <v>35.670607984628766</v>
      </c>
      <c r="H38" s="61" t="s">
        <v>101</v>
      </c>
      <c r="I38" s="62">
        <v>31.814982403217691</v>
      </c>
      <c r="J38" s="62">
        <v>53.745600804424342</v>
      </c>
      <c r="K38" s="62">
        <v>12.941176470588241</v>
      </c>
      <c r="L38" s="62">
        <v>1.498240321769734</v>
      </c>
      <c r="M38" s="64">
        <v>100</v>
      </c>
    </row>
    <row r="39" spans="1:13" x14ac:dyDescent="0.3">
      <c r="A39" t="s">
        <v>59</v>
      </c>
      <c r="B39" t="s">
        <v>0</v>
      </c>
      <c r="C39" t="s">
        <v>114</v>
      </c>
      <c r="D39" t="s">
        <v>33</v>
      </c>
      <c r="E39">
        <v>16.565656565656571</v>
      </c>
      <c r="H39" s="61" t="s">
        <v>102</v>
      </c>
      <c r="I39" s="62">
        <v>40.195057848826629</v>
      </c>
      <c r="J39" s="62">
        <v>49.935273260170113</v>
      </c>
      <c r="K39" s="62">
        <v>8.4231969597153409</v>
      </c>
      <c r="L39" s="62">
        <v>1.4464719312879091</v>
      </c>
      <c r="M39" s="64">
        <v>99.999999999999986</v>
      </c>
    </row>
    <row r="40" spans="1:13" x14ac:dyDescent="0.3">
      <c r="A40" t="s">
        <v>59</v>
      </c>
      <c r="B40" t="s">
        <v>0</v>
      </c>
      <c r="C40" t="s">
        <v>115</v>
      </c>
      <c r="D40" t="s">
        <v>33</v>
      </c>
      <c r="E40">
        <v>26.4855298556745</v>
      </c>
      <c r="H40" s="61" t="s">
        <v>103</v>
      </c>
      <c r="I40" s="62">
        <v>35.132966319951663</v>
      </c>
      <c r="J40" s="62">
        <v>51.206936426627337</v>
      </c>
      <c r="K40" s="62">
        <v>11.398650658681859</v>
      </c>
      <c r="L40" s="62">
        <v>2.261446594739116</v>
      </c>
      <c r="M40" s="64">
        <v>99.999999999999972</v>
      </c>
    </row>
    <row r="41" spans="1:13" x14ac:dyDescent="0.3">
      <c r="A41" t="s">
        <v>59</v>
      </c>
      <c r="B41" t="s">
        <v>0</v>
      </c>
      <c r="C41" t="s">
        <v>116</v>
      </c>
      <c r="D41" t="s">
        <v>33</v>
      </c>
      <c r="E41">
        <v>37.06293706293706</v>
      </c>
      <c r="H41" s="61" t="s">
        <v>104</v>
      </c>
      <c r="I41" s="62">
        <v>23.18424420676708</v>
      </c>
      <c r="J41" s="62">
        <v>53.55069448060695</v>
      </c>
      <c r="K41" s="62">
        <v>20.118586940939601</v>
      </c>
      <c r="L41" s="62">
        <v>3.1464743716863661</v>
      </c>
      <c r="M41" s="64">
        <v>100</v>
      </c>
    </row>
    <row r="42" spans="1:13" x14ac:dyDescent="0.3">
      <c r="A42" t="s">
        <v>59</v>
      </c>
      <c r="B42" t="s">
        <v>69</v>
      </c>
      <c r="C42" t="s">
        <v>69</v>
      </c>
      <c r="D42" t="s">
        <v>34</v>
      </c>
      <c r="E42">
        <v>51.34246564593672</v>
      </c>
      <c r="H42" s="61" t="s">
        <v>105</v>
      </c>
      <c r="I42" s="62">
        <v>32.447075029406783</v>
      </c>
      <c r="J42" s="62">
        <v>46.488766393011034</v>
      </c>
      <c r="K42" s="62">
        <v>17.508155798429879</v>
      </c>
      <c r="L42" s="62">
        <v>3.5560027791523008</v>
      </c>
      <c r="M42" s="64">
        <v>99.999999999999986</v>
      </c>
    </row>
    <row r="43" spans="1:13" x14ac:dyDescent="0.3">
      <c r="A43" t="s">
        <v>59</v>
      </c>
      <c r="B43" t="s">
        <v>70</v>
      </c>
      <c r="C43" t="s">
        <v>78</v>
      </c>
      <c r="D43" t="s">
        <v>34</v>
      </c>
      <c r="E43">
        <v>50.183791811612757</v>
      </c>
      <c r="H43" s="61" t="s">
        <v>106</v>
      </c>
      <c r="I43" s="62">
        <v>21.55052592110685</v>
      </c>
      <c r="J43" s="62">
        <v>47.580815245909967</v>
      </c>
      <c r="K43" s="62">
        <v>27.376605140128301</v>
      </c>
      <c r="L43" s="62">
        <v>3.4920536928548418</v>
      </c>
      <c r="M43" s="64">
        <v>99.999999999999957</v>
      </c>
    </row>
    <row r="44" spans="1:13" x14ac:dyDescent="0.3">
      <c r="A44" t="s">
        <v>59</v>
      </c>
      <c r="B44" t="s">
        <v>70</v>
      </c>
      <c r="C44" t="s">
        <v>79</v>
      </c>
      <c r="D44" t="s">
        <v>34</v>
      </c>
      <c r="E44">
        <v>51.295844510110079</v>
      </c>
      <c r="H44" s="61" t="s">
        <v>114</v>
      </c>
      <c r="I44" s="62">
        <v>22.670799035152911</v>
      </c>
      <c r="J44" s="62">
        <v>53.037649334889352</v>
      </c>
      <c r="K44" s="62">
        <v>20.583574386718229</v>
      </c>
      <c r="L44" s="62">
        <v>3.7079772432394931</v>
      </c>
      <c r="M44" s="64">
        <v>99.999999999999986</v>
      </c>
    </row>
    <row r="45" spans="1:13" x14ac:dyDescent="0.3">
      <c r="A45" t="s">
        <v>59</v>
      </c>
      <c r="B45" t="s">
        <v>70</v>
      </c>
      <c r="C45" t="s">
        <v>80</v>
      </c>
      <c r="D45" t="s">
        <v>34</v>
      </c>
      <c r="E45">
        <v>52.794460828176462</v>
      </c>
      <c r="H45" s="61" t="s">
        <v>107</v>
      </c>
      <c r="I45" s="62">
        <v>28.26113496543228</v>
      </c>
      <c r="J45" s="62">
        <v>51.37278538963043</v>
      </c>
      <c r="K45" s="62">
        <v>16.702111893179818</v>
      </c>
      <c r="L45" s="62">
        <v>3.6639677517574651</v>
      </c>
      <c r="M45" s="64">
        <v>100</v>
      </c>
    </row>
    <row r="46" spans="1:13" x14ac:dyDescent="0.3">
      <c r="A46" t="s">
        <v>59</v>
      </c>
      <c r="B46" t="s">
        <v>70</v>
      </c>
      <c r="C46" t="s">
        <v>81</v>
      </c>
      <c r="D46" t="s">
        <v>34</v>
      </c>
      <c r="E46">
        <v>51.554518899794672</v>
      </c>
      <c r="H46" s="61" t="s">
        <v>108</v>
      </c>
      <c r="I46" s="62">
        <v>28.856115547254181</v>
      </c>
      <c r="J46" s="62">
        <v>53.464496859319269</v>
      </c>
      <c r="K46" s="62">
        <v>14.26690764851271</v>
      </c>
      <c r="L46" s="62">
        <v>3.4124799449138341</v>
      </c>
      <c r="M46" s="64">
        <v>100</v>
      </c>
    </row>
    <row r="47" spans="1:13" x14ac:dyDescent="0.3">
      <c r="A47" t="s">
        <v>59</v>
      </c>
      <c r="B47" t="s">
        <v>71</v>
      </c>
      <c r="C47" t="s">
        <v>82</v>
      </c>
      <c r="D47" t="s">
        <v>34</v>
      </c>
      <c r="E47">
        <v>53.240783544211453</v>
      </c>
      <c r="H47" s="61" t="s">
        <v>109</v>
      </c>
      <c r="I47" s="62">
        <v>32.183474412266243</v>
      </c>
      <c r="J47" s="62">
        <v>49.857505642156703</v>
      </c>
      <c r="K47" s="62">
        <v>15.21764434542963</v>
      </c>
      <c r="L47" s="62">
        <v>2.7413756001474039</v>
      </c>
      <c r="M47" s="64">
        <v>99.999999999999986</v>
      </c>
    </row>
    <row r="48" spans="1:13" x14ac:dyDescent="0.3">
      <c r="A48" t="s">
        <v>59</v>
      </c>
      <c r="B48" t="s">
        <v>71</v>
      </c>
      <c r="C48" t="s">
        <v>83</v>
      </c>
      <c r="D48" t="s">
        <v>34</v>
      </c>
      <c r="E48">
        <v>51.377284989107572</v>
      </c>
      <c r="H48" s="61" t="s">
        <v>110</v>
      </c>
      <c r="I48" s="62">
        <v>18.938521343247</v>
      </c>
      <c r="J48" s="62">
        <v>51.671167856165233</v>
      </c>
      <c r="K48" s="62">
        <v>24.232022125381839</v>
      </c>
      <c r="L48" s="62">
        <v>5.1582886752059194</v>
      </c>
      <c r="M48" s="64">
        <v>99.999999999999986</v>
      </c>
    </row>
    <row r="49" spans="1:13" x14ac:dyDescent="0.3">
      <c r="A49" t="s">
        <v>59</v>
      </c>
      <c r="B49" t="s">
        <v>71</v>
      </c>
      <c r="C49" t="s">
        <v>84</v>
      </c>
      <c r="D49" t="s">
        <v>34</v>
      </c>
      <c r="E49">
        <v>49.752485826056457</v>
      </c>
      <c r="H49" s="61" t="s">
        <v>111</v>
      </c>
      <c r="I49" s="62">
        <v>27.230298120771138</v>
      </c>
      <c r="J49" s="62">
        <v>48.114393234620643</v>
      </c>
      <c r="K49" s="62">
        <v>20.29490955964727</v>
      </c>
      <c r="L49" s="62">
        <v>4.3603990849609602</v>
      </c>
      <c r="M49" s="64">
        <v>100</v>
      </c>
    </row>
    <row r="50" spans="1:13" x14ac:dyDescent="0.3">
      <c r="A50" t="s">
        <v>59</v>
      </c>
      <c r="B50" t="s">
        <v>71</v>
      </c>
      <c r="C50" t="s">
        <v>85</v>
      </c>
      <c r="D50" t="s">
        <v>34</v>
      </c>
      <c r="E50">
        <v>52.232703126661193</v>
      </c>
      <c r="H50" s="61" t="s">
        <v>113</v>
      </c>
      <c r="I50" s="62">
        <v>37.316179998367147</v>
      </c>
      <c r="J50" s="62">
        <v>48.917233059839347</v>
      </c>
      <c r="K50" s="62">
        <v>11.91075400471861</v>
      </c>
      <c r="L50" s="62">
        <v>1.8558329370748821</v>
      </c>
      <c r="M50" s="64">
        <v>99.999999999999986</v>
      </c>
    </row>
    <row r="51" spans="1:13" x14ac:dyDescent="0.3">
      <c r="A51" t="s">
        <v>59</v>
      </c>
      <c r="B51" t="s">
        <v>72</v>
      </c>
      <c r="C51" t="s">
        <v>86</v>
      </c>
      <c r="D51" t="s">
        <v>34</v>
      </c>
      <c r="E51">
        <v>51.246950926954312</v>
      </c>
      <c r="H51" s="61" t="s">
        <v>112</v>
      </c>
      <c r="I51" s="62">
        <v>24.831189542244609</v>
      </c>
      <c r="J51" s="62">
        <v>62.010226133750933</v>
      </c>
      <c r="K51" s="62">
        <v>11.78530932709724</v>
      </c>
      <c r="L51" s="62">
        <v>1.3732749969072231</v>
      </c>
      <c r="M51" s="64">
        <v>100</v>
      </c>
    </row>
    <row r="52" spans="1:13" x14ac:dyDescent="0.3">
      <c r="A52" t="s">
        <v>59</v>
      </c>
      <c r="B52" t="s">
        <v>72</v>
      </c>
      <c r="C52" t="s">
        <v>87</v>
      </c>
      <c r="D52" t="s">
        <v>34</v>
      </c>
      <c r="E52">
        <v>51.441749109208487</v>
      </c>
      <c r="H52" s="61" t="s">
        <v>115</v>
      </c>
      <c r="I52" s="62">
        <v>18.257051469644608</v>
      </c>
      <c r="J52" s="62">
        <v>57.497818457526087</v>
      </c>
      <c r="K52" s="62">
        <v>22.606482920428739</v>
      </c>
      <c r="L52" s="62">
        <v>1.6386471524005299</v>
      </c>
      <c r="M52" s="64">
        <v>99.999999999999943</v>
      </c>
    </row>
    <row r="53" spans="1:13" x14ac:dyDescent="0.3">
      <c r="A53" t="s">
        <v>59</v>
      </c>
      <c r="B53" t="s">
        <v>73</v>
      </c>
      <c r="C53" t="s">
        <v>88</v>
      </c>
      <c r="D53" t="s">
        <v>34</v>
      </c>
      <c r="E53">
        <v>50.878433263982323</v>
      </c>
      <c r="H53" s="61" t="s">
        <v>116</v>
      </c>
      <c r="I53" s="62">
        <v>23.529663559827419</v>
      </c>
      <c r="J53" s="62">
        <v>42.888047992637922</v>
      </c>
      <c r="K53" s="62">
        <v>26.641920191264109</v>
      </c>
      <c r="L53" s="62">
        <v>6.9403682562705669</v>
      </c>
      <c r="M53" s="64">
        <v>100</v>
      </c>
    </row>
    <row r="54" spans="1:13" ht="15.75" x14ac:dyDescent="0.25">
      <c r="A54" t="s">
        <v>59</v>
      </c>
      <c r="B54" t="s">
        <v>73</v>
      </c>
      <c r="C54" t="s">
        <v>89</v>
      </c>
      <c r="D54" t="s">
        <v>34</v>
      </c>
      <c r="E54">
        <v>52.012121684572072</v>
      </c>
      <c r="H54"/>
      <c r="I54" s="7"/>
      <c r="J54" s="7"/>
      <c r="K54" s="7"/>
      <c r="L54" s="7"/>
    </row>
    <row r="55" spans="1:13" x14ac:dyDescent="0.3">
      <c r="A55" t="s">
        <v>59</v>
      </c>
      <c r="B55" t="s">
        <v>74</v>
      </c>
      <c r="C55" t="s">
        <v>90</v>
      </c>
      <c r="D55" t="s">
        <v>34</v>
      </c>
      <c r="E55">
        <v>46.803938194907722</v>
      </c>
    </row>
    <row r="56" spans="1:13" x14ac:dyDescent="0.3">
      <c r="A56" t="s">
        <v>59</v>
      </c>
      <c r="B56" t="s">
        <v>74</v>
      </c>
      <c r="C56" t="s">
        <v>91</v>
      </c>
      <c r="D56" t="s">
        <v>34</v>
      </c>
      <c r="E56">
        <v>52.731940670672593</v>
      </c>
    </row>
    <row r="57" spans="1:13" x14ac:dyDescent="0.3">
      <c r="A57" t="s">
        <v>59</v>
      </c>
      <c r="B57" t="s">
        <v>75</v>
      </c>
      <c r="C57" t="s">
        <v>92</v>
      </c>
      <c r="D57" t="s">
        <v>34</v>
      </c>
      <c r="E57">
        <v>50.291275195401766</v>
      </c>
    </row>
    <row r="58" spans="1:13" x14ac:dyDescent="0.3">
      <c r="A58" t="s">
        <v>59</v>
      </c>
      <c r="B58" t="s">
        <v>75</v>
      </c>
      <c r="C58" t="s">
        <v>93</v>
      </c>
      <c r="D58" t="s">
        <v>34</v>
      </c>
      <c r="E58">
        <v>51.699878047301148</v>
      </c>
    </row>
    <row r="59" spans="1:13" x14ac:dyDescent="0.3">
      <c r="A59" t="s">
        <v>59</v>
      </c>
      <c r="B59" t="s">
        <v>75</v>
      </c>
      <c r="C59" t="s">
        <v>94</v>
      </c>
      <c r="D59" t="s">
        <v>34</v>
      </c>
      <c r="E59">
        <v>50.026567228533011</v>
      </c>
    </row>
    <row r="60" spans="1:13" x14ac:dyDescent="0.3">
      <c r="A60" t="s">
        <v>59</v>
      </c>
      <c r="B60" t="s">
        <v>75</v>
      </c>
      <c r="C60" t="s">
        <v>95</v>
      </c>
      <c r="D60" t="s">
        <v>34</v>
      </c>
      <c r="E60">
        <v>52.938409010904373</v>
      </c>
    </row>
    <row r="61" spans="1:13" x14ac:dyDescent="0.3">
      <c r="A61" t="s">
        <v>59</v>
      </c>
      <c r="B61" t="s">
        <v>76</v>
      </c>
      <c r="C61" t="s">
        <v>96</v>
      </c>
      <c r="D61" t="s">
        <v>34</v>
      </c>
      <c r="E61"/>
    </row>
    <row r="62" spans="1:13" x14ac:dyDescent="0.3">
      <c r="A62" t="s">
        <v>59</v>
      </c>
      <c r="B62" t="s">
        <v>76</v>
      </c>
      <c r="C62" t="s">
        <v>97</v>
      </c>
      <c r="D62" t="s">
        <v>34</v>
      </c>
      <c r="E62"/>
    </row>
    <row r="63" spans="1:13" x14ac:dyDescent="0.3">
      <c r="A63" t="s">
        <v>59</v>
      </c>
      <c r="B63" t="s">
        <v>76</v>
      </c>
      <c r="C63" t="s">
        <v>98</v>
      </c>
      <c r="D63" t="s">
        <v>34</v>
      </c>
      <c r="E63"/>
    </row>
    <row r="64" spans="1:13" x14ac:dyDescent="0.3">
      <c r="A64" t="s">
        <v>59</v>
      </c>
      <c r="B64" t="s">
        <v>0</v>
      </c>
      <c r="C64" t="s">
        <v>99</v>
      </c>
      <c r="D64" t="s">
        <v>34</v>
      </c>
      <c r="E64">
        <v>40.990606319385137</v>
      </c>
    </row>
    <row r="65" spans="1:5" x14ac:dyDescent="0.3">
      <c r="A65" t="s">
        <v>59</v>
      </c>
      <c r="B65" t="s">
        <v>0</v>
      </c>
      <c r="C65" t="s">
        <v>100</v>
      </c>
      <c r="D65" t="s">
        <v>34</v>
      </c>
      <c r="E65">
        <v>66.237113402061851</v>
      </c>
    </row>
    <row r="66" spans="1:5" x14ac:dyDescent="0.3">
      <c r="A66" t="s">
        <v>59</v>
      </c>
      <c r="B66" t="s">
        <v>0</v>
      </c>
      <c r="C66" t="s">
        <v>101</v>
      </c>
      <c r="D66" t="s">
        <v>34</v>
      </c>
      <c r="E66">
        <v>54.098360655737707</v>
      </c>
    </row>
    <row r="67" spans="1:5" x14ac:dyDescent="0.3">
      <c r="A67" t="s">
        <v>59</v>
      </c>
      <c r="B67" t="s">
        <v>0</v>
      </c>
      <c r="C67" t="s">
        <v>102</v>
      </c>
      <c r="D67" t="s">
        <v>34</v>
      </c>
      <c r="E67">
        <v>53.936967252240272</v>
      </c>
    </row>
    <row r="68" spans="1:5" x14ac:dyDescent="0.3">
      <c r="A68" t="s">
        <v>59</v>
      </c>
      <c r="B68" t="s">
        <v>0</v>
      </c>
      <c r="C68" t="s">
        <v>103</v>
      </c>
      <c r="D68" t="s">
        <v>34</v>
      </c>
      <c r="E68">
        <v>52.269026321191902</v>
      </c>
    </row>
    <row r="69" spans="1:5" x14ac:dyDescent="0.3">
      <c r="A69" t="s">
        <v>59</v>
      </c>
      <c r="B69" t="s">
        <v>0</v>
      </c>
      <c r="C69" t="s">
        <v>104</v>
      </c>
      <c r="D69" t="s">
        <v>34</v>
      </c>
      <c r="E69">
        <v>61.967545638945232</v>
      </c>
    </row>
    <row r="70" spans="1:5" x14ac:dyDescent="0.3">
      <c r="A70" t="s">
        <v>59</v>
      </c>
      <c r="B70" t="s">
        <v>0</v>
      </c>
      <c r="C70" t="s">
        <v>105</v>
      </c>
      <c r="D70" t="s">
        <v>34</v>
      </c>
      <c r="E70"/>
    </row>
    <row r="71" spans="1:5" x14ac:dyDescent="0.3">
      <c r="A71" t="s">
        <v>59</v>
      </c>
      <c r="B71" t="s">
        <v>0</v>
      </c>
      <c r="C71" t="s">
        <v>106</v>
      </c>
      <c r="D71" t="s">
        <v>34</v>
      </c>
      <c r="E71">
        <v>54.946996466431102</v>
      </c>
    </row>
    <row r="72" spans="1:5" x14ac:dyDescent="0.3">
      <c r="A72" t="s">
        <v>59</v>
      </c>
      <c r="B72" t="s">
        <v>0</v>
      </c>
      <c r="C72" t="s">
        <v>107</v>
      </c>
      <c r="D72" t="s">
        <v>34</v>
      </c>
      <c r="E72">
        <v>38.213132400430567</v>
      </c>
    </row>
    <row r="73" spans="1:5" x14ac:dyDescent="0.3">
      <c r="A73" t="s">
        <v>59</v>
      </c>
      <c r="B73" t="s">
        <v>0</v>
      </c>
      <c r="C73" t="s">
        <v>108</v>
      </c>
      <c r="D73" t="s">
        <v>34</v>
      </c>
      <c r="E73">
        <v>59.958720330237362</v>
      </c>
    </row>
    <row r="74" spans="1:5" x14ac:dyDescent="0.3">
      <c r="A74" t="s">
        <v>59</v>
      </c>
      <c r="B74" t="s">
        <v>0</v>
      </c>
      <c r="C74" t="s">
        <v>109</v>
      </c>
      <c r="D74" t="s">
        <v>34</v>
      </c>
      <c r="E74">
        <v>39.182915506035279</v>
      </c>
    </row>
    <row r="75" spans="1:5" x14ac:dyDescent="0.3">
      <c r="A75" t="s">
        <v>59</v>
      </c>
      <c r="B75" t="s">
        <v>0</v>
      </c>
      <c r="C75" t="s">
        <v>110</v>
      </c>
      <c r="D75" t="s">
        <v>34</v>
      </c>
      <c r="E75">
        <v>43.248730964467001</v>
      </c>
    </row>
    <row r="76" spans="1:5" x14ac:dyDescent="0.3">
      <c r="A76" t="s">
        <v>59</v>
      </c>
      <c r="B76" t="s">
        <v>0</v>
      </c>
      <c r="C76" t="s">
        <v>111</v>
      </c>
      <c r="D76" t="s">
        <v>34</v>
      </c>
      <c r="E76">
        <v>58.458458458458459</v>
      </c>
    </row>
    <row r="77" spans="1:5" x14ac:dyDescent="0.3">
      <c r="A77" t="s">
        <v>59</v>
      </c>
      <c r="B77" t="s">
        <v>0</v>
      </c>
      <c r="C77" t="s">
        <v>112</v>
      </c>
      <c r="D77" t="s">
        <v>34</v>
      </c>
      <c r="E77">
        <v>57.002938295788439</v>
      </c>
    </row>
    <row r="78" spans="1:5" x14ac:dyDescent="0.3">
      <c r="A78" t="s">
        <v>59</v>
      </c>
      <c r="B78" t="s">
        <v>0</v>
      </c>
      <c r="C78" t="s">
        <v>113</v>
      </c>
      <c r="D78" t="s">
        <v>34</v>
      </c>
      <c r="E78">
        <v>52.356206910253668</v>
      </c>
    </row>
    <row r="79" spans="1:5" x14ac:dyDescent="0.3">
      <c r="A79" t="s">
        <v>59</v>
      </c>
      <c r="B79" t="s">
        <v>0</v>
      </c>
      <c r="C79" t="s">
        <v>114</v>
      </c>
      <c r="D79" t="s">
        <v>34</v>
      </c>
      <c r="E79">
        <v>44.343434343434353</v>
      </c>
    </row>
    <row r="80" spans="1:5" x14ac:dyDescent="0.3">
      <c r="A80" t="s">
        <v>59</v>
      </c>
      <c r="B80" t="s">
        <v>0</v>
      </c>
      <c r="C80" t="s">
        <v>115</v>
      </c>
      <c r="D80" t="s">
        <v>34</v>
      </c>
      <c r="E80">
        <v>52.386269496964417</v>
      </c>
    </row>
    <row r="81" spans="1:5" x14ac:dyDescent="0.3">
      <c r="A81" t="s">
        <v>59</v>
      </c>
      <c r="B81" t="s">
        <v>0</v>
      </c>
      <c r="C81" t="s">
        <v>116</v>
      </c>
      <c r="D81" t="s">
        <v>34</v>
      </c>
      <c r="E81">
        <v>48.164335664335667</v>
      </c>
    </row>
    <row r="82" spans="1:5" x14ac:dyDescent="0.3">
      <c r="A82" t="s">
        <v>59</v>
      </c>
      <c r="B82" t="s">
        <v>69</v>
      </c>
      <c r="C82" t="s">
        <v>69</v>
      </c>
      <c r="D82" t="s">
        <v>35</v>
      </c>
      <c r="E82">
        <v>14.31782436799408</v>
      </c>
    </row>
    <row r="83" spans="1:5" x14ac:dyDescent="0.3">
      <c r="A83" t="s">
        <v>59</v>
      </c>
      <c r="B83" t="s">
        <v>70</v>
      </c>
      <c r="C83" t="s">
        <v>78</v>
      </c>
      <c r="D83" t="s">
        <v>35</v>
      </c>
      <c r="E83">
        <v>13.75438736465372</v>
      </c>
    </row>
    <row r="84" spans="1:5" x14ac:dyDescent="0.3">
      <c r="A84" t="s">
        <v>59</v>
      </c>
      <c r="B84" t="s">
        <v>70</v>
      </c>
      <c r="C84" t="s">
        <v>79</v>
      </c>
      <c r="D84" t="s">
        <v>35</v>
      </c>
      <c r="E84">
        <v>13.565057988841829</v>
      </c>
    </row>
    <row r="85" spans="1:5" x14ac:dyDescent="0.3">
      <c r="A85" t="s">
        <v>59</v>
      </c>
      <c r="B85" t="s">
        <v>70</v>
      </c>
      <c r="C85" t="s">
        <v>80</v>
      </c>
      <c r="D85" t="s">
        <v>35</v>
      </c>
      <c r="E85">
        <v>14.556501488565649</v>
      </c>
    </row>
    <row r="86" spans="1:5" x14ac:dyDescent="0.3">
      <c r="A86" t="s">
        <v>59</v>
      </c>
      <c r="B86" t="s">
        <v>70</v>
      </c>
      <c r="C86" t="s">
        <v>81</v>
      </c>
      <c r="D86" t="s">
        <v>35</v>
      </c>
      <c r="E86">
        <v>15.62157813256791</v>
      </c>
    </row>
    <row r="87" spans="1:5" x14ac:dyDescent="0.3">
      <c r="A87" t="s">
        <v>59</v>
      </c>
      <c r="B87" t="s">
        <v>71</v>
      </c>
      <c r="C87" t="s">
        <v>82</v>
      </c>
      <c r="D87" t="s">
        <v>35</v>
      </c>
      <c r="E87">
        <v>13.913345522113209</v>
      </c>
    </row>
    <row r="88" spans="1:5" x14ac:dyDescent="0.3">
      <c r="A88" t="s">
        <v>59</v>
      </c>
      <c r="B88" t="s">
        <v>71</v>
      </c>
      <c r="C88" t="s">
        <v>83</v>
      </c>
      <c r="D88" t="s">
        <v>35</v>
      </c>
      <c r="E88">
        <v>15.10843142482361</v>
      </c>
    </row>
    <row r="89" spans="1:5" x14ac:dyDescent="0.3">
      <c r="A89" t="s">
        <v>59</v>
      </c>
      <c r="B89" t="s">
        <v>71</v>
      </c>
      <c r="C89" t="s">
        <v>84</v>
      </c>
      <c r="D89" t="s">
        <v>35</v>
      </c>
      <c r="E89">
        <v>14.032502250995501</v>
      </c>
    </row>
    <row r="90" spans="1:5" x14ac:dyDescent="0.3">
      <c r="A90" t="s">
        <v>59</v>
      </c>
      <c r="B90" t="s">
        <v>71</v>
      </c>
      <c r="C90" t="s">
        <v>85</v>
      </c>
      <c r="D90" t="s">
        <v>35</v>
      </c>
      <c r="E90">
        <v>11.78990357009784</v>
      </c>
    </row>
    <row r="91" spans="1:5" x14ac:dyDescent="0.3">
      <c r="A91" t="s">
        <v>59</v>
      </c>
      <c r="B91" t="s">
        <v>72</v>
      </c>
      <c r="C91" t="s">
        <v>86</v>
      </c>
      <c r="D91" t="s">
        <v>35</v>
      </c>
      <c r="E91">
        <v>13.43380046846293</v>
      </c>
    </row>
    <row r="92" spans="1:5" x14ac:dyDescent="0.3">
      <c r="A92" t="s">
        <v>59</v>
      </c>
      <c r="B92" t="s">
        <v>72</v>
      </c>
      <c r="C92" t="s">
        <v>87</v>
      </c>
      <c r="D92" t="s">
        <v>35</v>
      </c>
      <c r="E92">
        <v>15.236729383844621</v>
      </c>
    </row>
    <row r="93" spans="1:5" x14ac:dyDescent="0.3">
      <c r="A93" t="s">
        <v>59</v>
      </c>
      <c r="B93" t="s">
        <v>73</v>
      </c>
      <c r="C93" t="s">
        <v>88</v>
      </c>
      <c r="D93" t="s">
        <v>35</v>
      </c>
      <c r="E93">
        <v>14.35189225491461</v>
      </c>
    </row>
    <row r="94" spans="1:5" x14ac:dyDescent="0.3">
      <c r="A94" t="s">
        <v>59</v>
      </c>
      <c r="B94" t="s">
        <v>73</v>
      </c>
      <c r="C94" t="s">
        <v>89</v>
      </c>
      <c r="D94" t="s">
        <v>35</v>
      </c>
      <c r="E94">
        <v>14.167175608361751</v>
      </c>
    </row>
    <row r="95" spans="1:5" x14ac:dyDescent="0.3">
      <c r="A95" t="s">
        <v>59</v>
      </c>
      <c r="B95" t="s">
        <v>74</v>
      </c>
      <c r="C95" t="s">
        <v>90</v>
      </c>
      <c r="D95" t="s">
        <v>35</v>
      </c>
      <c r="E95">
        <v>17.402847306132308</v>
      </c>
    </row>
    <row r="96" spans="1:5" x14ac:dyDescent="0.3">
      <c r="A96" t="s">
        <v>59</v>
      </c>
      <c r="B96" t="s">
        <v>74</v>
      </c>
      <c r="C96" t="s">
        <v>91</v>
      </c>
      <c r="D96" t="s">
        <v>35</v>
      </c>
      <c r="E96">
        <v>13.326941861437639</v>
      </c>
    </row>
    <row r="97" spans="1:5" x14ac:dyDescent="0.3">
      <c r="A97" t="s">
        <v>59</v>
      </c>
      <c r="B97" t="s">
        <v>75</v>
      </c>
      <c r="C97" t="s">
        <v>92</v>
      </c>
      <c r="D97" t="s">
        <v>35</v>
      </c>
      <c r="E97">
        <v>14.87264246462181</v>
      </c>
    </row>
    <row r="98" spans="1:5" x14ac:dyDescent="0.3">
      <c r="A98" t="s">
        <v>59</v>
      </c>
      <c r="B98" t="s">
        <v>75</v>
      </c>
      <c r="C98" t="s">
        <v>93</v>
      </c>
      <c r="D98" t="s">
        <v>35</v>
      </c>
      <c r="E98">
        <v>14.66726155283345</v>
      </c>
    </row>
    <row r="99" spans="1:5" x14ac:dyDescent="0.3">
      <c r="A99" t="s">
        <v>59</v>
      </c>
      <c r="B99" t="s">
        <v>75</v>
      </c>
      <c r="C99" t="s">
        <v>94</v>
      </c>
      <c r="D99" t="s">
        <v>35</v>
      </c>
      <c r="E99">
        <v>15.100078390292371</v>
      </c>
    </row>
    <row r="100" spans="1:5" x14ac:dyDescent="0.3">
      <c r="A100" t="s">
        <v>59</v>
      </c>
      <c r="B100" t="s">
        <v>75</v>
      </c>
      <c r="C100" t="s">
        <v>95</v>
      </c>
      <c r="D100" t="s">
        <v>35</v>
      </c>
      <c r="E100">
        <v>12.40142767927556</v>
      </c>
    </row>
    <row r="101" spans="1:5" x14ac:dyDescent="0.3">
      <c r="A101" t="s">
        <v>59</v>
      </c>
      <c r="B101" t="s">
        <v>76</v>
      </c>
      <c r="C101" t="s">
        <v>96</v>
      </c>
      <c r="D101" t="s">
        <v>35</v>
      </c>
      <c r="E101"/>
    </row>
    <row r="102" spans="1:5" x14ac:dyDescent="0.3">
      <c r="A102" t="s">
        <v>59</v>
      </c>
      <c r="B102" t="s">
        <v>76</v>
      </c>
      <c r="C102" t="s">
        <v>97</v>
      </c>
      <c r="D102" t="s">
        <v>35</v>
      </c>
      <c r="E102"/>
    </row>
    <row r="103" spans="1:5" x14ac:dyDescent="0.3">
      <c r="A103" t="s">
        <v>59</v>
      </c>
      <c r="B103" t="s">
        <v>76</v>
      </c>
      <c r="C103" t="s">
        <v>98</v>
      </c>
      <c r="D103" t="s">
        <v>35</v>
      </c>
      <c r="E103"/>
    </row>
    <row r="104" spans="1:5" x14ac:dyDescent="0.3">
      <c r="A104" t="s">
        <v>59</v>
      </c>
      <c r="B104" t="s">
        <v>0</v>
      </c>
      <c r="C104" t="s">
        <v>99</v>
      </c>
      <c r="D104" t="s">
        <v>35</v>
      </c>
      <c r="E104">
        <v>4.0990606319385154</v>
      </c>
    </row>
    <row r="105" spans="1:5" x14ac:dyDescent="0.3">
      <c r="A105" t="s">
        <v>59</v>
      </c>
      <c r="B105" t="s">
        <v>0</v>
      </c>
      <c r="C105" t="s">
        <v>100</v>
      </c>
      <c r="D105" t="s">
        <v>35</v>
      </c>
      <c r="E105">
        <v>7.6030927835051543</v>
      </c>
    </row>
    <row r="106" spans="1:5" x14ac:dyDescent="0.3">
      <c r="A106" t="s">
        <v>59</v>
      </c>
      <c r="B106" t="s">
        <v>0</v>
      </c>
      <c r="C106" t="s">
        <v>101</v>
      </c>
      <c r="D106" t="s">
        <v>35</v>
      </c>
      <c r="E106">
        <v>5.6352459016393439</v>
      </c>
    </row>
    <row r="107" spans="1:5" x14ac:dyDescent="0.3">
      <c r="A107" t="s">
        <v>59</v>
      </c>
      <c r="B107" t="s">
        <v>0</v>
      </c>
      <c r="C107" t="s">
        <v>102</v>
      </c>
      <c r="D107" t="s">
        <v>35</v>
      </c>
      <c r="E107">
        <v>9.4108241523481411</v>
      </c>
    </row>
    <row r="108" spans="1:5" x14ac:dyDescent="0.3">
      <c r="A108" t="s">
        <v>59</v>
      </c>
      <c r="B108" t="s">
        <v>0</v>
      </c>
      <c r="C108" t="s">
        <v>103</v>
      </c>
      <c r="D108" t="s">
        <v>35</v>
      </c>
      <c r="E108">
        <v>8.6394257407502106</v>
      </c>
    </row>
    <row r="109" spans="1:5" x14ac:dyDescent="0.3">
      <c r="A109" t="s">
        <v>59</v>
      </c>
      <c r="B109" t="s">
        <v>0</v>
      </c>
      <c r="C109" t="s">
        <v>104</v>
      </c>
      <c r="D109" t="s">
        <v>35</v>
      </c>
      <c r="E109">
        <v>14.401622718052741</v>
      </c>
    </row>
    <row r="110" spans="1:5" x14ac:dyDescent="0.3">
      <c r="A110" t="s">
        <v>59</v>
      </c>
      <c r="B110" t="s">
        <v>0</v>
      </c>
      <c r="C110" t="s">
        <v>105</v>
      </c>
      <c r="D110" t="s">
        <v>35</v>
      </c>
      <c r="E110"/>
    </row>
    <row r="111" spans="1:5" x14ac:dyDescent="0.3">
      <c r="A111" t="s">
        <v>59</v>
      </c>
      <c r="B111" t="s">
        <v>0</v>
      </c>
      <c r="C111" t="s">
        <v>106</v>
      </c>
      <c r="D111" t="s">
        <v>35</v>
      </c>
      <c r="E111">
        <v>8.0388692579505303</v>
      </c>
    </row>
    <row r="112" spans="1:5" x14ac:dyDescent="0.3">
      <c r="A112" t="s">
        <v>59</v>
      </c>
      <c r="B112" t="s">
        <v>0</v>
      </c>
      <c r="C112" t="s">
        <v>107</v>
      </c>
      <c r="D112" t="s">
        <v>35</v>
      </c>
      <c r="E112">
        <v>26.372443487621101</v>
      </c>
    </row>
    <row r="113" spans="1:5" x14ac:dyDescent="0.3">
      <c r="A113" t="s">
        <v>59</v>
      </c>
      <c r="B113" t="s">
        <v>0</v>
      </c>
      <c r="C113" t="s">
        <v>108</v>
      </c>
      <c r="D113" t="s">
        <v>35</v>
      </c>
      <c r="E113">
        <v>15.170278637770901</v>
      </c>
    </row>
    <row r="114" spans="1:5" x14ac:dyDescent="0.3">
      <c r="A114" t="s">
        <v>59</v>
      </c>
      <c r="B114" t="s">
        <v>0</v>
      </c>
      <c r="C114" t="s">
        <v>109</v>
      </c>
      <c r="D114" t="s">
        <v>35</v>
      </c>
      <c r="E114">
        <v>23.212627669452178</v>
      </c>
    </row>
    <row r="115" spans="1:5" x14ac:dyDescent="0.3">
      <c r="A115" t="s">
        <v>59</v>
      </c>
      <c r="B115" t="s">
        <v>0</v>
      </c>
      <c r="C115" t="s">
        <v>110</v>
      </c>
      <c r="D115" t="s">
        <v>35</v>
      </c>
      <c r="E115">
        <v>24.771573604060919</v>
      </c>
    </row>
    <row r="116" spans="1:5" x14ac:dyDescent="0.3">
      <c r="A116" t="s">
        <v>59</v>
      </c>
      <c r="B116" t="s">
        <v>0</v>
      </c>
      <c r="C116" t="s">
        <v>111</v>
      </c>
      <c r="D116" t="s">
        <v>35</v>
      </c>
      <c r="E116">
        <v>18.518518518518519</v>
      </c>
    </row>
    <row r="117" spans="1:5" x14ac:dyDescent="0.3">
      <c r="A117" t="s">
        <v>59</v>
      </c>
      <c r="B117" t="s">
        <v>0</v>
      </c>
      <c r="C117" t="s">
        <v>112</v>
      </c>
      <c r="D117" t="s">
        <v>35</v>
      </c>
      <c r="E117">
        <v>12.242899118511261</v>
      </c>
    </row>
    <row r="118" spans="1:5" x14ac:dyDescent="0.3">
      <c r="A118" t="s">
        <v>59</v>
      </c>
      <c r="B118" t="s">
        <v>0</v>
      </c>
      <c r="C118" t="s">
        <v>113</v>
      </c>
      <c r="D118" t="s">
        <v>35</v>
      </c>
      <c r="E118">
        <v>6.9909029327375389</v>
      </c>
    </row>
    <row r="119" spans="1:5" x14ac:dyDescent="0.3">
      <c r="A119" t="s">
        <v>59</v>
      </c>
      <c r="B119" t="s">
        <v>0</v>
      </c>
      <c r="C119" t="s">
        <v>114</v>
      </c>
      <c r="D119" t="s">
        <v>35</v>
      </c>
      <c r="E119">
        <v>30.404040404040408</v>
      </c>
    </row>
    <row r="120" spans="1:5" x14ac:dyDescent="0.3">
      <c r="A120" t="s">
        <v>59</v>
      </c>
      <c r="B120" t="s">
        <v>0</v>
      </c>
      <c r="C120" t="s">
        <v>115</v>
      </c>
      <c r="D120" t="s">
        <v>35</v>
      </c>
      <c r="E120">
        <v>17.59984614393905</v>
      </c>
    </row>
    <row r="121" spans="1:5" x14ac:dyDescent="0.3">
      <c r="A121" t="s">
        <v>59</v>
      </c>
      <c r="B121" t="s">
        <v>0</v>
      </c>
      <c r="C121" t="s">
        <v>116</v>
      </c>
      <c r="D121" t="s">
        <v>35</v>
      </c>
      <c r="E121">
        <v>10.4020979020979</v>
      </c>
    </row>
    <row r="122" spans="1:5" x14ac:dyDescent="0.3">
      <c r="A122" t="s">
        <v>59</v>
      </c>
      <c r="B122" t="s">
        <v>69</v>
      </c>
      <c r="C122" t="s">
        <v>69</v>
      </c>
      <c r="D122" t="s">
        <v>36</v>
      </c>
      <c r="E122">
        <v>5.1970213642146499</v>
      </c>
    </row>
    <row r="123" spans="1:5" x14ac:dyDescent="0.3">
      <c r="A123" t="s">
        <v>59</v>
      </c>
      <c r="B123" t="s">
        <v>70</v>
      </c>
      <c r="C123" t="s">
        <v>78</v>
      </c>
      <c r="D123" t="s">
        <v>36</v>
      </c>
      <c r="E123">
        <v>6.1770843877839754</v>
      </c>
    </row>
    <row r="124" spans="1:5" x14ac:dyDescent="0.3">
      <c r="A124" t="s">
        <v>59</v>
      </c>
      <c r="B124" t="s">
        <v>70</v>
      </c>
      <c r="C124" t="s">
        <v>79</v>
      </c>
      <c r="D124" t="s">
        <v>36</v>
      </c>
      <c r="E124">
        <v>5.0810858722225003</v>
      </c>
    </row>
    <row r="125" spans="1:5" x14ac:dyDescent="0.3">
      <c r="A125" t="s">
        <v>59</v>
      </c>
      <c r="B125" t="s">
        <v>70</v>
      </c>
      <c r="C125" t="s">
        <v>80</v>
      </c>
      <c r="D125" t="s">
        <v>36</v>
      </c>
      <c r="E125">
        <v>4.6423848598842898</v>
      </c>
    </row>
    <row r="126" spans="1:5" x14ac:dyDescent="0.3">
      <c r="A126" t="s">
        <v>59</v>
      </c>
      <c r="B126" t="s">
        <v>70</v>
      </c>
      <c r="C126" t="s">
        <v>81</v>
      </c>
      <c r="D126" t="s">
        <v>36</v>
      </c>
      <c r="E126">
        <v>4.9474969029501121</v>
      </c>
    </row>
    <row r="127" spans="1:5" x14ac:dyDescent="0.3">
      <c r="A127" t="s">
        <v>59</v>
      </c>
      <c r="B127" t="s">
        <v>71</v>
      </c>
      <c r="C127" t="s">
        <v>82</v>
      </c>
      <c r="D127" t="s">
        <v>36</v>
      </c>
      <c r="E127">
        <v>5.0821709792823846</v>
      </c>
    </row>
    <row r="128" spans="1:5" x14ac:dyDescent="0.3">
      <c r="A128" t="s">
        <v>59</v>
      </c>
      <c r="B128" t="s">
        <v>71</v>
      </c>
      <c r="C128" t="s">
        <v>83</v>
      </c>
      <c r="D128" t="s">
        <v>36</v>
      </c>
      <c r="E128">
        <v>6.0371378493003576</v>
      </c>
    </row>
    <row r="129" spans="1:5" x14ac:dyDescent="0.3">
      <c r="A129" t="s">
        <v>59</v>
      </c>
      <c r="B129" t="s">
        <v>71</v>
      </c>
      <c r="C129" t="s">
        <v>84</v>
      </c>
      <c r="D129" t="s">
        <v>36</v>
      </c>
      <c r="E129">
        <v>4.4070182645172249</v>
      </c>
    </row>
    <row r="130" spans="1:5" x14ac:dyDescent="0.3">
      <c r="A130" t="s">
        <v>59</v>
      </c>
      <c r="B130" t="s">
        <v>71</v>
      </c>
      <c r="C130" t="s">
        <v>85</v>
      </c>
      <c r="D130" t="s">
        <v>36</v>
      </c>
      <c r="E130">
        <v>3.9230243559531348</v>
      </c>
    </row>
    <row r="131" spans="1:5" x14ac:dyDescent="0.3">
      <c r="A131" t="s">
        <v>59</v>
      </c>
      <c r="B131" t="s">
        <v>72</v>
      </c>
      <c r="C131" t="s">
        <v>86</v>
      </c>
      <c r="D131" t="s">
        <v>36</v>
      </c>
      <c r="E131">
        <v>5.1211252831990288</v>
      </c>
    </row>
    <row r="132" spans="1:5" x14ac:dyDescent="0.3">
      <c r="A132" t="s">
        <v>59</v>
      </c>
      <c r="B132" t="s">
        <v>72</v>
      </c>
      <c r="C132" t="s">
        <v>87</v>
      </c>
      <c r="D132" t="s">
        <v>36</v>
      </c>
      <c r="E132">
        <v>5.275912092808797</v>
      </c>
    </row>
    <row r="133" spans="1:5" x14ac:dyDescent="0.3">
      <c r="A133" t="s">
        <v>59</v>
      </c>
      <c r="B133" t="s">
        <v>73</v>
      </c>
      <c r="C133" t="s">
        <v>88</v>
      </c>
      <c r="D133" t="s">
        <v>36</v>
      </c>
      <c r="E133">
        <v>5.1420021568428567</v>
      </c>
    </row>
    <row r="134" spans="1:5" x14ac:dyDescent="0.3">
      <c r="A134" t="s">
        <v>59</v>
      </c>
      <c r="B134" t="s">
        <v>73</v>
      </c>
      <c r="C134" t="s">
        <v>89</v>
      </c>
      <c r="D134" t="s">
        <v>36</v>
      </c>
      <c r="E134">
        <v>5.1812971952575007</v>
      </c>
    </row>
    <row r="135" spans="1:5" x14ac:dyDescent="0.3">
      <c r="A135" t="s">
        <v>59</v>
      </c>
      <c r="B135" t="s">
        <v>74</v>
      </c>
      <c r="C135" t="s">
        <v>90</v>
      </c>
      <c r="D135" t="s">
        <v>36</v>
      </c>
      <c r="E135">
        <v>6.066342618125196</v>
      </c>
    </row>
    <row r="136" spans="1:5" x14ac:dyDescent="0.3">
      <c r="A136" t="s">
        <v>59</v>
      </c>
      <c r="B136" t="s">
        <v>74</v>
      </c>
      <c r="C136" t="s">
        <v>91</v>
      </c>
      <c r="D136" t="s">
        <v>36</v>
      </c>
      <c r="E136">
        <v>4.8937381475705601</v>
      </c>
    </row>
    <row r="137" spans="1:5" x14ac:dyDescent="0.3">
      <c r="A137" t="s">
        <v>59</v>
      </c>
      <c r="B137" t="s">
        <v>75</v>
      </c>
      <c r="C137" t="s">
        <v>92</v>
      </c>
      <c r="D137" t="s">
        <v>36</v>
      </c>
      <c r="E137">
        <v>5.3338276118587604</v>
      </c>
    </row>
    <row r="138" spans="1:5" x14ac:dyDescent="0.3">
      <c r="A138" t="s">
        <v>59</v>
      </c>
      <c r="B138" t="s">
        <v>75</v>
      </c>
      <c r="C138" t="s">
        <v>93</v>
      </c>
      <c r="D138" t="s">
        <v>36</v>
      </c>
      <c r="E138">
        <v>5.2006289531367891</v>
      </c>
    </row>
    <row r="139" spans="1:5" x14ac:dyDescent="0.3">
      <c r="A139" t="s">
        <v>59</v>
      </c>
      <c r="B139" t="s">
        <v>75</v>
      </c>
      <c r="C139" t="s">
        <v>94</v>
      </c>
      <c r="D139" t="s">
        <v>36</v>
      </c>
      <c r="E139">
        <v>6.3850300393942838</v>
      </c>
    </row>
    <row r="140" spans="1:5" x14ac:dyDescent="0.3">
      <c r="A140" t="s">
        <v>59</v>
      </c>
      <c r="B140" t="s">
        <v>75</v>
      </c>
      <c r="C140" t="s">
        <v>95</v>
      </c>
      <c r="D140" t="s">
        <v>36</v>
      </c>
      <c r="E140">
        <v>4.2704881120885121</v>
      </c>
    </row>
    <row r="141" spans="1:5" x14ac:dyDescent="0.3">
      <c r="A141" t="s">
        <v>59</v>
      </c>
      <c r="B141" t="s">
        <v>76</v>
      </c>
      <c r="C141" t="s">
        <v>96</v>
      </c>
      <c r="D141" t="s">
        <v>36</v>
      </c>
      <c r="E141"/>
    </row>
    <row r="142" spans="1:5" x14ac:dyDescent="0.3">
      <c r="A142" t="s">
        <v>59</v>
      </c>
      <c r="B142" t="s">
        <v>76</v>
      </c>
      <c r="C142" t="s">
        <v>97</v>
      </c>
      <c r="D142" t="s">
        <v>36</v>
      </c>
      <c r="E142"/>
    </row>
    <row r="143" spans="1:5" x14ac:dyDescent="0.3">
      <c r="A143" t="s">
        <v>59</v>
      </c>
      <c r="B143" t="s">
        <v>76</v>
      </c>
      <c r="C143" t="s">
        <v>98</v>
      </c>
      <c r="D143" t="s">
        <v>36</v>
      </c>
      <c r="E143"/>
    </row>
    <row r="144" spans="1:5" x14ac:dyDescent="0.3">
      <c r="A144" t="s">
        <v>59</v>
      </c>
      <c r="B144" t="s">
        <v>0</v>
      </c>
      <c r="C144" t="s">
        <v>99</v>
      </c>
      <c r="D144" t="s">
        <v>36</v>
      </c>
      <c r="E144">
        <v>0.17079419299743809</v>
      </c>
    </row>
    <row r="145" spans="1:5" x14ac:dyDescent="0.3">
      <c r="A145" t="s">
        <v>59</v>
      </c>
      <c r="B145" t="s">
        <v>0</v>
      </c>
      <c r="C145" t="s">
        <v>100</v>
      </c>
      <c r="D145" t="s">
        <v>36</v>
      </c>
      <c r="E145">
        <v>2.31958762886598</v>
      </c>
    </row>
    <row r="146" spans="1:5" x14ac:dyDescent="0.3">
      <c r="A146" t="s">
        <v>59</v>
      </c>
      <c r="B146" t="s">
        <v>0</v>
      </c>
      <c r="C146" t="s">
        <v>101</v>
      </c>
      <c r="D146" t="s">
        <v>36</v>
      </c>
      <c r="E146">
        <v>1.7418032786885249</v>
      </c>
    </row>
    <row r="147" spans="1:5" x14ac:dyDescent="0.3">
      <c r="A147" t="s">
        <v>59</v>
      </c>
      <c r="B147" t="s">
        <v>0</v>
      </c>
      <c r="C147" t="s">
        <v>102</v>
      </c>
      <c r="D147" t="s">
        <v>36</v>
      </c>
      <c r="E147">
        <v>2.1954019916651419</v>
      </c>
    </row>
    <row r="148" spans="1:5" x14ac:dyDescent="0.3">
      <c r="A148" t="s">
        <v>59</v>
      </c>
      <c r="B148" t="s">
        <v>0</v>
      </c>
      <c r="C148" t="s">
        <v>103</v>
      </c>
      <c r="D148" t="s">
        <v>36</v>
      </c>
      <c r="E148">
        <v>6.5740236686175066</v>
      </c>
    </row>
    <row r="149" spans="1:5" x14ac:dyDescent="0.3">
      <c r="A149" t="s">
        <v>59</v>
      </c>
      <c r="B149" t="s">
        <v>0</v>
      </c>
      <c r="C149" t="s">
        <v>104</v>
      </c>
      <c r="D149" t="s">
        <v>36</v>
      </c>
      <c r="E149">
        <v>8.3164300202839758</v>
      </c>
    </row>
    <row r="150" spans="1:5" x14ac:dyDescent="0.3">
      <c r="A150" t="s">
        <v>59</v>
      </c>
      <c r="B150" t="s">
        <v>0</v>
      </c>
      <c r="C150" t="s">
        <v>105</v>
      </c>
      <c r="D150" t="s">
        <v>36</v>
      </c>
      <c r="E150"/>
    </row>
    <row r="151" spans="1:5" x14ac:dyDescent="0.3">
      <c r="A151" t="s">
        <v>59</v>
      </c>
      <c r="B151" t="s">
        <v>0</v>
      </c>
      <c r="C151" t="s">
        <v>106</v>
      </c>
      <c r="D151" t="s">
        <v>36</v>
      </c>
      <c r="E151">
        <v>4.5053003533568914</v>
      </c>
    </row>
    <row r="152" spans="1:5" x14ac:dyDescent="0.3">
      <c r="A152" t="s">
        <v>59</v>
      </c>
      <c r="B152" t="s">
        <v>0</v>
      </c>
      <c r="C152" t="s">
        <v>107</v>
      </c>
      <c r="D152" t="s">
        <v>36</v>
      </c>
      <c r="E152">
        <v>10.65662002152853</v>
      </c>
    </row>
    <row r="153" spans="1:5" x14ac:dyDescent="0.3">
      <c r="A153" t="s">
        <v>59</v>
      </c>
      <c r="B153" t="s">
        <v>0</v>
      </c>
      <c r="C153" t="s">
        <v>108</v>
      </c>
      <c r="D153" t="s">
        <v>36</v>
      </c>
      <c r="E153">
        <v>9.1847265221878214</v>
      </c>
    </row>
    <row r="154" spans="1:5" x14ac:dyDescent="0.3">
      <c r="A154" t="s">
        <v>59</v>
      </c>
      <c r="B154" t="s">
        <v>0</v>
      </c>
      <c r="C154" t="s">
        <v>109</v>
      </c>
      <c r="D154" t="s">
        <v>36</v>
      </c>
      <c r="E154">
        <v>5.5710306406685239</v>
      </c>
    </row>
    <row r="155" spans="1:5" x14ac:dyDescent="0.3">
      <c r="A155" t="s">
        <v>59</v>
      </c>
      <c r="B155" t="s">
        <v>0</v>
      </c>
      <c r="C155" t="s">
        <v>110</v>
      </c>
      <c r="D155" t="s">
        <v>36</v>
      </c>
      <c r="E155">
        <v>12.69035532994924</v>
      </c>
    </row>
    <row r="156" spans="1:5" x14ac:dyDescent="0.3">
      <c r="A156" t="s">
        <v>59</v>
      </c>
      <c r="B156" t="s">
        <v>0</v>
      </c>
      <c r="C156" t="s">
        <v>111</v>
      </c>
      <c r="D156" t="s">
        <v>36</v>
      </c>
      <c r="E156">
        <v>2.402402402402402</v>
      </c>
    </row>
    <row r="157" spans="1:5" x14ac:dyDescent="0.3">
      <c r="A157" t="s">
        <v>59</v>
      </c>
      <c r="B157" t="s">
        <v>0</v>
      </c>
      <c r="C157" t="s">
        <v>112</v>
      </c>
      <c r="D157" t="s">
        <v>36</v>
      </c>
      <c r="E157">
        <v>1.9588638589618019</v>
      </c>
    </row>
    <row r="158" spans="1:5" x14ac:dyDescent="0.3">
      <c r="A158" t="s">
        <v>59</v>
      </c>
      <c r="B158" t="s">
        <v>0</v>
      </c>
      <c r="C158" t="s">
        <v>113</v>
      </c>
      <c r="D158" t="s">
        <v>36</v>
      </c>
      <c r="E158">
        <v>4.9822821723800192</v>
      </c>
    </row>
    <row r="159" spans="1:5" x14ac:dyDescent="0.3">
      <c r="A159" t="s">
        <v>59</v>
      </c>
      <c r="B159" t="s">
        <v>0</v>
      </c>
      <c r="C159" t="s">
        <v>114</v>
      </c>
      <c r="D159" t="s">
        <v>36</v>
      </c>
      <c r="E159">
        <v>8.6868686868686869</v>
      </c>
    </row>
    <row r="160" spans="1:5" x14ac:dyDescent="0.3">
      <c r="A160" t="s">
        <v>59</v>
      </c>
      <c r="B160" t="s">
        <v>0</v>
      </c>
      <c r="C160" t="s">
        <v>115</v>
      </c>
      <c r="D160" t="s">
        <v>36</v>
      </c>
      <c r="E160">
        <v>3.5283545034220332</v>
      </c>
    </row>
    <row r="161" spans="1:5" x14ac:dyDescent="0.3">
      <c r="A161" t="s">
        <v>59</v>
      </c>
      <c r="B161" t="s">
        <v>0</v>
      </c>
      <c r="C161" t="s">
        <v>116</v>
      </c>
      <c r="D161" t="s">
        <v>36</v>
      </c>
      <c r="E161">
        <v>4.3706293706293708</v>
      </c>
    </row>
    <row r="162" spans="1:5" x14ac:dyDescent="0.3">
      <c r="A162" t="s">
        <v>60</v>
      </c>
      <c r="B162" t="s">
        <v>69</v>
      </c>
      <c r="C162" t="s">
        <v>69</v>
      </c>
      <c r="D162" t="s">
        <v>33</v>
      </c>
      <c r="E162">
        <v>37.028218240335178</v>
      </c>
    </row>
    <row r="163" spans="1:5" x14ac:dyDescent="0.3">
      <c r="A163" t="s">
        <v>60</v>
      </c>
      <c r="B163" t="s">
        <v>70</v>
      </c>
      <c r="C163" t="s">
        <v>78</v>
      </c>
      <c r="D163" t="s">
        <v>33</v>
      </c>
      <c r="E163">
        <v>38.938800194869252</v>
      </c>
    </row>
    <row r="164" spans="1:5" x14ac:dyDescent="0.3">
      <c r="A164" t="s">
        <v>60</v>
      </c>
      <c r="B164" t="s">
        <v>70</v>
      </c>
      <c r="C164" t="s">
        <v>79</v>
      </c>
      <c r="D164" t="s">
        <v>33</v>
      </c>
      <c r="E164">
        <v>35.409755997443099</v>
      </c>
    </row>
    <row r="165" spans="1:5" x14ac:dyDescent="0.3">
      <c r="A165" t="s">
        <v>60</v>
      </c>
      <c r="B165" t="s">
        <v>70</v>
      </c>
      <c r="C165" t="s">
        <v>80</v>
      </c>
      <c r="D165" t="s">
        <v>33</v>
      </c>
      <c r="E165">
        <v>38.364034482175612</v>
      </c>
    </row>
    <row r="166" spans="1:5" x14ac:dyDescent="0.3">
      <c r="A166" t="s">
        <v>60</v>
      </c>
      <c r="B166" t="s">
        <v>70</v>
      </c>
      <c r="C166" t="s">
        <v>81</v>
      </c>
      <c r="D166" t="s">
        <v>33</v>
      </c>
      <c r="E166">
        <v>36.420194954154859</v>
      </c>
    </row>
    <row r="167" spans="1:5" x14ac:dyDescent="0.3">
      <c r="A167" t="s">
        <v>60</v>
      </c>
      <c r="B167" t="s">
        <v>71</v>
      </c>
      <c r="C167" t="s">
        <v>82</v>
      </c>
      <c r="D167" t="s">
        <v>33</v>
      </c>
      <c r="E167">
        <v>32.414371681305163</v>
      </c>
    </row>
    <row r="168" spans="1:5" x14ac:dyDescent="0.3">
      <c r="A168" t="s">
        <v>60</v>
      </c>
      <c r="B168" t="s">
        <v>71</v>
      </c>
      <c r="C168" t="s">
        <v>83</v>
      </c>
      <c r="D168" t="s">
        <v>33</v>
      </c>
      <c r="E168">
        <v>37.752661628274481</v>
      </c>
    </row>
    <row r="169" spans="1:5" x14ac:dyDescent="0.3">
      <c r="A169" t="s">
        <v>60</v>
      </c>
      <c r="B169" t="s">
        <v>71</v>
      </c>
      <c r="C169" t="s">
        <v>84</v>
      </c>
      <c r="D169" t="s">
        <v>33</v>
      </c>
      <c r="E169">
        <v>38.998973287878172</v>
      </c>
    </row>
    <row r="170" spans="1:5" x14ac:dyDescent="0.3">
      <c r="A170" t="s">
        <v>60</v>
      </c>
      <c r="B170" t="s">
        <v>71</v>
      </c>
      <c r="C170" t="s">
        <v>85</v>
      </c>
      <c r="D170" t="s">
        <v>33</v>
      </c>
      <c r="E170">
        <v>39.504323863210253</v>
      </c>
    </row>
    <row r="171" spans="1:5" x14ac:dyDescent="0.3">
      <c r="A171" t="s">
        <v>60</v>
      </c>
      <c r="B171" t="s">
        <v>72</v>
      </c>
      <c r="C171" t="s">
        <v>86</v>
      </c>
      <c r="D171" t="s">
        <v>33</v>
      </c>
      <c r="E171">
        <v>37.310184530464937</v>
      </c>
    </row>
    <row r="172" spans="1:5" x14ac:dyDescent="0.3">
      <c r="A172" t="s">
        <v>60</v>
      </c>
      <c r="B172" t="s">
        <v>72</v>
      </c>
      <c r="C172" t="s">
        <v>87</v>
      </c>
      <c r="D172" t="s">
        <v>33</v>
      </c>
      <c r="E172">
        <v>36.741755043075393</v>
      </c>
    </row>
    <row r="173" spans="1:5" x14ac:dyDescent="0.3">
      <c r="A173" t="s">
        <v>60</v>
      </c>
      <c r="B173" t="s">
        <v>73</v>
      </c>
      <c r="C173" t="s">
        <v>88</v>
      </c>
      <c r="D173" t="s">
        <v>33</v>
      </c>
      <c r="E173">
        <v>35.834490985171762</v>
      </c>
    </row>
    <row r="174" spans="1:5" x14ac:dyDescent="0.3">
      <c r="A174" t="s">
        <v>60</v>
      </c>
      <c r="B174" t="s">
        <v>73</v>
      </c>
      <c r="C174" t="s">
        <v>89</v>
      </c>
      <c r="D174" t="s">
        <v>33</v>
      </c>
      <c r="E174">
        <v>37.986975763633779</v>
      </c>
    </row>
    <row r="175" spans="1:5" x14ac:dyDescent="0.3">
      <c r="A175" t="s">
        <v>60</v>
      </c>
      <c r="B175" t="s">
        <v>74</v>
      </c>
      <c r="C175" t="s">
        <v>90</v>
      </c>
      <c r="D175" t="s">
        <v>33</v>
      </c>
      <c r="E175">
        <v>34.714146088406437</v>
      </c>
    </row>
    <row r="176" spans="1:5" x14ac:dyDescent="0.3">
      <c r="A176" t="s">
        <v>60</v>
      </c>
      <c r="B176" t="s">
        <v>74</v>
      </c>
      <c r="C176" t="s">
        <v>91</v>
      </c>
      <c r="D176" t="s">
        <v>33</v>
      </c>
      <c r="E176">
        <v>37.561633773363617</v>
      </c>
    </row>
    <row r="177" spans="1:5" x14ac:dyDescent="0.3">
      <c r="A177" t="s">
        <v>60</v>
      </c>
      <c r="B177" t="s">
        <v>75</v>
      </c>
      <c r="C177" t="s">
        <v>92</v>
      </c>
      <c r="D177" t="s">
        <v>33</v>
      </c>
      <c r="E177">
        <v>34.728836614047367</v>
      </c>
    </row>
    <row r="178" spans="1:5" x14ac:dyDescent="0.3">
      <c r="A178" t="s">
        <v>60</v>
      </c>
      <c r="B178" t="s">
        <v>75</v>
      </c>
      <c r="C178" t="s">
        <v>93</v>
      </c>
      <c r="D178" t="s">
        <v>33</v>
      </c>
      <c r="E178">
        <v>35.459053575398997</v>
      </c>
    </row>
    <row r="179" spans="1:5" x14ac:dyDescent="0.3">
      <c r="A179" t="s">
        <v>60</v>
      </c>
      <c r="B179" t="s">
        <v>75</v>
      </c>
      <c r="C179" t="s">
        <v>94</v>
      </c>
      <c r="D179" t="s">
        <v>33</v>
      </c>
      <c r="E179">
        <v>38.523506470265417</v>
      </c>
    </row>
    <row r="180" spans="1:5" x14ac:dyDescent="0.3">
      <c r="A180" t="s">
        <v>60</v>
      </c>
      <c r="B180" t="s">
        <v>75</v>
      </c>
      <c r="C180" t="s">
        <v>95</v>
      </c>
      <c r="D180" t="s">
        <v>33</v>
      </c>
      <c r="E180">
        <v>38.780646779713287</v>
      </c>
    </row>
    <row r="181" spans="1:5" x14ac:dyDescent="0.3">
      <c r="A181" t="s">
        <v>60</v>
      </c>
      <c r="B181" t="s">
        <v>76</v>
      </c>
      <c r="C181" t="s">
        <v>96</v>
      </c>
      <c r="D181" t="s">
        <v>33</v>
      </c>
      <c r="E181">
        <v>35.552345675065787</v>
      </c>
    </row>
    <row r="182" spans="1:5" x14ac:dyDescent="0.3">
      <c r="A182" t="s">
        <v>60</v>
      </c>
      <c r="B182" t="s">
        <v>76</v>
      </c>
      <c r="C182" t="s">
        <v>97</v>
      </c>
      <c r="D182" t="s">
        <v>33</v>
      </c>
      <c r="E182">
        <v>33.311903690610308</v>
      </c>
    </row>
    <row r="183" spans="1:5" x14ac:dyDescent="0.3">
      <c r="A183" t="s">
        <v>60</v>
      </c>
      <c r="B183" t="s">
        <v>76</v>
      </c>
      <c r="C183" t="s">
        <v>98</v>
      </c>
      <c r="D183" t="s">
        <v>33</v>
      </c>
      <c r="E183">
        <v>39.140307125105153</v>
      </c>
    </row>
    <row r="184" spans="1:5" x14ac:dyDescent="0.3">
      <c r="A184" t="s">
        <v>60</v>
      </c>
      <c r="B184" t="s">
        <v>0</v>
      </c>
      <c r="C184" t="s">
        <v>99</v>
      </c>
      <c r="D184" t="s">
        <v>33</v>
      </c>
      <c r="E184">
        <v>54.878391221008712</v>
      </c>
    </row>
    <row r="185" spans="1:5" x14ac:dyDescent="0.3">
      <c r="A185" t="s">
        <v>60</v>
      </c>
      <c r="B185" t="s">
        <v>0</v>
      </c>
      <c r="C185" t="s">
        <v>100</v>
      </c>
      <c r="D185" t="s">
        <v>33</v>
      </c>
      <c r="E185">
        <v>34.247871333964049</v>
      </c>
    </row>
    <row r="186" spans="1:5" x14ac:dyDescent="0.3">
      <c r="A186" t="s">
        <v>60</v>
      </c>
      <c r="B186" t="s">
        <v>0</v>
      </c>
      <c r="C186" t="s">
        <v>101</v>
      </c>
      <c r="D186" t="s">
        <v>33</v>
      </c>
      <c r="E186">
        <v>35.691657866948262</v>
      </c>
    </row>
    <row r="187" spans="1:5" x14ac:dyDescent="0.3">
      <c r="A187" t="s">
        <v>60</v>
      </c>
      <c r="B187" t="s">
        <v>0</v>
      </c>
      <c r="C187" t="s">
        <v>102</v>
      </c>
      <c r="D187" t="s">
        <v>33</v>
      </c>
      <c r="E187">
        <v>38.167968510459048</v>
      </c>
    </row>
    <row r="188" spans="1:5" x14ac:dyDescent="0.3">
      <c r="A188" t="s">
        <v>60</v>
      </c>
      <c r="B188" t="s">
        <v>0</v>
      </c>
      <c r="C188" t="s">
        <v>103</v>
      </c>
      <c r="D188" t="s">
        <v>33</v>
      </c>
      <c r="E188">
        <v>53.329728424451659</v>
      </c>
    </row>
    <row r="189" spans="1:5" x14ac:dyDescent="0.3">
      <c r="A189" t="s">
        <v>60</v>
      </c>
      <c r="B189" t="s">
        <v>0</v>
      </c>
      <c r="C189" t="s">
        <v>104</v>
      </c>
      <c r="D189" t="s">
        <v>33</v>
      </c>
      <c r="E189">
        <v>32.661717921527043</v>
      </c>
    </row>
    <row r="190" spans="1:5" x14ac:dyDescent="0.3">
      <c r="A190" t="s">
        <v>60</v>
      </c>
      <c r="B190" t="s">
        <v>0</v>
      </c>
      <c r="C190" t="s">
        <v>105</v>
      </c>
      <c r="D190" t="s">
        <v>33</v>
      </c>
      <c r="E190"/>
    </row>
    <row r="191" spans="1:5" x14ac:dyDescent="0.3">
      <c r="A191" t="s">
        <v>60</v>
      </c>
      <c r="B191" t="s">
        <v>0</v>
      </c>
      <c r="C191" t="s">
        <v>106</v>
      </c>
      <c r="D191" t="s">
        <v>33</v>
      </c>
      <c r="E191">
        <v>32.547957803704278</v>
      </c>
    </row>
    <row r="192" spans="1:5" x14ac:dyDescent="0.3">
      <c r="A192" t="s">
        <v>60</v>
      </c>
      <c r="B192" t="s">
        <v>0</v>
      </c>
      <c r="C192" t="s">
        <v>107</v>
      </c>
      <c r="D192" t="s">
        <v>33</v>
      </c>
      <c r="E192">
        <v>30.74973577417007</v>
      </c>
    </row>
    <row r="193" spans="1:5" x14ac:dyDescent="0.3">
      <c r="A193" t="s">
        <v>60</v>
      </c>
      <c r="B193" t="s">
        <v>0</v>
      </c>
      <c r="C193" t="s">
        <v>108</v>
      </c>
      <c r="D193" t="s">
        <v>33</v>
      </c>
      <c r="E193">
        <v>28.27069141281396</v>
      </c>
    </row>
    <row r="194" spans="1:5" x14ac:dyDescent="0.3">
      <c r="A194" t="s">
        <v>60</v>
      </c>
      <c r="B194" t="s">
        <v>0</v>
      </c>
      <c r="C194" t="s">
        <v>109</v>
      </c>
      <c r="D194" t="s">
        <v>33</v>
      </c>
      <c r="E194">
        <v>29.694578186673599</v>
      </c>
    </row>
    <row r="195" spans="1:5" x14ac:dyDescent="0.3">
      <c r="A195" t="s">
        <v>60</v>
      </c>
      <c r="B195" t="s">
        <v>0</v>
      </c>
      <c r="C195" t="s">
        <v>110</v>
      </c>
      <c r="D195" t="s">
        <v>33</v>
      </c>
      <c r="E195">
        <v>29.88624612202689</v>
      </c>
    </row>
    <row r="196" spans="1:5" x14ac:dyDescent="0.3">
      <c r="A196" t="s">
        <v>60</v>
      </c>
      <c r="B196" t="s">
        <v>0</v>
      </c>
      <c r="C196" t="s">
        <v>111</v>
      </c>
      <c r="D196" t="s">
        <v>33</v>
      </c>
      <c r="E196">
        <v>54.017857142857139</v>
      </c>
    </row>
    <row r="197" spans="1:5" x14ac:dyDescent="0.3">
      <c r="A197" t="s">
        <v>60</v>
      </c>
      <c r="B197" t="s">
        <v>0</v>
      </c>
      <c r="C197" t="s">
        <v>112</v>
      </c>
      <c r="D197" t="s">
        <v>33</v>
      </c>
      <c r="E197">
        <v>36.87943262411347</v>
      </c>
    </row>
    <row r="198" spans="1:5" x14ac:dyDescent="0.3">
      <c r="A198" t="s">
        <v>60</v>
      </c>
      <c r="B198" t="s">
        <v>0</v>
      </c>
      <c r="C198" t="s">
        <v>113</v>
      </c>
      <c r="D198" t="s">
        <v>33</v>
      </c>
      <c r="E198">
        <v>54.694745053605928</v>
      </c>
    </row>
    <row r="199" spans="1:5" x14ac:dyDescent="0.3">
      <c r="A199" t="s">
        <v>60</v>
      </c>
      <c r="B199" t="s">
        <v>0</v>
      </c>
      <c r="C199" t="s">
        <v>114</v>
      </c>
      <c r="D199" t="s">
        <v>33</v>
      </c>
      <c r="E199">
        <v>34.557371273209903</v>
      </c>
    </row>
    <row r="200" spans="1:5" x14ac:dyDescent="0.3">
      <c r="A200" t="s">
        <v>60</v>
      </c>
      <c r="B200" t="s">
        <v>0</v>
      </c>
      <c r="C200" t="s">
        <v>115</v>
      </c>
      <c r="D200" t="s">
        <v>33</v>
      </c>
      <c r="E200">
        <v>31.326898779788792</v>
      </c>
    </row>
    <row r="201" spans="1:5" x14ac:dyDescent="0.3">
      <c r="A201" t="s">
        <v>60</v>
      </c>
      <c r="B201" t="s">
        <v>0</v>
      </c>
      <c r="C201" t="s">
        <v>116</v>
      </c>
      <c r="D201" t="s">
        <v>33</v>
      </c>
      <c r="E201">
        <v>24.789869405619179</v>
      </c>
    </row>
    <row r="202" spans="1:5" x14ac:dyDescent="0.3">
      <c r="A202" t="s">
        <v>60</v>
      </c>
      <c r="B202" t="s">
        <v>69</v>
      </c>
      <c r="C202" t="s">
        <v>69</v>
      </c>
      <c r="D202" t="s">
        <v>34</v>
      </c>
      <c r="E202">
        <v>51.706265632593919</v>
      </c>
    </row>
    <row r="203" spans="1:5" x14ac:dyDescent="0.3">
      <c r="A203" t="s">
        <v>60</v>
      </c>
      <c r="B203" t="s">
        <v>70</v>
      </c>
      <c r="C203" t="s">
        <v>78</v>
      </c>
      <c r="D203" t="s">
        <v>34</v>
      </c>
      <c r="E203">
        <v>49.034425326936052</v>
      </c>
    </row>
    <row r="204" spans="1:5" x14ac:dyDescent="0.3">
      <c r="A204" t="s">
        <v>60</v>
      </c>
      <c r="B204" t="s">
        <v>70</v>
      </c>
      <c r="C204" t="s">
        <v>79</v>
      </c>
      <c r="D204" t="s">
        <v>34</v>
      </c>
      <c r="E204">
        <v>52.233085196752583</v>
      </c>
    </row>
    <row r="205" spans="1:5" x14ac:dyDescent="0.3">
      <c r="A205" t="s">
        <v>60</v>
      </c>
      <c r="B205" t="s">
        <v>70</v>
      </c>
      <c r="C205" t="s">
        <v>80</v>
      </c>
      <c r="D205" t="s">
        <v>34</v>
      </c>
      <c r="E205">
        <v>52.809378116153482</v>
      </c>
    </row>
    <row r="206" spans="1:5" x14ac:dyDescent="0.3">
      <c r="A206" t="s">
        <v>60</v>
      </c>
      <c r="B206" t="s">
        <v>70</v>
      </c>
      <c r="C206" t="s">
        <v>81</v>
      </c>
      <c r="D206" t="s">
        <v>34</v>
      </c>
      <c r="E206">
        <v>53.544427260292913</v>
      </c>
    </row>
    <row r="207" spans="1:5" x14ac:dyDescent="0.3">
      <c r="A207" t="s">
        <v>60</v>
      </c>
      <c r="B207" t="s">
        <v>71</v>
      </c>
      <c r="C207" t="s">
        <v>82</v>
      </c>
      <c r="D207" t="s">
        <v>34</v>
      </c>
      <c r="E207">
        <v>53.575355212467443</v>
      </c>
    </row>
    <row r="208" spans="1:5" x14ac:dyDescent="0.3">
      <c r="A208" t="s">
        <v>60</v>
      </c>
      <c r="B208" t="s">
        <v>71</v>
      </c>
      <c r="C208" t="s">
        <v>83</v>
      </c>
      <c r="D208" t="s">
        <v>34</v>
      </c>
      <c r="E208">
        <v>51.161914375356467</v>
      </c>
    </row>
    <row r="209" spans="1:5" x14ac:dyDescent="0.3">
      <c r="A209" t="s">
        <v>60</v>
      </c>
      <c r="B209" t="s">
        <v>71</v>
      </c>
      <c r="C209" t="s">
        <v>84</v>
      </c>
      <c r="D209" t="s">
        <v>34</v>
      </c>
      <c r="E209">
        <v>51.207167244149829</v>
      </c>
    </row>
    <row r="210" spans="1:5" x14ac:dyDescent="0.3">
      <c r="A210" t="s">
        <v>60</v>
      </c>
      <c r="B210" t="s">
        <v>71</v>
      </c>
      <c r="C210" t="s">
        <v>85</v>
      </c>
      <c r="D210" t="s">
        <v>34</v>
      </c>
      <c r="E210">
        <v>50.730376048569958</v>
      </c>
    </row>
    <row r="211" spans="1:5" x14ac:dyDescent="0.3">
      <c r="A211" t="s">
        <v>60</v>
      </c>
      <c r="B211" t="s">
        <v>72</v>
      </c>
      <c r="C211" t="s">
        <v>86</v>
      </c>
      <c r="D211" t="s">
        <v>34</v>
      </c>
      <c r="E211">
        <v>51.592026197381728</v>
      </c>
    </row>
    <row r="212" spans="1:5" x14ac:dyDescent="0.3">
      <c r="A212" t="s">
        <v>60</v>
      </c>
      <c r="B212" t="s">
        <v>72</v>
      </c>
      <c r="C212" t="s">
        <v>87</v>
      </c>
      <c r="D212" t="s">
        <v>34</v>
      </c>
      <c r="E212">
        <v>51.822327002373171</v>
      </c>
    </row>
    <row r="213" spans="1:5" x14ac:dyDescent="0.3">
      <c r="A213" t="s">
        <v>60</v>
      </c>
      <c r="B213" t="s">
        <v>73</v>
      </c>
      <c r="C213" t="s">
        <v>88</v>
      </c>
      <c r="D213" t="s">
        <v>34</v>
      </c>
      <c r="E213">
        <v>52.630609771717893</v>
      </c>
    </row>
    <row r="214" spans="1:5" x14ac:dyDescent="0.3">
      <c r="A214" t="s">
        <v>60</v>
      </c>
      <c r="B214" t="s">
        <v>73</v>
      </c>
      <c r="C214" t="s">
        <v>89</v>
      </c>
      <c r="D214" t="s">
        <v>34</v>
      </c>
      <c r="E214">
        <v>50.99411870947629</v>
      </c>
    </row>
    <row r="215" spans="1:5" x14ac:dyDescent="0.3">
      <c r="A215" t="s">
        <v>60</v>
      </c>
      <c r="B215" t="s">
        <v>74</v>
      </c>
      <c r="C215" t="s">
        <v>90</v>
      </c>
      <c r="D215" t="s">
        <v>34</v>
      </c>
      <c r="E215">
        <v>53.178398603277913</v>
      </c>
    </row>
    <row r="216" spans="1:5" x14ac:dyDescent="0.3">
      <c r="A216" t="s">
        <v>60</v>
      </c>
      <c r="B216" t="s">
        <v>74</v>
      </c>
      <c r="C216" t="s">
        <v>91</v>
      </c>
      <c r="D216" t="s">
        <v>34</v>
      </c>
      <c r="E216">
        <v>51.391326915608232</v>
      </c>
    </row>
    <row r="217" spans="1:5" x14ac:dyDescent="0.3">
      <c r="A217" t="s">
        <v>60</v>
      </c>
      <c r="B217" t="s">
        <v>75</v>
      </c>
      <c r="C217" t="s">
        <v>92</v>
      </c>
      <c r="D217" t="s">
        <v>34</v>
      </c>
      <c r="E217">
        <v>54.613163364190306</v>
      </c>
    </row>
    <row r="218" spans="1:5" x14ac:dyDescent="0.3">
      <c r="A218" t="s">
        <v>60</v>
      </c>
      <c r="B218" t="s">
        <v>75</v>
      </c>
      <c r="C218" t="s">
        <v>93</v>
      </c>
      <c r="D218" t="s">
        <v>34</v>
      </c>
      <c r="E218">
        <v>53.628673530708987</v>
      </c>
    </row>
    <row r="219" spans="1:5" x14ac:dyDescent="0.3">
      <c r="A219" t="s">
        <v>60</v>
      </c>
      <c r="B219" t="s">
        <v>75</v>
      </c>
      <c r="C219" t="s">
        <v>94</v>
      </c>
      <c r="D219" t="s">
        <v>34</v>
      </c>
      <c r="E219">
        <v>49.517462842096293</v>
      </c>
    </row>
    <row r="220" spans="1:5" x14ac:dyDescent="0.3">
      <c r="A220" t="s">
        <v>60</v>
      </c>
      <c r="B220" t="s">
        <v>75</v>
      </c>
      <c r="C220" t="s">
        <v>95</v>
      </c>
      <c r="D220" t="s">
        <v>34</v>
      </c>
      <c r="E220">
        <v>50.966431520154131</v>
      </c>
    </row>
    <row r="221" spans="1:5" x14ac:dyDescent="0.3">
      <c r="A221" t="s">
        <v>60</v>
      </c>
      <c r="B221" t="s">
        <v>76</v>
      </c>
      <c r="C221" t="s">
        <v>96</v>
      </c>
      <c r="D221" t="s">
        <v>34</v>
      </c>
      <c r="E221">
        <v>52.597063354073612</v>
      </c>
    </row>
    <row r="222" spans="1:5" x14ac:dyDescent="0.3">
      <c r="A222" t="s">
        <v>60</v>
      </c>
      <c r="B222" t="s">
        <v>76</v>
      </c>
      <c r="C222" t="s">
        <v>97</v>
      </c>
      <c r="D222" t="s">
        <v>34</v>
      </c>
      <c r="E222">
        <v>52.815932264152501</v>
      </c>
    </row>
    <row r="223" spans="1:5" x14ac:dyDescent="0.3">
      <c r="A223" t="s">
        <v>60</v>
      </c>
      <c r="B223" t="s">
        <v>76</v>
      </c>
      <c r="C223" t="s">
        <v>98</v>
      </c>
      <c r="D223" t="s">
        <v>34</v>
      </c>
      <c r="E223">
        <v>50.967624913788732</v>
      </c>
    </row>
    <row r="224" spans="1:5" x14ac:dyDescent="0.3">
      <c r="A224" t="s">
        <v>60</v>
      </c>
      <c r="B224" t="s">
        <v>0</v>
      </c>
      <c r="C224" t="s">
        <v>99</v>
      </c>
      <c r="D224" t="s">
        <v>34</v>
      </c>
      <c r="E224">
        <v>42.004798163952259</v>
      </c>
    </row>
    <row r="225" spans="1:5" x14ac:dyDescent="0.3">
      <c r="A225" t="s">
        <v>60</v>
      </c>
      <c r="B225" t="s">
        <v>0</v>
      </c>
      <c r="C225" t="s">
        <v>100</v>
      </c>
      <c r="D225" t="s">
        <v>34</v>
      </c>
      <c r="E225">
        <v>57.142857142857139</v>
      </c>
    </row>
    <row r="226" spans="1:5" x14ac:dyDescent="0.3">
      <c r="A226" t="s">
        <v>60</v>
      </c>
      <c r="B226" t="s">
        <v>0</v>
      </c>
      <c r="C226" t="s">
        <v>101</v>
      </c>
      <c r="D226" t="s">
        <v>34</v>
      </c>
      <c r="E226">
        <v>50.686378035902848</v>
      </c>
    </row>
    <row r="227" spans="1:5" x14ac:dyDescent="0.3">
      <c r="A227" t="s">
        <v>60</v>
      </c>
      <c r="B227" t="s">
        <v>0</v>
      </c>
      <c r="C227" t="s">
        <v>102</v>
      </c>
      <c r="D227" t="s">
        <v>34</v>
      </c>
      <c r="E227">
        <v>52.036505265326703</v>
      </c>
    </row>
    <row r="228" spans="1:5" x14ac:dyDescent="0.3">
      <c r="A228" t="s">
        <v>60</v>
      </c>
      <c r="B228" t="s">
        <v>0</v>
      </c>
      <c r="C228" t="s">
        <v>103</v>
      </c>
      <c r="D228" t="s">
        <v>34</v>
      </c>
      <c r="E228">
        <v>42.48268412795835</v>
      </c>
    </row>
    <row r="229" spans="1:5" x14ac:dyDescent="0.3">
      <c r="A229" t="s">
        <v>60</v>
      </c>
      <c r="B229" t="s">
        <v>0</v>
      </c>
      <c r="C229" t="s">
        <v>104</v>
      </c>
      <c r="D229" t="s">
        <v>34</v>
      </c>
      <c r="E229">
        <v>51.855779427359487</v>
      </c>
    </row>
    <row r="230" spans="1:5" x14ac:dyDescent="0.3">
      <c r="A230" t="s">
        <v>60</v>
      </c>
      <c r="B230" t="s">
        <v>0</v>
      </c>
      <c r="C230" t="s">
        <v>105</v>
      </c>
      <c r="D230" t="s">
        <v>34</v>
      </c>
      <c r="E230"/>
    </row>
    <row r="231" spans="1:5" x14ac:dyDescent="0.3">
      <c r="A231" t="s">
        <v>60</v>
      </c>
      <c r="B231" t="s">
        <v>0</v>
      </c>
      <c r="C231" t="s">
        <v>106</v>
      </c>
      <c r="D231" t="s">
        <v>34</v>
      </c>
      <c r="E231">
        <v>57.433714075399102</v>
      </c>
    </row>
    <row r="232" spans="1:5" x14ac:dyDescent="0.3">
      <c r="A232" t="s">
        <v>60</v>
      </c>
      <c r="B232" t="s">
        <v>0</v>
      </c>
      <c r="C232" t="s">
        <v>107</v>
      </c>
      <c r="D232" t="s">
        <v>34</v>
      </c>
      <c r="E232">
        <v>54.286234364377933</v>
      </c>
    </row>
    <row r="233" spans="1:5" x14ac:dyDescent="0.3">
      <c r="A233" t="s">
        <v>60</v>
      </c>
      <c r="B233" t="s">
        <v>0</v>
      </c>
      <c r="C233" t="s">
        <v>108</v>
      </c>
      <c r="D233" t="s">
        <v>34</v>
      </c>
      <c r="E233">
        <v>63.453306934474753</v>
      </c>
    </row>
    <row r="234" spans="1:5" x14ac:dyDescent="0.3">
      <c r="A234" t="s">
        <v>60</v>
      </c>
      <c r="B234" t="s">
        <v>0</v>
      </c>
      <c r="C234" t="s">
        <v>109</v>
      </c>
      <c r="D234" t="s">
        <v>34</v>
      </c>
      <c r="E234">
        <v>52.931030319919067</v>
      </c>
    </row>
    <row r="235" spans="1:5" x14ac:dyDescent="0.3">
      <c r="A235" t="s">
        <v>60</v>
      </c>
      <c r="B235" t="s">
        <v>0</v>
      </c>
      <c r="C235" t="s">
        <v>110</v>
      </c>
      <c r="D235" t="s">
        <v>34</v>
      </c>
      <c r="E235">
        <v>54.705274043433292</v>
      </c>
    </row>
    <row r="236" spans="1:5" x14ac:dyDescent="0.3">
      <c r="A236" t="s">
        <v>60</v>
      </c>
      <c r="B236" t="s">
        <v>0</v>
      </c>
      <c r="C236" t="s">
        <v>111</v>
      </c>
      <c r="D236" t="s">
        <v>34</v>
      </c>
      <c r="E236">
        <v>40.848214285714292</v>
      </c>
    </row>
    <row r="237" spans="1:5" x14ac:dyDescent="0.3">
      <c r="A237" t="s">
        <v>60</v>
      </c>
      <c r="B237" t="s">
        <v>0</v>
      </c>
      <c r="C237" t="s">
        <v>112</v>
      </c>
      <c r="D237" t="s">
        <v>34</v>
      </c>
      <c r="E237">
        <v>57.750759878419458</v>
      </c>
    </row>
    <row r="238" spans="1:5" x14ac:dyDescent="0.3">
      <c r="A238" t="s">
        <v>60</v>
      </c>
      <c r="B238" t="s">
        <v>0</v>
      </c>
      <c r="C238" t="s">
        <v>113</v>
      </c>
      <c r="D238" t="s">
        <v>34</v>
      </c>
      <c r="E238">
        <v>39.769950688882801</v>
      </c>
    </row>
    <row r="239" spans="1:5" x14ac:dyDescent="0.3">
      <c r="A239" t="s">
        <v>60</v>
      </c>
      <c r="B239" t="s">
        <v>0</v>
      </c>
      <c r="C239" t="s">
        <v>114</v>
      </c>
      <c r="D239" t="s">
        <v>34</v>
      </c>
      <c r="E239">
        <v>49.069734530206603</v>
      </c>
    </row>
    <row r="240" spans="1:5" x14ac:dyDescent="0.3">
      <c r="A240" t="s">
        <v>60</v>
      </c>
      <c r="B240" t="s">
        <v>0</v>
      </c>
      <c r="C240" t="s">
        <v>115</v>
      </c>
      <c r="D240" t="s">
        <v>34</v>
      </c>
      <c r="E240">
        <v>60.536360150206917</v>
      </c>
    </row>
    <row r="241" spans="1:5" x14ac:dyDescent="0.3">
      <c r="A241" t="s">
        <v>60</v>
      </c>
      <c r="B241" t="s">
        <v>0</v>
      </c>
      <c r="C241" t="s">
        <v>116</v>
      </c>
      <c r="D241" t="s">
        <v>34</v>
      </c>
      <c r="E241">
        <v>47.398665976523013</v>
      </c>
    </row>
    <row r="242" spans="1:5" x14ac:dyDescent="0.3">
      <c r="A242" t="s">
        <v>60</v>
      </c>
      <c r="B242" t="s">
        <v>69</v>
      </c>
      <c r="C242" t="s">
        <v>69</v>
      </c>
      <c r="D242" t="s">
        <v>35</v>
      </c>
      <c r="E242">
        <v>9.5296729644431455</v>
      </c>
    </row>
    <row r="243" spans="1:5" x14ac:dyDescent="0.3">
      <c r="A243" t="s">
        <v>60</v>
      </c>
      <c r="B243" t="s">
        <v>70</v>
      </c>
      <c r="C243" t="s">
        <v>78</v>
      </c>
      <c r="D243" t="s">
        <v>35</v>
      </c>
      <c r="E243">
        <v>10.291481505472619</v>
      </c>
    </row>
    <row r="244" spans="1:5" x14ac:dyDescent="0.3">
      <c r="A244" t="s">
        <v>60</v>
      </c>
      <c r="B244" t="s">
        <v>70</v>
      </c>
      <c r="C244" t="s">
        <v>79</v>
      </c>
      <c r="D244" t="s">
        <v>35</v>
      </c>
      <c r="E244">
        <v>10.72092459830313</v>
      </c>
    </row>
    <row r="245" spans="1:5" x14ac:dyDescent="0.3">
      <c r="A245" t="s">
        <v>60</v>
      </c>
      <c r="B245" t="s">
        <v>70</v>
      </c>
      <c r="C245" t="s">
        <v>80</v>
      </c>
      <c r="D245" t="s">
        <v>35</v>
      </c>
      <c r="E245">
        <v>7.0406949553781164</v>
      </c>
    </row>
    <row r="246" spans="1:5" x14ac:dyDescent="0.3">
      <c r="A246" t="s">
        <v>60</v>
      </c>
      <c r="B246" t="s">
        <v>70</v>
      </c>
      <c r="C246" t="s">
        <v>81</v>
      </c>
      <c r="D246" t="s">
        <v>35</v>
      </c>
      <c r="E246">
        <v>7.9537625860827283</v>
      </c>
    </row>
    <row r="247" spans="1:5" x14ac:dyDescent="0.3">
      <c r="A247" t="s">
        <v>60</v>
      </c>
      <c r="B247" t="s">
        <v>71</v>
      </c>
      <c r="C247" t="s">
        <v>82</v>
      </c>
      <c r="D247" t="s">
        <v>35</v>
      </c>
      <c r="E247">
        <v>12.1663171145706</v>
      </c>
    </row>
    <row r="248" spans="1:5" x14ac:dyDescent="0.3">
      <c r="A248" t="s">
        <v>60</v>
      </c>
      <c r="B248" t="s">
        <v>71</v>
      </c>
      <c r="C248" t="s">
        <v>83</v>
      </c>
      <c r="D248" t="s">
        <v>35</v>
      </c>
      <c r="E248">
        <v>9.4628256042761496</v>
      </c>
    </row>
    <row r="249" spans="1:5" x14ac:dyDescent="0.3">
      <c r="A249" t="s">
        <v>60</v>
      </c>
      <c r="B249" t="s">
        <v>71</v>
      </c>
      <c r="C249" t="s">
        <v>84</v>
      </c>
      <c r="D249" t="s">
        <v>35</v>
      </c>
      <c r="E249">
        <v>7.9113571180187803</v>
      </c>
    </row>
    <row r="250" spans="1:5" x14ac:dyDescent="0.3">
      <c r="A250" t="s">
        <v>60</v>
      </c>
      <c r="B250" t="s">
        <v>71</v>
      </c>
      <c r="C250" t="s">
        <v>85</v>
      </c>
      <c r="D250" t="s">
        <v>35</v>
      </c>
      <c r="E250">
        <v>8.3652453825325122</v>
      </c>
    </row>
    <row r="251" spans="1:5" x14ac:dyDescent="0.3">
      <c r="A251" t="s">
        <v>60</v>
      </c>
      <c r="B251" t="s">
        <v>72</v>
      </c>
      <c r="C251" t="s">
        <v>86</v>
      </c>
      <c r="D251" t="s">
        <v>35</v>
      </c>
      <c r="E251">
        <v>9.4876465043655234</v>
      </c>
    </row>
    <row r="252" spans="1:5" x14ac:dyDescent="0.3">
      <c r="A252" t="s">
        <v>60</v>
      </c>
      <c r="B252" t="s">
        <v>72</v>
      </c>
      <c r="C252" t="s">
        <v>87</v>
      </c>
      <c r="D252" t="s">
        <v>35</v>
      </c>
      <c r="E252">
        <v>9.5723696787128052</v>
      </c>
    </row>
    <row r="253" spans="1:5" x14ac:dyDescent="0.3">
      <c r="A253" t="s">
        <v>60</v>
      </c>
      <c r="B253" t="s">
        <v>73</v>
      </c>
      <c r="C253" t="s">
        <v>88</v>
      </c>
      <c r="D253" t="s">
        <v>35</v>
      </c>
      <c r="E253">
        <v>9.9215149540909344</v>
      </c>
    </row>
    <row r="254" spans="1:5" x14ac:dyDescent="0.3">
      <c r="A254" t="s">
        <v>60</v>
      </c>
      <c r="B254" t="s">
        <v>73</v>
      </c>
      <c r="C254" t="s">
        <v>89</v>
      </c>
      <c r="D254" t="s">
        <v>35</v>
      </c>
      <c r="E254">
        <v>9.1846111784030082</v>
      </c>
    </row>
    <row r="255" spans="1:5" x14ac:dyDescent="0.3">
      <c r="A255" t="s">
        <v>60</v>
      </c>
      <c r="B255" t="s">
        <v>74</v>
      </c>
      <c r="C255" t="s">
        <v>90</v>
      </c>
      <c r="D255" t="s">
        <v>35</v>
      </c>
      <c r="E255">
        <v>10.735314007175459</v>
      </c>
    </row>
    <row r="256" spans="1:5" x14ac:dyDescent="0.3">
      <c r="A256" t="s">
        <v>60</v>
      </c>
      <c r="B256" t="s">
        <v>74</v>
      </c>
      <c r="C256" t="s">
        <v>91</v>
      </c>
      <c r="D256" t="s">
        <v>35</v>
      </c>
      <c r="E256">
        <v>9.1805356483038185</v>
      </c>
    </row>
    <row r="257" spans="1:5" x14ac:dyDescent="0.3">
      <c r="A257" t="s">
        <v>60</v>
      </c>
      <c r="B257" t="s">
        <v>75</v>
      </c>
      <c r="C257" t="s">
        <v>92</v>
      </c>
      <c r="D257" t="s">
        <v>35</v>
      </c>
      <c r="E257">
        <v>8.2798394515000631</v>
      </c>
    </row>
    <row r="258" spans="1:5" x14ac:dyDescent="0.3">
      <c r="A258" t="s">
        <v>60</v>
      </c>
      <c r="B258" t="s">
        <v>75</v>
      </c>
      <c r="C258" t="s">
        <v>93</v>
      </c>
      <c r="D258" t="s">
        <v>35</v>
      </c>
      <c r="E258">
        <v>9.4142327712487681</v>
      </c>
    </row>
    <row r="259" spans="1:5" x14ac:dyDescent="0.3">
      <c r="A259" t="s">
        <v>60</v>
      </c>
      <c r="B259" t="s">
        <v>75</v>
      </c>
      <c r="C259" t="s">
        <v>94</v>
      </c>
      <c r="D259" t="s">
        <v>35</v>
      </c>
      <c r="E259">
        <v>10.095262125148</v>
      </c>
    </row>
    <row r="260" spans="1:5" x14ac:dyDescent="0.3">
      <c r="A260" t="s">
        <v>60</v>
      </c>
      <c r="B260" t="s">
        <v>75</v>
      </c>
      <c r="C260" t="s">
        <v>95</v>
      </c>
      <c r="D260" t="s">
        <v>35</v>
      </c>
      <c r="E260">
        <v>7.9091447546007307</v>
      </c>
    </row>
    <row r="261" spans="1:5" x14ac:dyDescent="0.3">
      <c r="A261" t="s">
        <v>60</v>
      </c>
      <c r="B261" t="s">
        <v>76</v>
      </c>
      <c r="C261" t="s">
        <v>96</v>
      </c>
      <c r="D261" t="s">
        <v>35</v>
      </c>
      <c r="E261">
        <v>10.11537245133027</v>
      </c>
    </row>
    <row r="262" spans="1:5" x14ac:dyDescent="0.3">
      <c r="A262" t="s">
        <v>60</v>
      </c>
      <c r="B262" t="s">
        <v>76</v>
      </c>
      <c r="C262" t="s">
        <v>97</v>
      </c>
      <c r="D262" t="s">
        <v>35</v>
      </c>
      <c r="E262">
        <v>11.95997394608785</v>
      </c>
    </row>
    <row r="263" spans="1:5" x14ac:dyDescent="0.3">
      <c r="A263" t="s">
        <v>60</v>
      </c>
      <c r="B263" t="s">
        <v>76</v>
      </c>
      <c r="C263" t="s">
        <v>98</v>
      </c>
      <c r="D263" t="s">
        <v>35</v>
      </c>
      <c r="E263">
        <v>8.2394965165802478</v>
      </c>
    </row>
    <row r="264" spans="1:5" x14ac:dyDescent="0.3">
      <c r="A264" t="s">
        <v>60</v>
      </c>
      <c r="B264" t="s">
        <v>0</v>
      </c>
      <c r="C264" t="s">
        <v>99</v>
      </c>
      <c r="D264" t="s">
        <v>35</v>
      </c>
      <c r="E264">
        <v>2.1169007820990031</v>
      </c>
    </row>
    <row r="265" spans="1:5" x14ac:dyDescent="0.3">
      <c r="A265" t="s">
        <v>60</v>
      </c>
      <c r="B265" t="s">
        <v>0</v>
      </c>
      <c r="C265" t="s">
        <v>100</v>
      </c>
      <c r="D265" t="s">
        <v>35</v>
      </c>
      <c r="E265">
        <v>5.7710501419110694</v>
      </c>
    </row>
    <row r="266" spans="1:5" x14ac:dyDescent="0.3">
      <c r="A266" t="s">
        <v>60</v>
      </c>
      <c r="B266" t="s">
        <v>0</v>
      </c>
      <c r="C266" t="s">
        <v>101</v>
      </c>
      <c r="D266" t="s">
        <v>35</v>
      </c>
      <c r="E266">
        <v>12.777191129883841</v>
      </c>
    </row>
    <row r="267" spans="1:5" x14ac:dyDescent="0.3">
      <c r="A267" t="s">
        <v>60</v>
      </c>
      <c r="B267" t="s">
        <v>0</v>
      </c>
      <c r="C267" t="s">
        <v>102</v>
      </c>
      <c r="D267" t="s">
        <v>35</v>
      </c>
      <c r="E267">
        <v>8.4135073060365162</v>
      </c>
    </row>
    <row r="268" spans="1:5" x14ac:dyDescent="0.3">
      <c r="A268" t="s">
        <v>60</v>
      </c>
      <c r="B268" t="s">
        <v>0</v>
      </c>
      <c r="C268" t="s">
        <v>103</v>
      </c>
      <c r="D268" t="s">
        <v>35</v>
      </c>
      <c r="E268">
        <v>3.5919355372857722</v>
      </c>
    </row>
    <row r="269" spans="1:5" x14ac:dyDescent="0.3">
      <c r="A269" t="s">
        <v>60</v>
      </c>
      <c r="B269" t="s">
        <v>0</v>
      </c>
      <c r="C269" t="s">
        <v>104</v>
      </c>
      <c r="D269" t="s">
        <v>35</v>
      </c>
      <c r="E269">
        <v>14.20996818663839</v>
      </c>
    </row>
    <row r="270" spans="1:5" x14ac:dyDescent="0.3">
      <c r="A270" t="s">
        <v>60</v>
      </c>
      <c r="B270" t="s">
        <v>0</v>
      </c>
      <c r="C270" t="s">
        <v>105</v>
      </c>
      <c r="D270" t="s">
        <v>35</v>
      </c>
      <c r="E270"/>
    </row>
    <row r="271" spans="1:5" x14ac:dyDescent="0.3">
      <c r="A271" t="s">
        <v>60</v>
      </c>
      <c r="B271" t="s">
        <v>0</v>
      </c>
      <c r="C271" t="s">
        <v>106</v>
      </c>
      <c r="D271" t="s">
        <v>35</v>
      </c>
      <c r="E271">
        <v>6.5365004095016417</v>
      </c>
    </row>
    <row r="272" spans="1:5" x14ac:dyDescent="0.3">
      <c r="A272" t="s">
        <v>60</v>
      </c>
      <c r="B272" t="s">
        <v>0</v>
      </c>
      <c r="C272" t="s">
        <v>107</v>
      </c>
      <c r="D272" t="s">
        <v>35</v>
      </c>
      <c r="E272">
        <v>14.09508167946862</v>
      </c>
    </row>
    <row r="273" spans="1:5" x14ac:dyDescent="0.3">
      <c r="A273" t="s">
        <v>60</v>
      </c>
      <c r="B273" t="s">
        <v>0</v>
      </c>
      <c r="C273" t="s">
        <v>108</v>
      </c>
      <c r="D273" t="s">
        <v>35</v>
      </c>
      <c r="E273">
        <v>6.6625512688564124</v>
      </c>
    </row>
    <row r="274" spans="1:5" x14ac:dyDescent="0.3">
      <c r="A274" t="s">
        <v>60</v>
      </c>
      <c r="B274" t="s">
        <v>0</v>
      </c>
      <c r="C274" t="s">
        <v>109</v>
      </c>
      <c r="D274" t="s">
        <v>35</v>
      </c>
      <c r="E274">
        <v>16.438845236666801</v>
      </c>
    </row>
    <row r="275" spans="1:5" x14ac:dyDescent="0.3">
      <c r="A275" t="s">
        <v>60</v>
      </c>
      <c r="B275" t="s">
        <v>0</v>
      </c>
      <c r="C275" t="s">
        <v>110</v>
      </c>
      <c r="D275" t="s">
        <v>35</v>
      </c>
      <c r="E275">
        <v>13.34022750775595</v>
      </c>
    </row>
    <row r="276" spans="1:5" x14ac:dyDescent="0.3">
      <c r="A276" t="s">
        <v>60</v>
      </c>
      <c r="B276" t="s">
        <v>0</v>
      </c>
      <c r="C276" t="s">
        <v>111</v>
      </c>
      <c r="D276" t="s">
        <v>35</v>
      </c>
      <c r="E276">
        <v>4.6875</v>
      </c>
    </row>
    <row r="277" spans="1:5" x14ac:dyDescent="0.3">
      <c r="A277" t="s">
        <v>60</v>
      </c>
      <c r="B277" t="s">
        <v>0</v>
      </c>
      <c r="C277" t="s">
        <v>112</v>
      </c>
      <c r="D277" t="s">
        <v>35</v>
      </c>
      <c r="E277">
        <v>4.0526849037487338</v>
      </c>
    </row>
    <row r="278" spans="1:5" x14ac:dyDescent="0.3">
      <c r="A278" t="s">
        <v>60</v>
      </c>
      <c r="B278" t="s">
        <v>0</v>
      </c>
      <c r="C278" t="s">
        <v>113</v>
      </c>
      <c r="D278" t="s">
        <v>35</v>
      </c>
      <c r="E278">
        <v>4.4560995137849559</v>
      </c>
    </row>
    <row r="279" spans="1:5" x14ac:dyDescent="0.3">
      <c r="A279" t="s">
        <v>60</v>
      </c>
      <c r="B279" t="s">
        <v>0</v>
      </c>
      <c r="C279" t="s">
        <v>114</v>
      </c>
      <c r="D279" t="s">
        <v>35</v>
      </c>
      <c r="E279">
        <v>14.78889007263804</v>
      </c>
    </row>
    <row r="280" spans="1:5" x14ac:dyDescent="0.3">
      <c r="A280" t="s">
        <v>60</v>
      </c>
      <c r="B280" t="s">
        <v>0</v>
      </c>
      <c r="C280" t="s">
        <v>115</v>
      </c>
      <c r="D280" t="s">
        <v>35</v>
      </c>
      <c r="E280">
        <v>7.1526694973494473</v>
      </c>
    </row>
    <row r="281" spans="1:5" x14ac:dyDescent="0.3">
      <c r="A281" t="s">
        <v>60</v>
      </c>
      <c r="B281" t="s">
        <v>0</v>
      </c>
      <c r="C281" t="s">
        <v>116</v>
      </c>
      <c r="D281" t="s">
        <v>35</v>
      </c>
      <c r="E281">
        <v>21.507131406593579</v>
      </c>
    </row>
    <row r="282" spans="1:5" x14ac:dyDescent="0.3">
      <c r="A282" t="s">
        <v>60</v>
      </c>
      <c r="B282" t="s">
        <v>69</v>
      </c>
      <c r="C282" t="s">
        <v>69</v>
      </c>
      <c r="D282" t="s">
        <v>36</v>
      </c>
      <c r="E282">
        <v>1.7358431626277659</v>
      </c>
    </row>
    <row r="283" spans="1:5" x14ac:dyDescent="0.3">
      <c r="A283" t="s">
        <v>60</v>
      </c>
      <c r="B283" t="s">
        <v>70</v>
      </c>
      <c r="C283" t="s">
        <v>78</v>
      </c>
      <c r="D283" t="s">
        <v>36</v>
      </c>
      <c r="E283">
        <v>1.7352929727220849</v>
      </c>
    </row>
    <row r="284" spans="1:5" x14ac:dyDescent="0.3">
      <c r="A284" t="s">
        <v>60</v>
      </c>
      <c r="B284" t="s">
        <v>70</v>
      </c>
      <c r="C284" t="s">
        <v>79</v>
      </c>
      <c r="D284" t="s">
        <v>36</v>
      </c>
      <c r="E284">
        <v>1.636234207501194</v>
      </c>
    </row>
    <row r="285" spans="1:5" x14ac:dyDescent="0.3">
      <c r="A285" t="s">
        <v>60</v>
      </c>
      <c r="B285" t="s">
        <v>70</v>
      </c>
      <c r="C285" t="s">
        <v>80</v>
      </c>
      <c r="D285" t="s">
        <v>36</v>
      </c>
      <c r="E285">
        <v>1.7858924462927821</v>
      </c>
    </row>
    <row r="286" spans="1:5" x14ac:dyDescent="0.3">
      <c r="A286" t="s">
        <v>60</v>
      </c>
      <c r="B286" t="s">
        <v>70</v>
      </c>
      <c r="C286" t="s">
        <v>81</v>
      </c>
      <c r="D286" t="s">
        <v>36</v>
      </c>
      <c r="E286">
        <v>2.0816151994695069</v>
      </c>
    </row>
    <row r="287" spans="1:5" x14ac:dyDescent="0.3">
      <c r="A287" t="s">
        <v>60</v>
      </c>
      <c r="B287" t="s">
        <v>71</v>
      </c>
      <c r="C287" t="s">
        <v>82</v>
      </c>
      <c r="D287" t="s">
        <v>36</v>
      </c>
      <c r="E287">
        <v>1.843955991656816</v>
      </c>
    </row>
    <row r="288" spans="1:5" x14ac:dyDescent="0.3">
      <c r="A288" t="s">
        <v>60</v>
      </c>
      <c r="B288" t="s">
        <v>71</v>
      </c>
      <c r="C288" t="s">
        <v>83</v>
      </c>
      <c r="D288" t="s">
        <v>36</v>
      </c>
      <c r="E288">
        <v>1.6225983920928939</v>
      </c>
    </row>
    <row r="289" spans="1:5" x14ac:dyDescent="0.3">
      <c r="A289" t="s">
        <v>60</v>
      </c>
      <c r="B289" t="s">
        <v>71</v>
      </c>
      <c r="C289" t="s">
        <v>84</v>
      </c>
      <c r="D289" t="s">
        <v>36</v>
      </c>
      <c r="E289">
        <v>1.8825023499532001</v>
      </c>
    </row>
    <row r="290" spans="1:5" x14ac:dyDescent="0.3">
      <c r="A290" t="s">
        <v>60</v>
      </c>
      <c r="B290" t="s">
        <v>71</v>
      </c>
      <c r="C290" t="s">
        <v>85</v>
      </c>
      <c r="D290" t="s">
        <v>36</v>
      </c>
      <c r="E290">
        <v>1.400054705687253</v>
      </c>
    </row>
    <row r="291" spans="1:5" x14ac:dyDescent="0.3">
      <c r="A291" t="s">
        <v>60</v>
      </c>
      <c r="B291" t="s">
        <v>72</v>
      </c>
      <c r="C291" t="s">
        <v>86</v>
      </c>
      <c r="D291" t="s">
        <v>36</v>
      </c>
      <c r="E291">
        <v>1.610142767787812</v>
      </c>
    </row>
    <row r="292" spans="1:5" x14ac:dyDescent="0.3">
      <c r="A292" t="s">
        <v>60</v>
      </c>
      <c r="B292" t="s">
        <v>72</v>
      </c>
      <c r="C292" t="s">
        <v>87</v>
      </c>
      <c r="D292" t="s">
        <v>36</v>
      </c>
      <c r="E292">
        <v>1.863548275838637</v>
      </c>
    </row>
    <row r="293" spans="1:5" x14ac:dyDescent="0.3">
      <c r="A293" t="s">
        <v>60</v>
      </c>
      <c r="B293" t="s">
        <v>73</v>
      </c>
      <c r="C293" t="s">
        <v>88</v>
      </c>
      <c r="D293" t="s">
        <v>36</v>
      </c>
      <c r="E293">
        <v>1.6133842890193859</v>
      </c>
    </row>
    <row r="294" spans="1:5" x14ac:dyDescent="0.3">
      <c r="A294" t="s">
        <v>60</v>
      </c>
      <c r="B294" t="s">
        <v>73</v>
      </c>
      <c r="C294" t="s">
        <v>89</v>
      </c>
      <c r="D294" t="s">
        <v>36</v>
      </c>
      <c r="E294">
        <v>1.834294348486915</v>
      </c>
    </row>
    <row r="295" spans="1:5" x14ac:dyDescent="0.3">
      <c r="A295" t="s">
        <v>60</v>
      </c>
      <c r="B295" t="s">
        <v>74</v>
      </c>
      <c r="C295" t="s">
        <v>90</v>
      </c>
      <c r="D295" t="s">
        <v>36</v>
      </c>
      <c r="E295">
        <v>1.3721413011401979</v>
      </c>
    </row>
    <row r="296" spans="1:5" x14ac:dyDescent="0.3">
      <c r="A296" t="s">
        <v>60</v>
      </c>
      <c r="B296" t="s">
        <v>74</v>
      </c>
      <c r="C296" t="s">
        <v>91</v>
      </c>
      <c r="D296" t="s">
        <v>36</v>
      </c>
      <c r="E296">
        <v>1.866503662724347</v>
      </c>
    </row>
    <row r="297" spans="1:5" x14ac:dyDescent="0.3">
      <c r="A297" t="s">
        <v>60</v>
      </c>
      <c r="B297" t="s">
        <v>75</v>
      </c>
      <c r="C297" t="s">
        <v>92</v>
      </c>
      <c r="D297" t="s">
        <v>36</v>
      </c>
      <c r="E297">
        <v>2.3781605702622501</v>
      </c>
    </row>
    <row r="298" spans="1:5" x14ac:dyDescent="0.3">
      <c r="A298" t="s">
        <v>60</v>
      </c>
      <c r="B298" t="s">
        <v>75</v>
      </c>
      <c r="C298" t="s">
        <v>93</v>
      </c>
      <c r="D298" t="s">
        <v>36</v>
      </c>
      <c r="E298">
        <v>1.498040122643258</v>
      </c>
    </row>
    <row r="299" spans="1:5" x14ac:dyDescent="0.3">
      <c r="A299" t="s">
        <v>60</v>
      </c>
      <c r="B299" t="s">
        <v>75</v>
      </c>
      <c r="C299" t="s">
        <v>94</v>
      </c>
      <c r="D299" t="s">
        <v>36</v>
      </c>
      <c r="E299">
        <v>1.8637685624902709</v>
      </c>
    </row>
    <row r="300" spans="1:5" x14ac:dyDescent="0.3">
      <c r="A300" t="s">
        <v>60</v>
      </c>
      <c r="B300" t="s">
        <v>75</v>
      </c>
      <c r="C300" t="s">
        <v>95</v>
      </c>
      <c r="D300" t="s">
        <v>36</v>
      </c>
      <c r="E300">
        <v>2.34377694553184</v>
      </c>
    </row>
    <row r="301" spans="1:5" x14ac:dyDescent="0.3">
      <c r="A301" t="s">
        <v>60</v>
      </c>
      <c r="B301" t="s">
        <v>76</v>
      </c>
      <c r="C301" t="s">
        <v>96</v>
      </c>
      <c r="D301" t="s">
        <v>36</v>
      </c>
      <c r="E301">
        <v>1.735218519530322</v>
      </c>
    </row>
    <row r="302" spans="1:5" x14ac:dyDescent="0.3">
      <c r="A302" t="s">
        <v>60</v>
      </c>
      <c r="B302" t="s">
        <v>76</v>
      </c>
      <c r="C302" t="s">
        <v>97</v>
      </c>
      <c r="D302" t="s">
        <v>36</v>
      </c>
      <c r="E302">
        <v>1.912190099149347</v>
      </c>
    </row>
    <row r="303" spans="1:5" x14ac:dyDescent="0.3">
      <c r="A303" t="s">
        <v>60</v>
      </c>
      <c r="B303" t="s">
        <v>76</v>
      </c>
      <c r="C303" t="s">
        <v>98</v>
      </c>
      <c r="D303" t="s">
        <v>36</v>
      </c>
      <c r="E303">
        <v>1.6525714445258439</v>
      </c>
    </row>
    <row r="304" spans="1:5" x14ac:dyDescent="0.3">
      <c r="A304" t="s">
        <v>60</v>
      </c>
      <c r="B304" t="s">
        <v>0</v>
      </c>
      <c r="C304" t="s">
        <v>99</v>
      </c>
      <c r="D304" t="s">
        <v>36</v>
      </c>
      <c r="E304">
        <v>0.99990983294004609</v>
      </c>
    </row>
    <row r="305" spans="1:5" x14ac:dyDescent="0.3">
      <c r="A305" t="s">
        <v>60</v>
      </c>
      <c r="B305" t="s">
        <v>0</v>
      </c>
      <c r="C305" t="s">
        <v>100</v>
      </c>
      <c r="D305" t="s">
        <v>36</v>
      </c>
      <c r="E305">
        <v>2.838221381267739</v>
      </c>
    </row>
    <row r="306" spans="1:5" x14ac:dyDescent="0.3">
      <c r="A306" t="s">
        <v>60</v>
      </c>
      <c r="B306" t="s">
        <v>0</v>
      </c>
      <c r="C306" t="s">
        <v>101</v>
      </c>
      <c r="D306" t="s">
        <v>36</v>
      </c>
      <c r="E306">
        <v>0.84477296726504747</v>
      </c>
    </row>
    <row r="307" spans="1:5" x14ac:dyDescent="0.3">
      <c r="A307" t="s">
        <v>60</v>
      </c>
      <c r="B307" t="s">
        <v>0</v>
      </c>
      <c r="C307" t="s">
        <v>102</v>
      </c>
      <c r="D307" t="s">
        <v>36</v>
      </c>
      <c r="E307">
        <v>1.3820189181777629</v>
      </c>
    </row>
    <row r="308" spans="1:5" x14ac:dyDescent="0.3">
      <c r="A308" t="s">
        <v>60</v>
      </c>
      <c r="B308" t="s">
        <v>0</v>
      </c>
      <c r="C308" t="s">
        <v>103</v>
      </c>
      <c r="D308" t="s">
        <v>36</v>
      </c>
      <c r="E308">
        <v>0.59565191030422171</v>
      </c>
    </row>
    <row r="309" spans="1:5" x14ac:dyDescent="0.3">
      <c r="A309" t="s">
        <v>60</v>
      </c>
      <c r="B309" t="s">
        <v>0</v>
      </c>
      <c r="C309" t="s">
        <v>104</v>
      </c>
      <c r="D309" t="s">
        <v>36</v>
      </c>
      <c r="E309">
        <v>1.27253446447508</v>
      </c>
    </row>
    <row r="310" spans="1:5" x14ac:dyDescent="0.3">
      <c r="A310" t="s">
        <v>60</v>
      </c>
      <c r="B310" t="s">
        <v>0</v>
      </c>
      <c r="C310" t="s">
        <v>105</v>
      </c>
      <c r="D310" t="s">
        <v>36</v>
      </c>
      <c r="E310"/>
    </row>
    <row r="311" spans="1:5" x14ac:dyDescent="0.3">
      <c r="A311" t="s">
        <v>60</v>
      </c>
      <c r="B311" t="s">
        <v>0</v>
      </c>
      <c r="C311" t="s">
        <v>106</v>
      </c>
      <c r="D311" t="s">
        <v>36</v>
      </c>
      <c r="E311">
        <v>3.4818277113949621</v>
      </c>
    </row>
    <row r="312" spans="1:5" x14ac:dyDescent="0.3">
      <c r="A312" t="s">
        <v>60</v>
      </c>
      <c r="B312" t="s">
        <v>0</v>
      </c>
      <c r="C312" t="s">
        <v>107</v>
      </c>
      <c r="D312" t="s">
        <v>36</v>
      </c>
      <c r="E312">
        <v>0.8689481819833863</v>
      </c>
    </row>
    <row r="313" spans="1:5" x14ac:dyDescent="0.3">
      <c r="A313" t="s">
        <v>60</v>
      </c>
      <c r="B313" t="s">
        <v>0</v>
      </c>
      <c r="C313" t="s">
        <v>108</v>
      </c>
      <c r="D313" t="s">
        <v>36</v>
      </c>
      <c r="E313">
        <v>1.6134503838548839</v>
      </c>
    </row>
    <row r="314" spans="1:5" x14ac:dyDescent="0.3">
      <c r="A314" t="s">
        <v>60</v>
      </c>
      <c r="B314" t="s">
        <v>0</v>
      </c>
      <c r="C314" t="s">
        <v>109</v>
      </c>
      <c r="D314" t="s">
        <v>36</v>
      </c>
      <c r="E314">
        <v>0.9355462567405276</v>
      </c>
    </row>
    <row r="315" spans="1:5" x14ac:dyDescent="0.3">
      <c r="A315" t="s">
        <v>60</v>
      </c>
      <c r="B315" t="s">
        <v>0</v>
      </c>
      <c r="C315" t="s">
        <v>110</v>
      </c>
      <c r="D315" t="s">
        <v>36</v>
      </c>
      <c r="E315">
        <v>2.0682523267838682</v>
      </c>
    </row>
    <row r="316" spans="1:5" x14ac:dyDescent="0.3">
      <c r="A316" t="s">
        <v>60</v>
      </c>
      <c r="B316" t="s">
        <v>0</v>
      </c>
      <c r="C316" t="s">
        <v>111</v>
      </c>
      <c r="D316" t="s">
        <v>36</v>
      </c>
      <c r="E316">
        <v>0.4464285714285714</v>
      </c>
    </row>
    <row r="317" spans="1:5" x14ac:dyDescent="0.3">
      <c r="A317" t="s">
        <v>60</v>
      </c>
      <c r="B317" t="s">
        <v>0</v>
      </c>
      <c r="C317" t="s">
        <v>112</v>
      </c>
      <c r="D317" t="s">
        <v>36</v>
      </c>
      <c r="E317">
        <v>1.317122593718338</v>
      </c>
    </row>
    <row r="318" spans="1:5" x14ac:dyDescent="0.3">
      <c r="A318" t="s">
        <v>60</v>
      </c>
      <c r="B318" t="s">
        <v>0</v>
      </c>
      <c r="C318" t="s">
        <v>113</v>
      </c>
      <c r="D318" t="s">
        <v>36</v>
      </c>
      <c r="E318">
        <v>1.0792047437263099</v>
      </c>
    </row>
    <row r="319" spans="1:5" x14ac:dyDescent="0.3">
      <c r="A319" t="s">
        <v>60</v>
      </c>
      <c r="B319" t="s">
        <v>0</v>
      </c>
      <c r="C319" t="s">
        <v>114</v>
      </c>
      <c r="D319" t="s">
        <v>36</v>
      </c>
      <c r="E319">
        <v>1.584004123945457</v>
      </c>
    </row>
    <row r="320" spans="1:5" x14ac:dyDescent="0.3">
      <c r="A320" t="s">
        <v>60</v>
      </c>
      <c r="B320" t="s">
        <v>0</v>
      </c>
      <c r="C320" t="s">
        <v>115</v>
      </c>
      <c r="D320" t="s">
        <v>36</v>
      </c>
      <c r="E320">
        <v>0.98407157265489076</v>
      </c>
    </row>
    <row r="321" spans="1:5" x14ac:dyDescent="0.3">
      <c r="A321" t="s">
        <v>60</v>
      </c>
      <c r="B321" t="s">
        <v>0</v>
      </c>
      <c r="C321" t="s">
        <v>116</v>
      </c>
      <c r="D321" t="s">
        <v>36</v>
      </c>
      <c r="E321">
        <v>6.3043332112642254</v>
      </c>
    </row>
    <row r="322" spans="1:5" x14ac:dyDescent="0.3">
      <c r="A322" t="s">
        <v>61</v>
      </c>
      <c r="B322" t="s">
        <v>69</v>
      </c>
      <c r="C322" t="s">
        <v>69</v>
      </c>
      <c r="D322" t="s">
        <v>33</v>
      </c>
      <c r="E322">
        <v>33.586094071306</v>
      </c>
    </row>
    <row r="323" spans="1:5" x14ac:dyDescent="0.3">
      <c r="A323" t="s">
        <v>61</v>
      </c>
      <c r="B323" t="s">
        <v>70</v>
      </c>
      <c r="C323" t="s">
        <v>78</v>
      </c>
      <c r="D323" t="s">
        <v>33</v>
      </c>
      <c r="E323">
        <v>32.11526993336237</v>
      </c>
    </row>
    <row r="324" spans="1:5" x14ac:dyDescent="0.3">
      <c r="A324" t="s">
        <v>61</v>
      </c>
      <c r="B324" t="s">
        <v>70</v>
      </c>
      <c r="C324" t="s">
        <v>79</v>
      </c>
      <c r="D324" t="s">
        <v>33</v>
      </c>
      <c r="E324">
        <v>33.06288344065225</v>
      </c>
    </row>
    <row r="325" spans="1:5" x14ac:dyDescent="0.3">
      <c r="A325" t="s">
        <v>61</v>
      </c>
      <c r="B325" t="s">
        <v>70</v>
      </c>
      <c r="C325" t="s">
        <v>80</v>
      </c>
      <c r="D325" t="s">
        <v>33</v>
      </c>
      <c r="E325">
        <v>35.910001572046269</v>
      </c>
    </row>
    <row r="326" spans="1:5" x14ac:dyDescent="0.3">
      <c r="A326" t="s">
        <v>61</v>
      </c>
      <c r="B326" t="s">
        <v>70</v>
      </c>
      <c r="C326" t="s">
        <v>81</v>
      </c>
      <c r="D326" t="s">
        <v>33</v>
      </c>
      <c r="E326">
        <v>36.13714394100208</v>
      </c>
    </row>
    <row r="327" spans="1:5" x14ac:dyDescent="0.3">
      <c r="A327" t="s">
        <v>61</v>
      </c>
      <c r="B327" t="s">
        <v>71</v>
      </c>
      <c r="C327" t="s">
        <v>82</v>
      </c>
      <c r="D327" t="s">
        <v>33</v>
      </c>
      <c r="E327">
        <v>31.1736204735051</v>
      </c>
    </row>
    <row r="328" spans="1:5" x14ac:dyDescent="0.3">
      <c r="A328" t="s">
        <v>61</v>
      </c>
      <c r="B328" t="s">
        <v>71</v>
      </c>
      <c r="C328" t="s">
        <v>83</v>
      </c>
      <c r="D328" t="s">
        <v>33</v>
      </c>
      <c r="E328">
        <v>33.385099451301663</v>
      </c>
    </row>
    <row r="329" spans="1:5" x14ac:dyDescent="0.3">
      <c r="A329" t="s">
        <v>61</v>
      </c>
      <c r="B329" t="s">
        <v>71</v>
      </c>
      <c r="C329" t="s">
        <v>84</v>
      </c>
      <c r="D329" t="s">
        <v>33</v>
      </c>
      <c r="E329">
        <v>35.289531809604277</v>
      </c>
    </row>
    <row r="330" spans="1:5" x14ac:dyDescent="0.3">
      <c r="A330" t="s">
        <v>61</v>
      </c>
      <c r="B330" t="s">
        <v>71</v>
      </c>
      <c r="C330" t="s">
        <v>85</v>
      </c>
      <c r="D330" t="s">
        <v>33</v>
      </c>
      <c r="E330">
        <v>34.90499896104005</v>
      </c>
    </row>
    <row r="331" spans="1:5" x14ac:dyDescent="0.3">
      <c r="A331" t="s">
        <v>61</v>
      </c>
      <c r="B331" t="s">
        <v>72</v>
      </c>
      <c r="C331" t="s">
        <v>86</v>
      </c>
      <c r="D331" t="s">
        <v>33</v>
      </c>
      <c r="E331">
        <v>33.555298570473227</v>
      </c>
    </row>
    <row r="332" spans="1:5" x14ac:dyDescent="0.3">
      <c r="A332" t="s">
        <v>61</v>
      </c>
      <c r="B332" t="s">
        <v>72</v>
      </c>
      <c r="C332" t="s">
        <v>87</v>
      </c>
      <c r="D332" t="s">
        <v>33</v>
      </c>
      <c r="E332">
        <v>33.618661821602117</v>
      </c>
    </row>
    <row r="333" spans="1:5" x14ac:dyDescent="0.3">
      <c r="A333" t="s">
        <v>61</v>
      </c>
      <c r="B333" t="s">
        <v>73</v>
      </c>
      <c r="C333" t="s">
        <v>88</v>
      </c>
      <c r="D333" t="s">
        <v>33</v>
      </c>
      <c r="E333">
        <v>33.445346774884342</v>
      </c>
    </row>
    <row r="334" spans="1:5" x14ac:dyDescent="0.3">
      <c r="A334" t="s">
        <v>61</v>
      </c>
      <c r="B334" t="s">
        <v>73</v>
      </c>
      <c r="C334" t="s">
        <v>89</v>
      </c>
      <c r="D334" t="s">
        <v>33</v>
      </c>
      <c r="E334">
        <v>33.482136924104793</v>
      </c>
    </row>
    <row r="335" spans="1:5" x14ac:dyDescent="0.3">
      <c r="A335" t="s">
        <v>61</v>
      </c>
      <c r="B335" t="s">
        <v>74</v>
      </c>
      <c r="C335" t="s">
        <v>90</v>
      </c>
      <c r="D335" t="s">
        <v>33</v>
      </c>
      <c r="E335">
        <v>32.671991975530887</v>
      </c>
    </row>
    <row r="336" spans="1:5" x14ac:dyDescent="0.3">
      <c r="A336" t="s">
        <v>61</v>
      </c>
      <c r="B336" t="s">
        <v>74</v>
      </c>
      <c r="C336" t="s">
        <v>91</v>
      </c>
      <c r="D336" t="s">
        <v>33</v>
      </c>
      <c r="E336">
        <v>33.795029765218999</v>
      </c>
    </row>
    <row r="337" spans="1:5" x14ac:dyDescent="0.3">
      <c r="A337" t="s">
        <v>61</v>
      </c>
      <c r="B337" t="s">
        <v>75</v>
      </c>
      <c r="C337" t="s">
        <v>92</v>
      </c>
      <c r="D337" t="s">
        <v>33</v>
      </c>
      <c r="E337">
        <v>34.791187472815317</v>
      </c>
    </row>
    <row r="338" spans="1:5" x14ac:dyDescent="0.3">
      <c r="A338" t="s">
        <v>61</v>
      </c>
      <c r="B338" t="s">
        <v>75</v>
      </c>
      <c r="C338" t="s">
        <v>93</v>
      </c>
      <c r="D338" t="s">
        <v>33</v>
      </c>
      <c r="E338">
        <v>35.821506815676372</v>
      </c>
    </row>
    <row r="339" spans="1:5" x14ac:dyDescent="0.3">
      <c r="A339" t="s">
        <v>61</v>
      </c>
      <c r="B339" t="s">
        <v>75</v>
      </c>
      <c r="C339" t="s">
        <v>94</v>
      </c>
      <c r="D339" t="s">
        <v>33</v>
      </c>
      <c r="E339">
        <v>31.74222989754762</v>
      </c>
    </row>
    <row r="340" spans="1:5" x14ac:dyDescent="0.3">
      <c r="A340" t="s">
        <v>61</v>
      </c>
      <c r="B340" t="s">
        <v>75</v>
      </c>
      <c r="C340" t="s">
        <v>95</v>
      </c>
      <c r="D340" t="s">
        <v>33</v>
      </c>
      <c r="E340">
        <v>35.727767838038048</v>
      </c>
    </row>
    <row r="341" spans="1:5" x14ac:dyDescent="0.3">
      <c r="A341" t="s">
        <v>61</v>
      </c>
      <c r="B341" t="s">
        <v>76</v>
      </c>
      <c r="C341" t="s">
        <v>96</v>
      </c>
      <c r="D341" t="s">
        <v>33</v>
      </c>
      <c r="E341">
        <v>27.534906245685239</v>
      </c>
    </row>
    <row r="342" spans="1:5" x14ac:dyDescent="0.3">
      <c r="A342" t="s">
        <v>61</v>
      </c>
      <c r="B342" t="s">
        <v>76</v>
      </c>
      <c r="C342" t="s">
        <v>97</v>
      </c>
      <c r="D342" t="s">
        <v>33</v>
      </c>
      <c r="E342">
        <v>27.33551555977968</v>
      </c>
    </row>
    <row r="343" spans="1:5" x14ac:dyDescent="0.3">
      <c r="A343" t="s">
        <v>61</v>
      </c>
      <c r="B343" t="s">
        <v>76</v>
      </c>
      <c r="C343" t="s">
        <v>98</v>
      </c>
      <c r="D343" t="s">
        <v>33</v>
      </c>
      <c r="E343">
        <v>39.151792244143657</v>
      </c>
    </row>
    <row r="344" spans="1:5" x14ac:dyDescent="0.3">
      <c r="A344" t="s">
        <v>61</v>
      </c>
      <c r="B344" t="s">
        <v>0</v>
      </c>
      <c r="C344" t="s">
        <v>99</v>
      </c>
      <c r="D344" t="s">
        <v>33</v>
      </c>
      <c r="E344">
        <v>63.688573989759632</v>
      </c>
    </row>
    <row r="345" spans="1:5" x14ac:dyDescent="0.3">
      <c r="A345" t="s">
        <v>61</v>
      </c>
      <c r="B345" t="s">
        <v>0</v>
      </c>
      <c r="C345" t="s">
        <v>100</v>
      </c>
      <c r="D345" t="s">
        <v>33</v>
      </c>
      <c r="E345">
        <v>23.647570828919161</v>
      </c>
    </row>
    <row r="346" spans="1:5" x14ac:dyDescent="0.3">
      <c r="A346" t="s">
        <v>61</v>
      </c>
      <c r="B346" t="s">
        <v>0</v>
      </c>
      <c r="C346" t="s">
        <v>101</v>
      </c>
      <c r="D346" t="s">
        <v>33</v>
      </c>
      <c r="E346">
        <v>32.920536635706917</v>
      </c>
    </row>
    <row r="347" spans="1:5" x14ac:dyDescent="0.3">
      <c r="A347" t="s">
        <v>61</v>
      </c>
      <c r="B347" t="s">
        <v>0</v>
      </c>
      <c r="C347" t="s">
        <v>102</v>
      </c>
      <c r="D347" t="s">
        <v>33</v>
      </c>
      <c r="E347">
        <v>30.460539344371689</v>
      </c>
    </row>
    <row r="348" spans="1:5" x14ac:dyDescent="0.3">
      <c r="A348" t="s">
        <v>61</v>
      </c>
      <c r="B348" t="s">
        <v>0</v>
      </c>
      <c r="C348" t="s">
        <v>103</v>
      </c>
      <c r="D348" t="s">
        <v>33</v>
      </c>
      <c r="E348">
        <v>41.498090806361333</v>
      </c>
    </row>
    <row r="349" spans="1:5" x14ac:dyDescent="0.3">
      <c r="A349" t="s">
        <v>61</v>
      </c>
      <c r="B349" t="s">
        <v>0</v>
      </c>
      <c r="C349" t="s">
        <v>104</v>
      </c>
      <c r="D349" t="s">
        <v>33</v>
      </c>
      <c r="E349">
        <v>16.111111111111111</v>
      </c>
    </row>
    <row r="350" spans="1:5" x14ac:dyDescent="0.3">
      <c r="A350" t="s">
        <v>61</v>
      </c>
      <c r="B350" t="s">
        <v>0</v>
      </c>
      <c r="C350" t="s">
        <v>105</v>
      </c>
      <c r="D350" t="s">
        <v>33</v>
      </c>
      <c r="E350"/>
    </row>
    <row r="351" spans="1:5" x14ac:dyDescent="0.3">
      <c r="A351" t="s">
        <v>61</v>
      </c>
      <c r="B351" t="s">
        <v>0</v>
      </c>
      <c r="C351" t="s">
        <v>106</v>
      </c>
      <c r="D351" t="s">
        <v>33</v>
      </c>
      <c r="E351">
        <v>36.331733813118348</v>
      </c>
    </row>
    <row r="352" spans="1:5" x14ac:dyDescent="0.3">
      <c r="A352" t="s">
        <v>61</v>
      </c>
      <c r="B352" t="s">
        <v>0</v>
      </c>
      <c r="C352" t="s">
        <v>107</v>
      </c>
      <c r="D352" t="s">
        <v>33</v>
      </c>
      <c r="E352">
        <v>33.817751788014142</v>
      </c>
    </row>
    <row r="353" spans="1:5" x14ac:dyDescent="0.3">
      <c r="A353" t="s">
        <v>61</v>
      </c>
      <c r="B353" t="s">
        <v>0</v>
      </c>
      <c r="C353" t="s">
        <v>108</v>
      </c>
      <c r="D353" t="s">
        <v>33</v>
      </c>
      <c r="E353">
        <v>19.116954392149282</v>
      </c>
    </row>
    <row r="354" spans="1:5" x14ac:dyDescent="0.3">
      <c r="A354" t="s">
        <v>61</v>
      </c>
      <c r="B354" t="s">
        <v>0</v>
      </c>
      <c r="C354" t="s">
        <v>109</v>
      </c>
      <c r="D354" t="s">
        <v>33</v>
      </c>
      <c r="E354">
        <v>47.921509797128138</v>
      </c>
    </row>
    <row r="355" spans="1:5" x14ac:dyDescent="0.3">
      <c r="A355" t="s">
        <v>61</v>
      </c>
      <c r="B355" t="s">
        <v>0</v>
      </c>
      <c r="C355" t="s">
        <v>110</v>
      </c>
      <c r="D355" t="s">
        <v>33</v>
      </c>
      <c r="E355">
        <v>24.035281146637271</v>
      </c>
    </row>
    <row r="356" spans="1:5" x14ac:dyDescent="0.3">
      <c r="A356" t="s">
        <v>61</v>
      </c>
      <c r="B356" t="s">
        <v>0</v>
      </c>
      <c r="C356" t="s">
        <v>111</v>
      </c>
      <c r="D356" t="s">
        <v>33</v>
      </c>
      <c r="E356">
        <v>46.764961967574237</v>
      </c>
    </row>
    <row r="357" spans="1:5" x14ac:dyDescent="0.3">
      <c r="A357" t="s">
        <v>61</v>
      </c>
      <c r="B357" t="s">
        <v>0</v>
      </c>
      <c r="C357" t="s">
        <v>112</v>
      </c>
      <c r="D357" t="s">
        <v>33</v>
      </c>
      <c r="E357">
        <v>29.156211456363032</v>
      </c>
    </row>
    <row r="358" spans="1:5" x14ac:dyDescent="0.3">
      <c r="A358" t="s">
        <v>61</v>
      </c>
      <c r="B358" t="s">
        <v>0</v>
      </c>
      <c r="C358" t="s">
        <v>113</v>
      </c>
      <c r="D358" t="s">
        <v>33</v>
      </c>
      <c r="E358">
        <v>40.033727491073613</v>
      </c>
    </row>
    <row r="359" spans="1:5" x14ac:dyDescent="0.3">
      <c r="A359" t="s">
        <v>61</v>
      </c>
      <c r="B359" t="s">
        <v>0</v>
      </c>
      <c r="C359" t="s">
        <v>114</v>
      </c>
      <c r="D359" t="s">
        <v>33</v>
      </c>
      <c r="E359">
        <v>22.207868333073709</v>
      </c>
    </row>
    <row r="360" spans="1:5" x14ac:dyDescent="0.3">
      <c r="A360" t="s">
        <v>61</v>
      </c>
      <c r="B360" t="s">
        <v>0</v>
      </c>
      <c r="C360" t="s">
        <v>115</v>
      </c>
      <c r="D360" t="s">
        <v>33</v>
      </c>
      <c r="E360">
        <v>30.414158075809929</v>
      </c>
    </row>
    <row r="361" spans="1:5" x14ac:dyDescent="0.3">
      <c r="A361" t="s">
        <v>61</v>
      </c>
      <c r="B361" t="s">
        <v>0</v>
      </c>
      <c r="C361" t="s">
        <v>116</v>
      </c>
      <c r="D361" t="s">
        <v>33</v>
      </c>
      <c r="E361">
        <v>24.287787004647761</v>
      </c>
    </row>
    <row r="362" spans="1:5" x14ac:dyDescent="0.3">
      <c r="A362" t="s">
        <v>61</v>
      </c>
      <c r="B362" t="s">
        <v>69</v>
      </c>
      <c r="C362" t="s">
        <v>69</v>
      </c>
      <c r="D362" t="s">
        <v>34</v>
      </c>
      <c r="E362">
        <v>53.297753843337183</v>
      </c>
    </row>
    <row r="363" spans="1:5" x14ac:dyDescent="0.3">
      <c r="A363" t="s">
        <v>61</v>
      </c>
      <c r="B363" t="s">
        <v>70</v>
      </c>
      <c r="C363" t="s">
        <v>78</v>
      </c>
      <c r="D363" t="s">
        <v>34</v>
      </c>
      <c r="E363">
        <v>53.929653044556012</v>
      </c>
    </row>
    <row r="364" spans="1:5" x14ac:dyDescent="0.3">
      <c r="A364" t="s">
        <v>61</v>
      </c>
      <c r="B364" t="s">
        <v>70</v>
      </c>
      <c r="C364" t="s">
        <v>79</v>
      </c>
      <c r="D364" t="s">
        <v>34</v>
      </c>
      <c r="E364">
        <v>52.967360173815301</v>
      </c>
    </row>
    <row r="365" spans="1:5" x14ac:dyDescent="0.3">
      <c r="A365" t="s">
        <v>61</v>
      </c>
      <c r="B365" t="s">
        <v>70</v>
      </c>
      <c r="C365" t="s">
        <v>80</v>
      </c>
      <c r="D365" t="s">
        <v>34</v>
      </c>
      <c r="E365">
        <v>53.243030541721502</v>
      </c>
    </row>
    <row r="366" spans="1:5" x14ac:dyDescent="0.3">
      <c r="A366" t="s">
        <v>61</v>
      </c>
      <c r="B366" t="s">
        <v>70</v>
      </c>
      <c r="C366" t="s">
        <v>81</v>
      </c>
      <c r="D366" t="s">
        <v>34</v>
      </c>
      <c r="E366">
        <v>53.273224480326107</v>
      </c>
    </row>
    <row r="367" spans="1:5" x14ac:dyDescent="0.3">
      <c r="A367" t="s">
        <v>61</v>
      </c>
      <c r="B367" t="s">
        <v>71</v>
      </c>
      <c r="C367" t="s">
        <v>82</v>
      </c>
      <c r="D367" t="s">
        <v>34</v>
      </c>
      <c r="E367">
        <v>52.625145652657949</v>
      </c>
    </row>
    <row r="368" spans="1:5" x14ac:dyDescent="0.3">
      <c r="A368" t="s">
        <v>61</v>
      </c>
      <c r="B368" t="s">
        <v>71</v>
      </c>
      <c r="C368" t="s">
        <v>83</v>
      </c>
      <c r="D368" t="s">
        <v>34</v>
      </c>
      <c r="E368">
        <v>53.559456549015508</v>
      </c>
    </row>
    <row r="369" spans="1:5" x14ac:dyDescent="0.3">
      <c r="A369" t="s">
        <v>61</v>
      </c>
      <c r="B369" t="s">
        <v>71</v>
      </c>
      <c r="C369" t="s">
        <v>84</v>
      </c>
      <c r="D369" t="s">
        <v>34</v>
      </c>
      <c r="E369">
        <v>53.504757351993938</v>
      </c>
    </row>
    <row r="370" spans="1:5" x14ac:dyDescent="0.3">
      <c r="A370" t="s">
        <v>61</v>
      </c>
      <c r="B370" t="s">
        <v>71</v>
      </c>
      <c r="C370" t="s">
        <v>85</v>
      </c>
      <c r="D370" t="s">
        <v>34</v>
      </c>
      <c r="E370">
        <v>53.188975960734972</v>
      </c>
    </row>
    <row r="371" spans="1:5" x14ac:dyDescent="0.3">
      <c r="A371" t="s">
        <v>61</v>
      </c>
      <c r="B371" t="s">
        <v>72</v>
      </c>
      <c r="C371" t="s">
        <v>86</v>
      </c>
      <c r="D371" t="s">
        <v>34</v>
      </c>
      <c r="E371">
        <v>53.346357410793729</v>
      </c>
    </row>
    <row r="372" spans="1:5" x14ac:dyDescent="0.3">
      <c r="A372" t="s">
        <v>61</v>
      </c>
      <c r="B372" t="s">
        <v>72</v>
      </c>
      <c r="C372" t="s">
        <v>87</v>
      </c>
      <c r="D372" t="s">
        <v>34</v>
      </c>
      <c r="E372">
        <v>53.246353190461953</v>
      </c>
    </row>
    <row r="373" spans="1:5" x14ac:dyDescent="0.3">
      <c r="A373" t="s">
        <v>61</v>
      </c>
      <c r="B373" t="s">
        <v>73</v>
      </c>
      <c r="C373" t="s">
        <v>88</v>
      </c>
      <c r="D373" t="s">
        <v>34</v>
      </c>
      <c r="E373">
        <v>52.200938144125637</v>
      </c>
    </row>
    <row r="374" spans="1:5" x14ac:dyDescent="0.3">
      <c r="A374" t="s">
        <v>61</v>
      </c>
      <c r="B374" t="s">
        <v>73</v>
      </c>
      <c r="C374" t="s">
        <v>89</v>
      </c>
      <c r="D374" t="s">
        <v>34</v>
      </c>
      <c r="E374">
        <v>54.290155443381103</v>
      </c>
    </row>
    <row r="375" spans="1:5" x14ac:dyDescent="0.3">
      <c r="A375" t="s">
        <v>61</v>
      </c>
      <c r="B375" t="s">
        <v>74</v>
      </c>
      <c r="C375" t="s">
        <v>90</v>
      </c>
      <c r="D375" t="s">
        <v>34</v>
      </c>
      <c r="E375">
        <v>53.722435831868673</v>
      </c>
    </row>
    <row r="376" spans="1:5" x14ac:dyDescent="0.3">
      <c r="A376" t="s">
        <v>61</v>
      </c>
      <c r="B376" t="s">
        <v>74</v>
      </c>
      <c r="C376" t="s">
        <v>91</v>
      </c>
      <c r="D376" t="s">
        <v>34</v>
      </c>
      <c r="E376">
        <v>53.244045048119823</v>
      </c>
    </row>
    <row r="377" spans="1:5" x14ac:dyDescent="0.3">
      <c r="A377" t="s">
        <v>61</v>
      </c>
      <c r="B377" t="s">
        <v>75</v>
      </c>
      <c r="C377" t="s">
        <v>92</v>
      </c>
      <c r="D377" t="s">
        <v>34</v>
      </c>
      <c r="E377">
        <v>54.888270363123901</v>
      </c>
    </row>
    <row r="378" spans="1:5" x14ac:dyDescent="0.3">
      <c r="A378" t="s">
        <v>61</v>
      </c>
      <c r="B378" t="s">
        <v>75</v>
      </c>
      <c r="C378" t="s">
        <v>93</v>
      </c>
      <c r="D378" t="s">
        <v>34</v>
      </c>
      <c r="E378">
        <v>52.114855970474927</v>
      </c>
    </row>
    <row r="379" spans="1:5" x14ac:dyDescent="0.3">
      <c r="A379" t="s">
        <v>61</v>
      </c>
      <c r="B379" t="s">
        <v>75</v>
      </c>
      <c r="C379" t="s">
        <v>94</v>
      </c>
      <c r="D379" t="s">
        <v>34</v>
      </c>
      <c r="E379">
        <v>54.233423521515491</v>
      </c>
    </row>
    <row r="380" spans="1:5" x14ac:dyDescent="0.3">
      <c r="A380" t="s">
        <v>61</v>
      </c>
      <c r="B380" t="s">
        <v>75</v>
      </c>
      <c r="C380" t="s">
        <v>95</v>
      </c>
      <c r="D380" t="s">
        <v>34</v>
      </c>
      <c r="E380">
        <v>51.423955740888474</v>
      </c>
    </row>
    <row r="381" spans="1:5" x14ac:dyDescent="0.3">
      <c r="A381" t="s">
        <v>61</v>
      </c>
      <c r="B381" t="s">
        <v>76</v>
      </c>
      <c r="C381" t="s">
        <v>96</v>
      </c>
      <c r="D381" t="s">
        <v>34</v>
      </c>
      <c r="E381">
        <v>56.564353582696029</v>
      </c>
    </row>
    <row r="382" spans="1:5" x14ac:dyDescent="0.3">
      <c r="A382" t="s">
        <v>61</v>
      </c>
      <c r="B382" t="s">
        <v>76</v>
      </c>
      <c r="C382" t="s">
        <v>97</v>
      </c>
      <c r="D382" t="s">
        <v>34</v>
      </c>
      <c r="E382">
        <v>56.314009836739409</v>
      </c>
    </row>
    <row r="383" spans="1:5" x14ac:dyDescent="0.3">
      <c r="A383" t="s">
        <v>61</v>
      </c>
      <c r="B383" t="s">
        <v>76</v>
      </c>
      <c r="C383" t="s">
        <v>98</v>
      </c>
      <c r="D383" t="s">
        <v>34</v>
      </c>
      <c r="E383">
        <v>50.444371752371417</v>
      </c>
    </row>
    <row r="384" spans="1:5" x14ac:dyDescent="0.3">
      <c r="A384" t="s">
        <v>61</v>
      </c>
      <c r="B384" t="s">
        <v>0</v>
      </c>
      <c r="C384" t="s">
        <v>99</v>
      </c>
      <c r="D384" t="s">
        <v>34</v>
      </c>
      <c r="E384">
        <v>33.837419537814078</v>
      </c>
    </row>
    <row r="385" spans="1:5" x14ac:dyDescent="0.3">
      <c r="A385" t="s">
        <v>61</v>
      </c>
      <c r="B385" t="s">
        <v>0</v>
      </c>
      <c r="C385" t="s">
        <v>100</v>
      </c>
      <c r="D385" t="s">
        <v>34</v>
      </c>
      <c r="E385">
        <v>63.166447647879437</v>
      </c>
    </row>
    <row r="386" spans="1:5" x14ac:dyDescent="0.3">
      <c r="A386" t="s">
        <v>61</v>
      </c>
      <c r="B386" t="s">
        <v>0</v>
      </c>
      <c r="C386" t="s">
        <v>101</v>
      </c>
      <c r="D386" t="s">
        <v>34</v>
      </c>
      <c r="E386">
        <v>53.044375644994837</v>
      </c>
    </row>
    <row r="387" spans="1:5" x14ac:dyDescent="0.3">
      <c r="A387" t="s">
        <v>61</v>
      </c>
      <c r="B387" t="s">
        <v>0</v>
      </c>
      <c r="C387" t="s">
        <v>102</v>
      </c>
      <c r="D387" t="s">
        <v>34</v>
      </c>
      <c r="E387">
        <v>60.406550171028947</v>
      </c>
    </row>
    <row r="388" spans="1:5" x14ac:dyDescent="0.3">
      <c r="A388" t="s">
        <v>61</v>
      </c>
      <c r="B388" t="s">
        <v>0</v>
      </c>
      <c r="C388" t="s">
        <v>103</v>
      </c>
      <c r="D388" t="s">
        <v>34</v>
      </c>
      <c r="E388">
        <v>49.21158753447186</v>
      </c>
    </row>
    <row r="389" spans="1:5" x14ac:dyDescent="0.3">
      <c r="A389" t="s">
        <v>61</v>
      </c>
      <c r="B389" t="s">
        <v>0</v>
      </c>
      <c r="C389" t="s">
        <v>104</v>
      </c>
      <c r="D389" t="s">
        <v>34</v>
      </c>
      <c r="E389">
        <v>58.888888888888893</v>
      </c>
    </row>
    <row r="390" spans="1:5" x14ac:dyDescent="0.3">
      <c r="A390" t="s">
        <v>61</v>
      </c>
      <c r="B390" t="s">
        <v>0</v>
      </c>
      <c r="C390" t="s">
        <v>105</v>
      </c>
      <c r="D390" t="s">
        <v>34</v>
      </c>
      <c r="E390"/>
    </row>
    <row r="391" spans="1:5" x14ac:dyDescent="0.3">
      <c r="A391" t="s">
        <v>61</v>
      </c>
      <c r="B391" t="s">
        <v>0</v>
      </c>
      <c r="C391" t="s">
        <v>106</v>
      </c>
      <c r="D391" t="s">
        <v>34</v>
      </c>
      <c r="E391">
        <v>51.988659110337053</v>
      </c>
    </row>
    <row r="392" spans="1:5" x14ac:dyDescent="0.3">
      <c r="A392" t="s">
        <v>61</v>
      </c>
      <c r="B392" t="s">
        <v>0</v>
      </c>
      <c r="C392" t="s">
        <v>107</v>
      </c>
      <c r="D392" t="s">
        <v>34</v>
      </c>
      <c r="E392">
        <v>53.320346984979622</v>
      </c>
    </row>
    <row r="393" spans="1:5" x14ac:dyDescent="0.3">
      <c r="A393" t="s">
        <v>61</v>
      </c>
      <c r="B393" t="s">
        <v>0</v>
      </c>
      <c r="C393" t="s">
        <v>108</v>
      </c>
      <c r="D393" t="s">
        <v>34</v>
      </c>
      <c r="E393">
        <v>62.49702118981282</v>
      </c>
    </row>
    <row r="394" spans="1:5" x14ac:dyDescent="0.3">
      <c r="A394" t="s">
        <v>61</v>
      </c>
      <c r="B394" t="s">
        <v>0</v>
      </c>
      <c r="C394" t="s">
        <v>109</v>
      </c>
      <c r="D394" t="s">
        <v>34</v>
      </c>
      <c r="E394">
        <v>44.352191947010859</v>
      </c>
    </row>
    <row r="395" spans="1:5" x14ac:dyDescent="0.3">
      <c r="A395" t="s">
        <v>61</v>
      </c>
      <c r="B395" t="s">
        <v>0</v>
      </c>
      <c r="C395" t="s">
        <v>110</v>
      </c>
      <c r="D395" t="s">
        <v>34</v>
      </c>
      <c r="E395">
        <v>54.355016538037482</v>
      </c>
    </row>
    <row r="396" spans="1:5" x14ac:dyDescent="0.3">
      <c r="A396" t="s">
        <v>61</v>
      </c>
      <c r="B396" t="s">
        <v>0</v>
      </c>
      <c r="C396" t="s">
        <v>111</v>
      </c>
      <c r="D396" t="s">
        <v>34</v>
      </c>
      <c r="E396">
        <v>45.030658739868883</v>
      </c>
    </row>
    <row r="397" spans="1:5" x14ac:dyDescent="0.3">
      <c r="A397" t="s">
        <v>61</v>
      </c>
      <c r="B397" t="s">
        <v>0</v>
      </c>
      <c r="C397" t="s">
        <v>112</v>
      </c>
      <c r="D397" t="s">
        <v>34</v>
      </c>
      <c r="E397">
        <v>56.904711107148373</v>
      </c>
    </row>
    <row r="398" spans="1:5" x14ac:dyDescent="0.3">
      <c r="A398" t="s">
        <v>61</v>
      </c>
      <c r="B398" t="s">
        <v>0</v>
      </c>
      <c r="C398" t="s">
        <v>113</v>
      </c>
      <c r="D398" t="s">
        <v>34</v>
      </c>
      <c r="E398">
        <v>52.241447794743983</v>
      </c>
    </row>
    <row r="399" spans="1:5" x14ac:dyDescent="0.3">
      <c r="A399" t="s">
        <v>61</v>
      </c>
      <c r="B399" t="s">
        <v>0</v>
      </c>
      <c r="C399" t="s">
        <v>114</v>
      </c>
      <c r="D399" t="s">
        <v>34</v>
      </c>
      <c r="E399">
        <v>59.146824733322667</v>
      </c>
    </row>
    <row r="400" spans="1:5" x14ac:dyDescent="0.3">
      <c r="A400" t="s">
        <v>61</v>
      </c>
      <c r="B400" t="s">
        <v>0</v>
      </c>
      <c r="C400" t="s">
        <v>115</v>
      </c>
      <c r="D400" t="s">
        <v>34</v>
      </c>
      <c r="E400">
        <v>61.196389327013122</v>
      </c>
    </row>
    <row r="401" spans="1:5" x14ac:dyDescent="0.3">
      <c r="A401" t="s">
        <v>61</v>
      </c>
      <c r="B401" t="s">
        <v>0</v>
      </c>
      <c r="C401" t="s">
        <v>116</v>
      </c>
      <c r="D401" t="s">
        <v>34</v>
      </c>
      <c r="E401">
        <v>50.312580306208389</v>
      </c>
    </row>
    <row r="402" spans="1:5" x14ac:dyDescent="0.3">
      <c r="A402" t="s">
        <v>61</v>
      </c>
      <c r="B402" t="s">
        <v>69</v>
      </c>
      <c r="C402" t="s">
        <v>69</v>
      </c>
      <c r="D402" t="s">
        <v>35</v>
      </c>
      <c r="E402">
        <v>10.937457294447031</v>
      </c>
    </row>
    <row r="403" spans="1:5" x14ac:dyDescent="0.3">
      <c r="A403" t="s">
        <v>61</v>
      </c>
      <c r="B403" t="s">
        <v>70</v>
      </c>
      <c r="C403" t="s">
        <v>78</v>
      </c>
      <c r="D403" t="s">
        <v>35</v>
      </c>
      <c r="E403">
        <v>12.4225445128184</v>
      </c>
    </row>
    <row r="404" spans="1:5" x14ac:dyDescent="0.3">
      <c r="A404" t="s">
        <v>61</v>
      </c>
      <c r="B404" t="s">
        <v>70</v>
      </c>
      <c r="C404" t="s">
        <v>79</v>
      </c>
      <c r="D404" t="s">
        <v>35</v>
      </c>
      <c r="E404">
        <v>11.322238982805059</v>
      </c>
    </row>
    <row r="405" spans="1:5" x14ac:dyDescent="0.3">
      <c r="A405" t="s">
        <v>61</v>
      </c>
      <c r="B405" t="s">
        <v>70</v>
      </c>
      <c r="C405" t="s">
        <v>80</v>
      </c>
      <c r="D405" t="s">
        <v>35</v>
      </c>
      <c r="E405">
        <v>8.9054635997903038</v>
      </c>
    </row>
    <row r="406" spans="1:5" x14ac:dyDescent="0.3">
      <c r="A406" t="s">
        <v>61</v>
      </c>
      <c r="B406" t="s">
        <v>70</v>
      </c>
      <c r="C406" t="s">
        <v>81</v>
      </c>
      <c r="D406" t="s">
        <v>35</v>
      </c>
      <c r="E406">
        <v>8.4590731313274858</v>
      </c>
    </row>
    <row r="407" spans="1:5" x14ac:dyDescent="0.3">
      <c r="A407" t="s">
        <v>61</v>
      </c>
      <c r="B407" t="s">
        <v>71</v>
      </c>
      <c r="C407" t="s">
        <v>82</v>
      </c>
      <c r="D407" t="s">
        <v>35</v>
      </c>
      <c r="E407">
        <v>13.34179707858393</v>
      </c>
    </row>
    <row r="408" spans="1:5" x14ac:dyDescent="0.3">
      <c r="A408" t="s">
        <v>61</v>
      </c>
      <c r="B408" t="s">
        <v>71</v>
      </c>
      <c r="C408" t="s">
        <v>83</v>
      </c>
      <c r="D408" t="s">
        <v>35</v>
      </c>
      <c r="E408">
        <v>10.749253891635931</v>
      </c>
    </row>
    <row r="409" spans="1:5" x14ac:dyDescent="0.3">
      <c r="A409" t="s">
        <v>61</v>
      </c>
      <c r="B409" t="s">
        <v>71</v>
      </c>
      <c r="C409" t="s">
        <v>84</v>
      </c>
      <c r="D409" t="s">
        <v>35</v>
      </c>
      <c r="E409">
        <v>9.412472211365543</v>
      </c>
    </row>
    <row r="410" spans="1:5" x14ac:dyDescent="0.3">
      <c r="A410" t="s">
        <v>61</v>
      </c>
      <c r="B410" t="s">
        <v>71</v>
      </c>
      <c r="C410" t="s">
        <v>85</v>
      </c>
      <c r="D410" t="s">
        <v>35</v>
      </c>
      <c r="E410">
        <v>10.73677294205933</v>
      </c>
    </row>
    <row r="411" spans="1:5" x14ac:dyDescent="0.3">
      <c r="A411" t="s">
        <v>61</v>
      </c>
      <c r="B411" t="s">
        <v>72</v>
      </c>
      <c r="C411" t="s">
        <v>86</v>
      </c>
      <c r="D411" t="s">
        <v>35</v>
      </c>
      <c r="E411">
        <v>10.8491154174719</v>
      </c>
    </row>
    <row r="412" spans="1:5" x14ac:dyDescent="0.3">
      <c r="A412" t="s">
        <v>61</v>
      </c>
      <c r="B412" t="s">
        <v>72</v>
      </c>
      <c r="C412" t="s">
        <v>87</v>
      </c>
      <c r="D412" t="s">
        <v>35</v>
      </c>
      <c r="E412">
        <v>11.03088315576484</v>
      </c>
    </row>
    <row r="413" spans="1:5" x14ac:dyDescent="0.3">
      <c r="A413" t="s">
        <v>61</v>
      </c>
      <c r="B413" t="s">
        <v>73</v>
      </c>
      <c r="C413" t="s">
        <v>88</v>
      </c>
      <c r="D413" t="s">
        <v>35</v>
      </c>
      <c r="E413">
        <v>11.68487699642904</v>
      </c>
    </row>
    <row r="414" spans="1:5" x14ac:dyDescent="0.3">
      <c r="A414" t="s">
        <v>61</v>
      </c>
      <c r="B414" t="s">
        <v>73</v>
      </c>
      <c r="C414" t="s">
        <v>89</v>
      </c>
      <c r="D414" t="s">
        <v>35</v>
      </c>
      <c r="E414">
        <v>10.43732587177726</v>
      </c>
    </row>
    <row r="415" spans="1:5" x14ac:dyDescent="0.3">
      <c r="A415" t="s">
        <v>61</v>
      </c>
      <c r="B415" t="s">
        <v>74</v>
      </c>
      <c r="C415" t="s">
        <v>90</v>
      </c>
      <c r="D415" t="s">
        <v>35</v>
      </c>
      <c r="E415">
        <v>11.60212724651681</v>
      </c>
    </row>
    <row r="416" spans="1:5" x14ac:dyDescent="0.3">
      <c r="A416" t="s">
        <v>61</v>
      </c>
      <c r="B416" t="s">
        <v>74</v>
      </c>
      <c r="C416" t="s">
        <v>91</v>
      </c>
      <c r="D416" t="s">
        <v>35</v>
      </c>
      <c r="E416">
        <v>10.718869660113519</v>
      </c>
    </row>
    <row r="417" spans="1:5" x14ac:dyDescent="0.3">
      <c r="A417" t="s">
        <v>61</v>
      </c>
      <c r="B417" t="s">
        <v>75</v>
      </c>
      <c r="C417" t="s">
        <v>92</v>
      </c>
      <c r="D417" t="s">
        <v>35</v>
      </c>
      <c r="E417">
        <v>9.2975227741604378</v>
      </c>
    </row>
    <row r="418" spans="1:5" x14ac:dyDescent="0.3">
      <c r="A418" t="s">
        <v>61</v>
      </c>
      <c r="B418" t="s">
        <v>75</v>
      </c>
      <c r="C418" t="s">
        <v>93</v>
      </c>
      <c r="D418" t="s">
        <v>35</v>
      </c>
      <c r="E418">
        <v>9.626996828155896</v>
      </c>
    </row>
    <row r="419" spans="1:5" x14ac:dyDescent="0.3">
      <c r="A419" t="s">
        <v>61</v>
      </c>
      <c r="B419" t="s">
        <v>75</v>
      </c>
      <c r="C419" t="s">
        <v>94</v>
      </c>
      <c r="D419" t="s">
        <v>35</v>
      </c>
      <c r="E419">
        <v>11.824878119773819</v>
      </c>
    </row>
    <row r="420" spans="1:5" x14ac:dyDescent="0.3">
      <c r="A420" t="s">
        <v>61</v>
      </c>
      <c r="B420" t="s">
        <v>75</v>
      </c>
      <c r="C420" t="s">
        <v>95</v>
      </c>
      <c r="D420" t="s">
        <v>35</v>
      </c>
      <c r="E420">
        <v>10.70858506147137</v>
      </c>
    </row>
    <row r="421" spans="1:5" x14ac:dyDescent="0.3">
      <c r="A421" t="s">
        <v>61</v>
      </c>
      <c r="B421" t="s">
        <v>76</v>
      </c>
      <c r="C421" t="s">
        <v>96</v>
      </c>
      <c r="D421" t="s">
        <v>35</v>
      </c>
      <c r="E421">
        <v>14.33358937670641</v>
      </c>
    </row>
    <row r="422" spans="1:5" x14ac:dyDescent="0.3">
      <c r="A422" t="s">
        <v>61</v>
      </c>
      <c r="B422" t="s">
        <v>76</v>
      </c>
      <c r="C422" t="s">
        <v>97</v>
      </c>
      <c r="D422" t="s">
        <v>35</v>
      </c>
      <c r="E422">
        <v>14.2901189454599</v>
      </c>
    </row>
    <row r="423" spans="1:5" x14ac:dyDescent="0.3">
      <c r="A423" t="s">
        <v>61</v>
      </c>
      <c r="B423" t="s">
        <v>76</v>
      </c>
      <c r="C423" t="s">
        <v>98</v>
      </c>
      <c r="D423" t="s">
        <v>35</v>
      </c>
      <c r="E423">
        <v>7.8793968334774434</v>
      </c>
    </row>
    <row r="424" spans="1:5" x14ac:dyDescent="0.3">
      <c r="A424" t="s">
        <v>61</v>
      </c>
      <c r="B424" t="s">
        <v>0</v>
      </c>
      <c r="C424" t="s">
        <v>99</v>
      </c>
      <c r="D424" t="s">
        <v>35</v>
      </c>
      <c r="E424">
        <v>1.513271512714419</v>
      </c>
    </row>
    <row r="425" spans="1:5" x14ac:dyDescent="0.3">
      <c r="A425" t="s">
        <v>61</v>
      </c>
      <c r="B425" t="s">
        <v>0</v>
      </c>
      <c r="C425" t="s">
        <v>100</v>
      </c>
      <c r="D425" t="s">
        <v>35</v>
      </c>
      <c r="E425">
        <v>11.094741749424079</v>
      </c>
    </row>
    <row r="426" spans="1:5" x14ac:dyDescent="0.3">
      <c r="A426" t="s">
        <v>61</v>
      </c>
      <c r="B426" t="s">
        <v>0</v>
      </c>
      <c r="C426" t="s">
        <v>101</v>
      </c>
      <c r="D426" t="s">
        <v>35</v>
      </c>
      <c r="E426">
        <v>13.003095975232201</v>
      </c>
    </row>
    <row r="427" spans="1:5" x14ac:dyDescent="0.3">
      <c r="A427" t="s">
        <v>61</v>
      </c>
      <c r="B427" t="s">
        <v>0</v>
      </c>
      <c r="C427" t="s">
        <v>102</v>
      </c>
      <c r="D427" t="s">
        <v>35</v>
      </c>
      <c r="E427">
        <v>6.3545255579198026</v>
      </c>
    </row>
    <row r="428" spans="1:5" x14ac:dyDescent="0.3">
      <c r="A428" t="s">
        <v>61</v>
      </c>
      <c r="B428" t="s">
        <v>0</v>
      </c>
      <c r="C428" t="s">
        <v>103</v>
      </c>
      <c r="D428" t="s">
        <v>35</v>
      </c>
      <c r="E428">
        <v>6.7983057642227633</v>
      </c>
    </row>
    <row r="429" spans="1:5" x14ac:dyDescent="0.3">
      <c r="A429" t="s">
        <v>61</v>
      </c>
      <c r="B429" t="s">
        <v>0</v>
      </c>
      <c r="C429" t="s">
        <v>104</v>
      </c>
      <c r="D429" t="s">
        <v>35</v>
      </c>
      <c r="E429">
        <v>23.666666666666671</v>
      </c>
    </row>
    <row r="430" spans="1:5" x14ac:dyDescent="0.3">
      <c r="A430" t="s">
        <v>61</v>
      </c>
      <c r="B430" t="s">
        <v>0</v>
      </c>
      <c r="C430" t="s">
        <v>105</v>
      </c>
      <c r="D430" t="s">
        <v>35</v>
      </c>
      <c r="E430"/>
    </row>
    <row r="431" spans="1:5" x14ac:dyDescent="0.3">
      <c r="A431" t="s">
        <v>61</v>
      </c>
      <c r="B431" t="s">
        <v>0</v>
      </c>
      <c r="C431" t="s">
        <v>106</v>
      </c>
      <c r="D431" t="s">
        <v>35</v>
      </c>
      <c r="E431">
        <v>9.8052308787697271</v>
      </c>
    </row>
    <row r="432" spans="1:5" x14ac:dyDescent="0.3">
      <c r="A432" t="s">
        <v>61</v>
      </c>
      <c r="B432" t="s">
        <v>0</v>
      </c>
      <c r="C432" t="s">
        <v>107</v>
      </c>
      <c r="D432" t="s">
        <v>35</v>
      </c>
      <c r="E432">
        <v>11.83365582784897</v>
      </c>
    </row>
    <row r="433" spans="1:5" x14ac:dyDescent="0.3">
      <c r="A433" t="s">
        <v>61</v>
      </c>
      <c r="B433" t="s">
        <v>0</v>
      </c>
      <c r="C433" t="s">
        <v>108</v>
      </c>
      <c r="D433" t="s">
        <v>35</v>
      </c>
      <c r="E433">
        <v>16.967968191039589</v>
      </c>
    </row>
    <row r="434" spans="1:5" x14ac:dyDescent="0.3">
      <c r="A434" t="s">
        <v>61</v>
      </c>
      <c r="B434" t="s">
        <v>0</v>
      </c>
      <c r="C434" t="s">
        <v>109</v>
      </c>
      <c r="D434" t="s">
        <v>35</v>
      </c>
      <c r="E434">
        <v>4.5328085226904342</v>
      </c>
    </row>
    <row r="435" spans="1:5" x14ac:dyDescent="0.3">
      <c r="A435" t="s">
        <v>61</v>
      </c>
      <c r="B435" t="s">
        <v>0</v>
      </c>
      <c r="C435" t="s">
        <v>110</v>
      </c>
      <c r="D435" t="s">
        <v>35</v>
      </c>
      <c r="E435">
        <v>19.5148842337376</v>
      </c>
    </row>
    <row r="436" spans="1:5" x14ac:dyDescent="0.3">
      <c r="A436" t="s">
        <v>61</v>
      </c>
      <c r="B436" t="s">
        <v>0</v>
      </c>
      <c r="C436" t="s">
        <v>111</v>
      </c>
      <c r="D436" t="s">
        <v>35</v>
      </c>
      <c r="E436">
        <v>6.3583939517315864</v>
      </c>
    </row>
    <row r="437" spans="1:5" x14ac:dyDescent="0.3">
      <c r="A437" t="s">
        <v>61</v>
      </c>
      <c r="B437" t="s">
        <v>0</v>
      </c>
      <c r="C437" t="s">
        <v>112</v>
      </c>
      <c r="D437" t="s">
        <v>35</v>
      </c>
      <c r="E437">
        <v>9.9268595237235946</v>
      </c>
    </row>
    <row r="438" spans="1:5" x14ac:dyDescent="0.3">
      <c r="A438" t="s">
        <v>61</v>
      </c>
      <c r="B438" t="s">
        <v>0</v>
      </c>
      <c r="C438" t="s">
        <v>113</v>
      </c>
      <c r="D438" t="s">
        <v>35</v>
      </c>
      <c r="E438">
        <v>7.0043466501982437</v>
      </c>
    </row>
    <row r="439" spans="1:5" x14ac:dyDescent="0.3">
      <c r="A439" t="s">
        <v>61</v>
      </c>
      <c r="B439" t="s">
        <v>0</v>
      </c>
      <c r="C439" t="s">
        <v>114</v>
      </c>
      <c r="D439" t="s">
        <v>35</v>
      </c>
      <c r="E439">
        <v>15.48960713942618</v>
      </c>
    </row>
    <row r="440" spans="1:5" x14ac:dyDescent="0.3">
      <c r="A440" t="s">
        <v>61</v>
      </c>
      <c r="B440" t="s">
        <v>0</v>
      </c>
      <c r="C440" t="s">
        <v>115</v>
      </c>
      <c r="D440" t="s">
        <v>35</v>
      </c>
      <c r="E440">
        <v>7.5445980878127994</v>
      </c>
    </row>
    <row r="441" spans="1:5" x14ac:dyDescent="0.3">
      <c r="A441" t="s">
        <v>61</v>
      </c>
      <c r="B441" t="s">
        <v>0</v>
      </c>
      <c r="C441" t="s">
        <v>116</v>
      </c>
      <c r="D441" t="s">
        <v>35</v>
      </c>
      <c r="E441">
        <v>20.41654297924843</v>
      </c>
    </row>
    <row r="442" spans="1:5" x14ac:dyDescent="0.3">
      <c r="A442" t="s">
        <v>61</v>
      </c>
      <c r="B442" t="s">
        <v>69</v>
      </c>
      <c r="C442" t="s">
        <v>69</v>
      </c>
      <c r="D442" t="s">
        <v>36</v>
      </c>
      <c r="E442">
        <v>2.1786947909097698</v>
      </c>
    </row>
    <row r="443" spans="1:5" x14ac:dyDescent="0.3">
      <c r="A443" t="s">
        <v>61</v>
      </c>
      <c r="B443" t="s">
        <v>70</v>
      </c>
      <c r="C443" t="s">
        <v>78</v>
      </c>
      <c r="D443" t="s">
        <v>36</v>
      </c>
      <c r="E443">
        <v>1.5325325092632209</v>
      </c>
    </row>
    <row r="444" spans="1:5" x14ac:dyDescent="0.3">
      <c r="A444" t="s">
        <v>61</v>
      </c>
      <c r="B444" t="s">
        <v>70</v>
      </c>
      <c r="C444" t="s">
        <v>79</v>
      </c>
      <c r="D444" t="s">
        <v>36</v>
      </c>
      <c r="E444">
        <v>2.6475174027273929</v>
      </c>
    </row>
    <row r="445" spans="1:5" x14ac:dyDescent="0.3">
      <c r="A445" t="s">
        <v>61</v>
      </c>
      <c r="B445" t="s">
        <v>70</v>
      </c>
      <c r="C445" t="s">
        <v>80</v>
      </c>
      <c r="D445" t="s">
        <v>36</v>
      </c>
      <c r="E445">
        <v>1.9415042864419341</v>
      </c>
    </row>
    <row r="446" spans="1:5" x14ac:dyDescent="0.3">
      <c r="A446" t="s">
        <v>61</v>
      </c>
      <c r="B446" t="s">
        <v>70</v>
      </c>
      <c r="C446" t="s">
        <v>81</v>
      </c>
      <c r="D446" t="s">
        <v>36</v>
      </c>
      <c r="E446">
        <v>2.1305584473443591</v>
      </c>
    </row>
    <row r="447" spans="1:5" x14ac:dyDescent="0.3">
      <c r="A447" t="s">
        <v>61</v>
      </c>
      <c r="B447" t="s">
        <v>71</v>
      </c>
      <c r="C447" t="s">
        <v>82</v>
      </c>
      <c r="D447" t="s">
        <v>36</v>
      </c>
      <c r="E447">
        <v>2.859436795253016</v>
      </c>
    </row>
    <row r="448" spans="1:5" x14ac:dyDescent="0.3">
      <c r="A448" t="s">
        <v>61</v>
      </c>
      <c r="B448" t="s">
        <v>71</v>
      </c>
      <c r="C448" t="s">
        <v>83</v>
      </c>
      <c r="D448" t="s">
        <v>36</v>
      </c>
      <c r="E448">
        <v>2.3061901080469189</v>
      </c>
    </row>
    <row r="449" spans="1:5" x14ac:dyDescent="0.3">
      <c r="A449" t="s">
        <v>61</v>
      </c>
      <c r="B449" t="s">
        <v>71</v>
      </c>
      <c r="C449" t="s">
        <v>84</v>
      </c>
      <c r="D449" t="s">
        <v>36</v>
      </c>
      <c r="E449">
        <v>1.7932386270362519</v>
      </c>
    </row>
    <row r="450" spans="1:5" x14ac:dyDescent="0.3">
      <c r="A450" t="s">
        <v>61</v>
      </c>
      <c r="B450" t="s">
        <v>71</v>
      </c>
      <c r="C450" t="s">
        <v>85</v>
      </c>
      <c r="D450" t="s">
        <v>36</v>
      </c>
      <c r="E450">
        <v>1.1692521361656361</v>
      </c>
    </row>
    <row r="451" spans="1:5" x14ac:dyDescent="0.3">
      <c r="A451" t="s">
        <v>61</v>
      </c>
      <c r="B451" t="s">
        <v>72</v>
      </c>
      <c r="C451" t="s">
        <v>86</v>
      </c>
      <c r="D451" t="s">
        <v>36</v>
      </c>
      <c r="E451">
        <v>2.2492286012611311</v>
      </c>
    </row>
    <row r="452" spans="1:5" x14ac:dyDescent="0.3">
      <c r="A452" t="s">
        <v>61</v>
      </c>
      <c r="B452" t="s">
        <v>72</v>
      </c>
      <c r="C452" t="s">
        <v>87</v>
      </c>
      <c r="D452" t="s">
        <v>36</v>
      </c>
      <c r="E452">
        <v>2.1041018321711049</v>
      </c>
    </row>
    <row r="453" spans="1:5" x14ac:dyDescent="0.3">
      <c r="A453" t="s">
        <v>61</v>
      </c>
      <c r="B453" t="s">
        <v>73</v>
      </c>
      <c r="C453" t="s">
        <v>88</v>
      </c>
      <c r="D453" t="s">
        <v>36</v>
      </c>
      <c r="E453">
        <v>2.6688380845609769</v>
      </c>
    </row>
    <row r="454" spans="1:5" x14ac:dyDescent="0.3">
      <c r="A454" t="s">
        <v>61</v>
      </c>
      <c r="B454" t="s">
        <v>73</v>
      </c>
      <c r="C454" t="s">
        <v>89</v>
      </c>
      <c r="D454" t="s">
        <v>36</v>
      </c>
      <c r="E454">
        <v>1.790381760736852</v>
      </c>
    </row>
    <row r="455" spans="1:5" x14ac:dyDescent="0.3">
      <c r="A455" t="s">
        <v>61</v>
      </c>
      <c r="B455" t="s">
        <v>74</v>
      </c>
      <c r="C455" t="s">
        <v>90</v>
      </c>
      <c r="D455" t="s">
        <v>36</v>
      </c>
      <c r="E455">
        <v>2.003444946083639</v>
      </c>
    </row>
    <row r="456" spans="1:5" x14ac:dyDescent="0.3">
      <c r="A456" t="s">
        <v>61</v>
      </c>
      <c r="B456" t="s">
        <v>74</v>
      </c>
      <c r="C456" t="s">
        <v>91</v>
      </c>
      <c r="D456" t="s">
        <v>36</v>
      </c>
      <c r="E456">
        <v>2.2420555265476678</v>
      </c>
    </row>
    <row r="457" spans="1:5" x14ac:dyDescent="0.3">
      <c r="A457" t="s">
        <v>61</v>
      </c>
      <c r="B457" t="s">
        <v>75</v>
      </c>
      <c r="C457" t="s">
        <v>92</v>
      </c>
      <c r="D457" t="s">
        <v>36</v>
      </c>
      <c r="E457">
        <v>1.023019389900315</v>
      </c>
    </row>
    <row r="458" spans="1:5" x14ac:dyDescent="0.3">
      <c r="A458" t="s">
        <v>61</v>
      </c>
      <c r="B458" t="s">
        <v>75</v>
      </c>
      <c r="C458" t="s">
        <v>93</v>
      </c>
      <c r="D458" t="s">
        <v>36</v>
      </c>
      <c r="E458">
        <v>2.4366403856928049</v>
      </c>
    </row>
    <row r="459" spans="1:5" x14ac:dyDescent="0.3">
      <c r="A459" t="s">
        <v>61</v>
      </c>
      <c r="B459" t="s">
        <v>75</v>
      </c>
      <c r="C459" t="s">
        <v>94</v>
      </c>
      <c r="D459" t="s">
        <v>36</v>
      </c>
      <c r="E459">
        <v>2.1994684611630841</v>
      </c>
    </row>
    <row r="460" spans="1:5" x14ac:dyDescent="0.3">
      <c r="A460" t="s">
        <v>61</v>
      </c>
      <c r="B460" t="s">
        <v>75</v>
      </c>
      <c r="C460" t="s">
        <v>95</v>
      </c>
      <c r="D460" t="s">
        <v>36</v>
      </c>
      <c r="E460">
        <v>2.139691359602089</v>
      </c>
    </row>
    <row r="461" spans="1:5" x14ac:dyDescent="0.3">
      <c r="A461" t="s">
        <v>61</v>
      </c>
      <c r="B461" t="s">
        <v>76</v>
      </c>
      <c r="C461" t="s">
        <v>96</v>
      </c>
      <c r="D461" t="s">
        <v>36</v>
      </c>
      <c r="E461">
        <v>1.5671507949122949</v>
      </c>
    </row>
    <row r="462" spans="1:5" x14ac:dyDescent="0.3">
      <c r="A462" t="s">
        <v>61</v>
      </c>
      <c r="B462" t="s">
        <v>76</v>
      </c>
      <c r="C462" t="s">
        <v>97</v>
      </c>
      <c r="D462" t="s">
        <v>36</v>
      </c>
      <c r="E462">
        <v>2.0603556580210189</v>
      </c>
    </row>
    <row r="463" spans="1:5" x14ac:dyDescent="0.3">
      <c r="A463" t="s">
        <v>61</v>
      </c>
      <c r="B463" t="s">
        <v>76</v>
      </c>
      <c r="C463" t="s">
        <v>98</v>
      </c>
      <c r="D463" t="s">
        <v>36</v>
      </c>
      <c r="E463">
        <v>2.5244391700074682</v>
      </c>
    </row>
    <row r="464" spans="1:5" x14ac:dyDescent="0.3">
      <c r="A464" t="s">
        <v>61</v>
      </c>
      <c r="B464" t="s">
        <v>0</v>
      </c>
      <c r="C464" t="s">
        <v>99</v>
      </c>
      <c r="D464" t="s">
        <v>36</v>
      </c>
      <c r="E464">
        <v>0.9607349597119319</v>
      </c>
    </row>
    <row r="465" spans="1:5" x14ac:dyDescent="0.3">
      <c r="A465" t="s">
        <v>61</v>
      </c>
      <c r="B465" t="s">
        <v>0</v>
      </c>
      <c r="C465" t="s">
        <v>100</v>
      </c>
      <c r="D465" t="s">
        <v>36</v>
      </c>
      <c r="E465">
        <v>2.0912397737773158</v>
      </c>
    </row>
    <row r="466" spans="1:5" x14ac:dyDescent="0.3">
      <c r="A466" t="s">
        <v>61</v>
      </c>
      <c r="B466" t="s">
        <v>0</v>
      </c>
      <c r="C466" t="s">
        <v>101</v>
      </c>
      <c r="D466" t="s">
        <v>36</v>
      </c>
      <c r="E466">
        <v>1.031991744066048</v>
      </c>
    </row>
    <row r="467" spans="1:5" x14ac:dyDescent="0.3">
      <c r="A467" t="s">
        <v>61</v>
      </c>
      <c r="B467" t="s">
        <v>0</v>
      </c>
      <c r="C467" t="s">
        <v>102</v>
      </c>
      <c r="D467" t="s">
        <v>36</v>
      </c>
      <c r="E467">
        <v>2.7783849266795122</v>
      </c>
    </row>
    <row r="468" spans="1:5" x14ac:dyDescent="0.3">
      <c r="A468" t="s">
        <v>61</v>
      </c>
      <c r="B468" t="s">
        <v>0</v>
      </c>
      <c r="C468" t="s">
        <v>103</v>
      </c>
      <c r="D468" t="s">
        <v>36</v>
      </c>
      <c r="E468">
        <v>2.4920158949440512</v>
      </c>
    </row>
    <row r="469" spans="1:5" x14ac:dyDescent="0.3">
      <c r="A469" t="s">
        <v>61</v>
      </c>
      <c r="B469" t="s">
        <v>0</v>
      </c>
      <c r="C469" t="s">
        <v>104</v>
      </c>
      <c r="D469" t="s">
        <v>36</v>
      </c>
      <c r="E469">
        <v>1.3333333333333339</v>
      </c>
    </row>
    <row r="470" spans="1:5" x14ac:dyDescent="0.3">
      <c r="A470" t="s">
        <v>61</v>
      </c>
      <c r="B470" t="s">
        <v>0</v>
      </c>
      <c r="C470" t="s">
        <v>105</v>
      </c>
      <c r="D470" t="s">
        <v>36</v>
      </c>
      <c r="E470"/>
    </row>
    <row r="471" spans="1:5" x14ac:dyDescent="0.3">
      <c r="A471" t="s">
        <v>61</v>
      </c>
      <c r="B471" t="s">
        <v>0</v>
      </c>
      <c r="C471" t="s">
        <v>106</v>
      </c>
      <c r="D471" t="s">
        <v>36</v>
      </c>
      <c r="E471">
        <v>1.8743761977748841</v>
      </c>
    </row>
    <row r="472" spans="1:5" x14ac:dyDescent="0.3">
      <c r="A472" t="s">
        <v>61</v>
      </c>
      <c r="B472" t="s">
        <v>0</v>
      </c>
      <c r="C472" t="s">
        <v>107</v>
      </c>
      <c r="D472" t="s">
        <v>36</v>
      </c>
      <c r="E472">
        <v>1.02824539915727</v>
      </c>
    </row>
    <row r="473" spans="1:5" x14ac:dyDescent="0.3">
      <c r="A473" t="s">
        <v>61</v>
      </c>
      <c r="B473" t="s">
        <v>0</v>
      </c>
      <c r="C473" t="s">
        <v>108</v>
      </c>
      <c r="D473" t="s">
        <v>36</v>
      </c>
      <c r="E473">
        <v>1.418056226998301</v>
      </c>
    </row>
    <row r="474" spans="1:5" x14ac:dyDescent="0.3">
      <c r="A474" t="s">
        <v>61</v>
      </c>
      <c r="B474" t="s">
        <v>0</v>
      </c>
      <c r="C474" t="s">
        <v>109</v>
      </c>
      <c r="D474" t="s">
        <v>36</v>
      </c>
      <c r="E474">
        <v>3.1934897331705661</v>
      </c>
    </row>
    <row r="475" spans="1:5" x14ac:dyDescent="0.3">
      <c r="A475" t="s">
        <v>61</v>
      </c>
      <c r="B475" t="s">
        <v>0</v>
      </c>
      <c r="C475" t="s">
        <v>110</v>
      </c>
      <c r="D475" t="s">
        <v>36</v>
      </c>
      <c r="E475">
        <v>2.0948180815876509</v>
      </c>
    </row>
    <row r="476" spans="1:5" x14ac:dyDescent="0.3">
      <c r="A476" t="s">
        <v>61</v>
      </c>
      <c r="B476" t="s">
        <v>0</v>
      </c>
      <c r="C476" t="s">
        <v>111</v>
      </c>
      <c r="D476" t="s">
        <v>36</v>
      </c>
      <c r="E476">
        <v>1.8459853408252991</v>
      </c>
    </row>
    <row r="477" spans="1:5" x14ac:dyDescent="0.3">
      <c r="A477" t="s">
        <v>61</v>
      </c>
      <c r="B477" t="s">
        <v>0</v>
      </c>
      <c r="C477" t="s">
        <v>112</v>
      </c>
      <c r="D477" t="s">
        <v>36</v>
      </c>
      <c r="E477">
        <v>4.0122179127649789</v>
      </c>
    </row>
    <row r="478" spans="1:5" x14ac:dyDescent="0.3">
      <c r="A478" t="s">
        <v>61</v>
      </c>
      <c r="B478" t="s">
        <v>0</v>
      </c>
      <c r="C478" t="s">
        <v>113</v>
      </c>
      <c r="D478" t="s">
        <v>36</v>
      </c>
      <c r="E478">
        <v>0.72047806398416037</v>
      </c>
    </row>
    <row r="479" spans="1:5" x14ac:dyDescent="0.3">
      <c r="A479" t="s">
        <v>61</v>
      </c>
      <c r="B479" t="s">
        <v>0</v>
      </c>
      <c r="C479" t="s">
        <v>114</v>
      </c>
      <c r="D479" t="s">
        <v>36</v>
      </c>
      <c r="E479">
        <v>3.1556997941774432</v>
      </c>
    </row>
    <row r="480" spans="1:5" x14ac:dyDescent="0.3">
      <c r="A480" t="s">
        <v>61</v>
      </c>
      <c r="B480" t="s">
        <v>0</v>
      </c>
      <c r="C480" t="s">
        <v>115</v>
      </c>
      <c r="D480" t="s">
        <v>36</v>
      </c>
      <c r="E480">
        <v>0.84485450936415651</v>
      </c>
    </row>
    <row r="481" spans="1:5" x14ac:dyDescent="0.3">
      <c r="A481" t="s">
        <v>61</v>
      </c>
      <c r="B481" t="s">
        <v>0</v>
      </c>
      <c r="C481" t="s">
        <v>116</v>
      </c>
      <c r="D481" t="s">
        <v>36</v>
      </c>
      <c r="E481">
        <v>4.9830897098954656</v>
      </c>
    </row>
    <row r="482" spans="1:5" x14ac:dyDescent="0.3">
      <c r="A482" t="s">
        <v>62</v>
      </c>
      <c r="B482" t="s">
        <v>69</v>
      </c>
      <c r="C482" t="s">
        <v>69</v>
      </c>
      <c r="D482" t="s">
        <v>33</v>
      </c>
      <c r="E482">
        <v>27.686924654698359</v>
      </c>
    </row>
    <row r="483" spans="1:5" x14ac:dyDescent="0.3">
      <c r="A483" t="s">
        <v>62</v>
      </c>
      <c r="B483" t="s">
        <v>70</v>
      </c>
      <c r="C483" t="s">
        <v>78</v>
      </c>
      <c r="D483" t="s">
        <v>33</v>
      </c>
      <c r="E483">
        <v>27.813069970139669</v>
      </c>
    </row>
    <row r="484" spans="1:5" x14ac:dyDescent="0.3">
      <c r="A484" t="s">
        <v>62</v>
      </c>
      <c r="B484" t="s">
        <v>70</v>
      </c>
      <c r="C484" t="s">
        <v>79</v>
      </c>
      <c r="D484" t="s">
        <v>33</v>
      </c>
      <c r="E484">
        <v>26.9607195724194</v>
      </c>
    </row>
    <row r="485" spans="1:5" x14ac:dyDescent="0.3">
      <c r="A485" t="s">
        <v>62</v>
      </c>
      <c r="B485" t="s">
        <v>70</v>
      </c>
      <c r="C485" t="s">
        <v>80</v>
      </c>
      <c r="D485" t="s">
        <v>33</v>
      </c>
      <c r="E485">
        <v>28.65187440813024</v>
      </c>
    </row>
    <row r="486" spans="1:5" x14ac:dyDescent="0.3">
      <c r="A486" t="s">
        <v>62</v>
      </c>
      <c r="B486" t="s">
        <v>70</v>
      </c>
      <c r="C486" t="s">
        <v>81</v>
      </c>
      <c r="D486" t="s">
        <v>33</v>
      </c>
      <c r="E486">
        <v>28.636679162134079</v>
      </c>
    </row>
    <row r="487" spans="1:5" x14ac:dyDescent="0.3">
      <c r="A487" t="s">
        <v>62</v>
      </c>
      <c r="B487" t="s">
        <v>71</v>
      </c>
      <c r="C487" t="s">
        <v>82</v>
      </c>
      <c r="D487" t="s">
        <v>33</v>
      </c>
      <c r="E487">
        <v>23.795838117881729</v>
      </c>
    </row>
    <row r="488" spans="1:5" x14ac:dyDescent="0.3">
      <c r="A488" t="s">
        <v>62</v>
      </c>
      <c r="B488" t="s">
        <v>71</v>
      </c>
      <c r="C488" t="s">
        <v>83</v>
      </c>
      <c r="D488" t="s">
        <v>33</v>
      </c>
      <c r="E488">
        <v>28.626412477768039</v>
      </c>
    </row>
    <row r="489" spans="1:5" x14ac:dyDescent="0.3">
      <c r="A489" t="s">
        <v>62</v>
      </c>
      <c r="B489" t="s">
        <v>71</v>
      </c>
      <c r="C489" t="s">
        <v>84</v>
      </c>
      <c r="D489" t="s">
        <v>33</v>
      </c>
      <c r="E489">
        <v>28.956671763088</v>
      </c>
    </row>
    <row r="490" spans="1:5" x14ac:dyDescent="0.3">
      <c r="A490" t="s">
        <v>62</v>
      </c>
      <c r="B490" t="s">
        <v>71</v>
      </c>
      <c r="C490" t="s">
        <v>85</v>
      </c>
      <c r="D490" t="s">
        <v>33</v>
      </c>
      <c r="E490">
        <v>28.132685602163949</v>
      </c>
    </row>
    <row r="491" spans="1:5" x14ac:dyDescent="0.3">
      <c r="A491" t="s">
        <v>62</v>
      </c>
      <c r="B491" t="s">
        <v>72</v>
      </c>
      <c r="C491" t="s">
        <v>86</v>
      </c>
      <c r="D491" t="s">
        <v>33</v>
      </c>
      <c r="E491">
        <v>27.732637978584162</v>
      </c>
    </row>
    <row r="492" spans="1:5" x14ac:dyDescent="0.3">
      <c r="A492" t="s">
        <v>62</v>
      </c>
      <c r="B492" t="s">
        <v>72</v>
      </c>
      <c r="C492" t="s">
        <v>87</v>
      </c>
      <c r="D492" t="s">
        <v>33</v>
      </c>
      <c r="E492">
        <v>27.640554161142269</v>
      </c>
    </row>
    <row r="493" spans="1:5" x14ac:dyDescent="0.3">
      <c r="A493" t="s">
        <v>62</v>
      </c>
      <c r="B493" t="s">
        <v>73</v>
      </c>
      <c r="C493" t="s">
        <v>88</v>
      </c>
      <c r="D493" t="s">
        <v>33</v>
      </c>
      <c r="E493">
        <v>26.921710747410732</v>
      </c>
    </row>
    <row r="494" spans="1:5" x14ac:dyDescent="0.3">
      <c r="A494" t="s">
        <v>62</v>
      </c>
      <c r="B494" t="s">
        <v>73</v>
      </c>
      <c r="C494" t="s">
        <v>89</v>
      </c>
      <c r="D494" t="s">
        <v>33</v>
      </c>
      <c r="E494">
        <v>28.155923693413978</v>
      </c>
    </row>
    <row r="495" spans="1:5" x14ac:dyDescent="0.3">
      <c r="A495" t="s">
        <v>62</v>
      </c>
      <c r="B495" t="s">
        <v>74</v>
      </c>
      <c r="C495" t="s">
        <v>90</v>
      </c>
      <c r="D495" t="s">
        <v>33</v>
      </c>
      <c r="E495">
        <v>27.371361529296411</v>
      </c>
    </row>
    <row r="496" spans="1:5" x14ac:dyDescent="0.3">
      <c r="A496" t="s">
        <v>62</v>
      </c>
      <c r="B496" t="s">
        <v>74</v>
      </c>
      <c r="C496" t="s">
        <v>91</v>
      </c>
      <c r="D496" t="s">
        <v>33</v>
      </c>
      <c r="E496">
        <v>27.90086662304137</v>
      </c>
    </row>
    <row r="497" spans="1:5" x14ac:dyDescent="0.3">
      <c r="A497" t="s">
        <v>62</v>
      </c>
      <c r="B497" t="s">
        <v>75</v>
      </c>
      <c r="C497" t="s">
        <v>92</v>
      </c>
      <c r="D497" t="s">
        <v>33</v>
      </c>
      <c r="E497">
        <v>26.695209124677159</v>
      </c>
    </row>
    <row r="498" spans="1:5" x14ac:dyDescent="0.3">
      <c r="A498" t="s">
        <v>62</v>
      </c>
      <c r="B498" t="s">
        <v>75</v>
      </c>
      <c r="C498" t="s">
        <v>93</v>
      </c>
      <c r="D498" t="s">
        <v>33</v>
      </c>
      <c r="E498">
        <v>28.228064620393909</v>
      </c>
    </row>
    <row r="499" spans="1:5" x14ac:dyDescent="0.3">
      <c r="A499" t="s">
        <v>62</v>
      </c>
      <c r="B499" t="s">
        <v>75</v>
      </c>
      <c r="C499" t="s">
        <v>94</v>
      </c>
      <c r="D499" t="s">
        <v>33</v>
      </c>
      <c r="E499">
        <v>28.061915898873028</v>
      </c>
    </row>
    <row r="500" spans="1:5" x14ac:dyDescent="0.3">
      <c r="A500" t="s">
        <v>62</v>
      </c>
      <c r="B500" t="s">
        <v>75</v>
      </c>
      <c r="C500" t="s">
        <v>95</v>
      </c>
      <c r="D500" t="s">
        <v>33</v>
      </c>
      <c r="E500">
        <v>27.339261274967559</v>
      </c>
    </row>
    <row r="501" spans="1:5" x14ac:dyDescent="0.3">
      <c r="A501" t="s">
        <v>62</v>
      </c>
      <c r="B501" t="s">
        <v>76</v>
      </c>
      <c r="C501" t="s">
        <v>96</v>
      </c>
      <c r="D501" t="s">
        <v>33</v>
      </c>
      <c r="E501">
        <v>27.444517951868558</v>
      </c>
    </row>
    <row r="502" spans="1:5" x14ac:dyDescent="0.3">
      <c r="A502" t="s">
        <v>62</v>
      </c>
      <c r="B502" t="s">
        <v>76</v>
      </c>
      <c r="C502" t="s">
        <v>97</v>
      </c>
      <c r="D502" t="s">
        <v>33</v>
      </c>
      <c r="E502">
        <v>26.97005907450853</v>
      </c>
    </row>
    <row r="503" spans="1:5" x14ac:dyDescent="0.3">
      <c r="A503" t="s">
        <v>62</v>
      </c>
      <c r="B503" t="s">
        <v>76</v>
      </c>
      <c r="C503" t="s">
        <v>98</v>
      </c>
      <c r="D503" t="s">
        <v>33</v>
      </c>
      <c r="E503">
        <v>28.383108468955381</v>
      </c>
    </row>
    <row r="504" spans="1:5" x14ac:dyDescent="0.3">
      <c r="A504" t="s">
        <v>62</v>
      </c>
      <c r="B504" t="s">
        <v>0</v>
      </c>
      <c r="C504" t="s">
        <v>99</v>
      </c>
      <c r="D504" t="s">
        <v>33</v>
      </c>
      <c r="E504">
        <v>31.476543520119289</v>
      </c>
    </row>
    <row r="505" spans="1:5" x14ac:dyDescent="0.3">
      <c r="A505" t="s">
        <v>62</v>
      </c>
      <c r="B505" t="s">
        <v>0</v>
      </c>
      <c r="C505" t="s">
        <v>100</v>
      </c>
      <c r="D505" t="s">
        <v>33</v>
      </c>
      <c r="E505">
        <v>14.446366782006921</v>
      </c>
    </row>
    <row r="506" spans="1:5" x14ac:dyDescent="0.3">
      <c r="A506" t="s">
        <v>62</v>
      </c>
      <c r="B506" t="s">
        <v>0</v>
      </c>
      <c r="C506" t="s">
        <v>101</v>
      </c>
      <c r="D506" t="s">
        <v>33</v>
      </c>
      <c r="E506">
        <v>33.104631217838772</v>
      </c>
    </row>
    <row r="507" spans="1:5" x14ac:dyDescent="0.3">
      <c r="A507" t="s">
        <v>62</v>
      </c>
      <c r="B507" t="s">
        <v>0</v>
      </c>
      <c r="C507" t="s">
        <v>102</v>
      </c>
      <c r="D507" t="s">
        <v>33</v>
      </c>
      <c r="E507">
        <v>44.836937760045323</v>
      </c>
    </row>
    <row r="508" spans="1:5" x14ac:dyDescent="0.3">
      <c r="A508" t="s">
        <v>62</v>
      </c>
      <c r="B508" t="s">
        <v>0</v>
      </c>
      <c r="C508" t="s">
        <v>103</v>
      </c>
      <c r="D508" t="s">
        <v>33</v>
      </c>
      <c r="E508">
        <v>28.792231783750751</v>
      </c>
    </row>
    <row r="509" spans="1:5" x14ac:dyDescent="0.3">
      <c r="A509" t="s">
        <v>62</v>
      </c>
      <c r="B509" t="s">
        <v>0</v>
      </c>
      <c r="C509" t="s">
        <v>104</v>
      </c>
      <c r="D509" t="s">
        <v>33</v>
      </c>
      <c r="E509">
        <v>16.922350410369209</v>
      </c>
    </row>
    <row r="510" spans="1:5" x14ac:dyDescent="0.3">
      <c r="A510" t="s">
        <v>62</v>
      </c>
      <c r="B510" t="s">
        <v>0</v>
      </c>
      <c r="C510" t="s">
        <v>105</v>
      </c>
      <c r="D510" t="s">
        <v>33</v>
      </c>
      <c r="E510">
        <v>27.712746027192299</v>
      </c>
    </row>
    <row r="511" spans="1:5" x14ac:dyDescent="0.3">
      <c r="A511" t="s">
        <v>62</v>
      </c>
      <c r="B511" t="s">
        <v>0</v>
      </c>
      <c r="C511" t="s">
        <v>106</v>
      </c>
      <c r="D511" t="s">
        <v>33</v>
      </c>
      <c r="E511">
        <v>23.962743437764608</v>
      </c>
    </row>
    <row r="512" spans="1:5" x14ac:dyDescent="0.3">
      <c r="A512" t="s">
        <v>62</v>
      </c>
      <c r="B512" t="s">
        <v>0</v>
      </c>
      <c r="C512" t="s">
        <v>107</v>
      </c>
      <c r="D512" t="s">
        <v>33</v>
      </c>
      <c r="E512">
        <v>28.321519642867852</v>
      </c>
    </row>
    <row r="513" spans="1:5" x14ac:dyDescent="0.3">
      <c r="A513" t="s">
        <v>62</v>
      </c>
      <c r="B513" t="s">
        <v>0</v>
      </c>
      <c r="C513" t="s">
        <v>108</v>
      </c>
      <c r="D513" t="s">
        <v>33</v>
      </c>
      <c r="E513">
        <v>28.410593663148461</v>
      </c>
    </row>
    <row r="514" spans="1:5" x14ac:dyDescent="0.3">
      <c r="A514" t="s">
        <v>62</v>
      </c>
      <c r="B514" t="s">
        <v>0</v>
      </c>
      <c r="C514" t="s">
        <v>109</v>
      </c>
      <c r="D514" t="s">
        <v>33</v>
      </c>
      <c r="E514">
        <v>24.442538593481991</v>
      </c>
    </row>
    <row r="515" spans="1:5" x14ac:dyDescent="0.3">
      <c r="A515" t="s">
        <v>62</v>
      </c>
      <c r="B515" t="s">
        <v>0</v>
      </c>
      <c r="C515" t="s">
        <v>110</v>
      </c>
      <c r="D515" t="s">
        <v>33</v>
      </c>
      <c r="E515">
        <v>23.190125213052369</v>
      </c>
    </row>
    <row r="516" spans="1:5" x14ac:dyDescent="0.3">
      <c r="A516" t="s">
        <v>62</v>
      </c>
      <c r="B516" t="s">
        <v>0</v>
      </c>
      <c r="C516" t="s">
        <v>111</v>
      </c>
      <c r="D516" t="s">
        <v>33</v>
      </c>
      <c r="E516">
        <v>32.391826908856373</v>
      </c>
    </row>
    <row r="517" spans="1:5" x14ac:dyDescent="0.3">
      <c r="A517" t="s">
        <v>62</v>
      </c>
      <c r="B517" t="s">
        <v>0</v>
      </c>
      <c r="C517" t="s">
        <v>112</v>
      </c>
      <c r="D517" t="s">
        <v>33</v>
      </c>
      <c r="E517">
        <v>25.865051903114189</v>
      </c>
    </row>
    <row r="518" spans="1:5" x14ac:dyDescent="0.3">
      <c r="A518" t="s">
        <v>62</v>
      </c>
      <c r="B518" t="s">
        <v>0</v>
      </c>
      <c r="C518" t="s">
        <v>113</v>
      </c>
      <c r="D518" t="s">
        <v>33</v>
      </c>
      <c r="E518">
        <v>54.696499778466993</v>
      </c>
    </row>
    <row r="519" spans="1:5" x14ac:dyDescent="0.3">
      <c r="A519" t="s">
        <v>62</v>
      </c>
      <c r="B519" t="s">
        <v>0</v>
      </c>
      <c r="C519" t="s">
        <v>114</v>
      </c>
      <c r="D519" t="s">
        <v>33</v>
      </c>
      <c r="E519">
        <v>26.57187364466391</v>
      </c>
    </row>
    <row r="520" spans="1:5" x14ac:dyDescent="0.3">
      <c r="A520" t="s">
        <v>62</v>
      </c>
      <c r="B520" t="s">
        <v>0</v>
      </c>
      <c r="C520" t="s">
        <v>115</v>
      </c>
      <c r="D520" t="s">
        <v>33</v>
      </c>
      <c r="E520">
        <v>20.759717314487631</v>
      </c>
    </row>
    <row r="521" spans="1:5" x14ac:dyDescent="0.3">
      <c r="A521" t="s">
        <v>62</v>
      </c>
      <c r="B521" t="s">
        <v>0</v>
      </c>
      <c r="C521" t="s">
        <v>116</v>
      </c>
      <c r="D521" t="s">
        <v>33</v>
      </c>
      <c r="E521">
        <v>10.742757992131571</v>
      </c>
    </row>
    <row r="522" spans="1:5" x14ac:dyDescent="0.3">
      <c r="A522" t="s">
        <v>62</v>
      </c>
      <c r="B522" t="s">
        <v>69</v>
      </c>
      <c r="C522" t="s">
        <v>69</v>
      </c>
      <c r="D522" t="s">
        <v>34</v>
      </c>
      <c r="E522">
        <v>50.313056106908348</v>
      </c>
    </row>
    <row r="523" spans="1:5" x14ac:dyDescent="0.3">
      <c r="A523" t="s">
        <v>62</v>
      </c>
      <c r="B523" t="s">
        <v>70</v>
      </c>
      <c r="C523" t="s">
        <v>78</v>
      </c>
      <c r="D523" t="s">
        <v>34</v>
      </c>
      <c r="E523">
        <v>48.450417187004177</v>
      </c>
    </row>
    <row r="524" spans="1:5" x14ac:dyDescent="0.3">
      <c r="A524" t="s">
        <v>62</v>
      </c>
      <c r="B524" t="s">
        <v>70</v>
      </c>
      <c r="C524" t="s">
        <v>79</v>
      </c>
      <c r="D524" t="s">
        <v>34</v>
      </c>
      <c r="E524">
        <v>50.217264931327037</v>
      </c>
    </row>
    <row r="525" spans="1:5" x14ac:dyDescent="0.3">
      <c r="A525" t="s">
        <v>62</v>
      </c>
      <c r="B525" t="s">
        <v>70</v>
      </c>
      <c r="C525" t="s">
        <v>80</v>
      </c>
      <c r="D525" t="s">
        <v>34</v>
      </c>
      <c r="E525">
        <v>52.035291994445537</v>
      </c>
    </row>
    <row r="526" spans="1:5" x14ac:dyDescent="0.3">
      <c r="A526" t="s">
        <v>62</v>
      </c>
      <c r="B526" t="s">
        <v>70</v>
      </c>
      <c r="C526" t="s">
        <v>81</v>
      </c>
      <c r="D526" t="s">
        <v>34</v>
      </c>
      <c r="E526">
        <v>53.147433644089404</v>
      </c>
    </row>
    <row r="527" spans="1:5" x14ac:dyDescent="0.3">
      <c r="A527" t="s">
        <v>62</v>
      </c>
      <c r="B527" t="s">
        <v>71</v>
      </c>
      <c r="C527" t="s">
        <v>82</v>
      </c>
      <c r="D527" t="s">
        <v>34</v>
      </c>
      <c r="E527">
        <v>51.71822870476683</v>
      </c>
    </row>
    <row r="528" spans="1:5" x14ac:dyDescent="0.3">
      <c r="A528" t="s">
        <v>62</v>
      </c>
      <c r="B528" t="s">
        <v>71</v>
      </c>
      <c r="C528" t="s">
        <v>83</v>
      </c>
      <c r="D528" t="s">
        <v>34</v>
      </c>
      <c r="E528">
        <v>49.388370568344783</v>
      </c>
    </row>
    <row r="529" spans="1:5" x14ac:dyDescent="0.3">
      <c r="A529" t="s">
        <v>62</v>
      </c>
      <c r="B529" t="s">
        <v>71</v>
      </c>
      <c r="C529" t="s">
        <v>84</v>
      </c>
      <c r="D529" t="s">
        <v>34</v>
      </c>
      <c r="E529">
        <v>50.391451142649743</v>
      </c>
    </row>
    <row r="530" spans="1:5" x14ac:dyDescent="0.3">
      <c r="A530" t="s">
        <v>62</v>
      </c>
      <c r="B530" t="s">
        <v>71</v>
      </c>
      <c r="C530" t="s">
        <v>85</v>
      </c>
      <c r="D530" t="s">
        <v>34</v>
      </c>
      <c r="E530">
        <v>50.782641610840507</v>
      </c>
    </row>
    <row r="531" spans="1:5" x14ac:dyDescent="0.3">
      <c r="A531" t="s">
        <v>62</v>
      </c>
      <c r="B531" t="s">
        <v>72</v>
      </c>
      <c r="C531" t="s">
        <v>86</v>
      </c>
      <c r="D531" t="s">
        <v>34</v>
      </c>
      <c r="E531">
        <v>50.633770744998444</v>
      </c>
    </row>
    <row r="532" spans="1:5" x14ac:dyDescent="0.3">
      <c r="A532" t="s">
        <v>62</v>
      </c>
      <c r="B532" t="s">
        <v>72</v>
      </c>
      <c r="C532" t="s">
        <v>87</v>
      </c>
      <c r="D532" t="s">
        <v>34</v>
      </c>
      <c r="E532">
        <v>49.987730910778382</v>
      </c>
    </row>
    <row r="533" spans="1:5" x14ac:dyDescent="0.3">
      <c r="A533" t="s">
        <v>62</v>
      </c>
      <c r="B533" t="s">
        <v>73</v>
      </c>
      <c r="C533" t="s">
        <v>88</v>
      </c>
      <c r="D533" t="s">
        <v>34</v>
      </c>
      <c r="E533">
        <v>50.923006174565813</v>
      </c>
    </row>
    <row r="534" spans="1:5" x14ac:dyDescent="0.3">
      <c r="A534" t="s">
        <v>62</v>
      </c>
      <c r="B534" t="s">
        <v>73</v>
      </c>
      <c r="C534" t="s">
        <v>89</v>
      </c>
      <c r="D534" t="s">
        <v>34</v>
      </c>
      <c r="E534">
        <v>49.97212894015847</v>
      </c>
    </row>
    <row r="535" spans="1:5" x14ac:dyDescent="0.3">
      <c r="A535" t="s">
        <v>62</v>
      </c>
      <c r="B535" t="s">
        <v>74</v>
      </c>
      <c r="C535" t="s">
        <v>90</v>
      </c>
      <c r="D535" t="s">
        <v>34</v>
      </c>
      <c r="E535">
        <v>50.657755014928703</v>
      </c>
    </row>
    <row r="536" spans="1:5" x14ac:dyDescent="0.3">
      <c r="A536" t="s">
        <v>62</v>
      </c>
      <c r="B536" t="s">
        <v>74</v>
      </c>
      <c r="C536" t="s">
        <v>91</v>
      </c>
      <c r="D536" t="s">
        <v>34</v>
      </c>
      <c r="E536">
        <v>50.182649573283634</v>
      </c>
    </row>
    <row r="537" spans="1:5" x14ac:dyDescent="0.3">
      <c r="A537" t="s">
        <v>62</v>
      </c>
      <c r="B537" t="s">
        <v>75</v>
      </c>
      <c r="C537" t="s">
        <v>92</v>
      </c>
      <c r="D537" t="s">
        <v>34</v>
      </c>
      <c r="E537">
        <v>50.891594680842204</v>
      </c>
    </row>
    <row r="538" spans="1:5" x14ac:dyDescent="0.3">
      <c r="A538" t="s">
        <v>62</v>
      </c>
      <c r="B538" t="s">
        <v>75</v>
      </c>
      <c r="C538" t="s">
        <v>93</v>
      </c>
      <c r="D538" t="s">
        <v>34</v>
      </c>
      <c r="E538">
        <v>50.06247632591392</v>
      </c>
    </row>
    <row r="539" spans="1:5" x14ac:dyDescent="0.3">
      <c r="A539" t="s">
        <v>62</v>
      </c>
      <c r="B539" t="s">
        <v>75</v>
      </c>
      <c r="C539" t="s">
        <v>94</v>
      </c>
      <c r="D539" t="s">
        <v>34</v>
      </c>
      <c r="E539">
        <v>48.816933468841569</v>
      </c>
    </row>
    <row r="540" spans="1:5" x14ac:dyDescent="0.3">
      <c r="A540" t="s">
        <v>62</v>
      </c>
      <c r="B540" t="s">
        <v>75</v>
      </c>
      <c r="C540" t="s">
        <v>95</v>
      </c>
      <c r="D540" t="s">
        <v>34</v>
      </c>
      <c r="E540">
        <v>54.868244222906867</v>
      </c>
    </row>
    <row r="541" spans="1:5" x14ac:dyDescent="0.3">
      <c r="A541" t="s">
        <v>62</v>
      </c>
      <c r="B541" t="s">
        <v>76</v>
      </c>
      <c r="C541" t="s">
        <v>96</v>
      </c>
      <c r="D541" t="s">
        <v>34</v>
      </c>
      <c r="E541">
        <v>48.877285246845823</v>
      </c>
    </row>
    <row r="542" spans="1:5" x14ac:dyDescent="0.3">
      <c r="A542" t="s">
        <v>62</v>
      </c>
      <c r="B542" t="s">
        <v>76</v>
      </c>
      <c r="C542" t="s">
        <v>97</v>
      </c>
      <c r="D542" t="s">
        <v>34</v>
      </c>
      <c r="E542">
        <v>49.627379801142958</v>
      </c>
    </row>
    <row r="543" spans="1:5" x14ac:dyDescent="0.3">
      <c r="A543" t="s">
        <v>62</v>
      </c>
      <c r="B543" t="s">
        <v>76</v>
      </c>
      <c r="C543" t="s">
        <v>98</v>
      </c>
      <c r="D543" t="s">
        <v>34</v>
      </c>
      <c r="E543">
        <v>51.754542465480391</v>
      </c>
    </row>
    <row r="544" spans="1:5" x14ac:dyDescent="0.3">
      <c r="A544" t="s">
        <v>62</v>
      </c>
      <c r="B544" t="s">
        <v>0</v>
      </c>
      <c r="C544" t="s">
        <v>99</v>
      </c>
      <c r="D544" t="s">
        <v>34</v>
      </c>
      <c r="E544">
        <v>58.186275437231707</v>
      </c>
    </row>
    <row r="545" spans="1:5" x14ac:dyDescent="0.3">
      <c r="A545" t="s">
        <v>62</v>
      </c>
      <c r="B545" t="s">
        <v>0</v>
      </c>
      <c r="C545" t="s">
        <v>100</v>
      </c>
      <c r="D545" t="s">
        <v>34</v>
      </c>
      <c r="E545">
        <v>54.152249134948093</v>
      </c>
    </row>
    <row r="546" spans="1:5" x14ac:dyDescent="0.3">
      <c r="A546" t="s">
        <v>62</v>
      </c>
      <c r="B546" t="s">
        <v>0</v>
      </c>
      <c r="C546" t="s">
        <v>101</v>
      </c>
      <c r="D546" t="s">
        <v>34</v>
      </c>
      <c r="E546">
        <v>53.173241852487138</v>
      </c>
    </row>
    <row r="547" spans="1:5" x14ac:dyDescent="0.3">
      <c r="A547" t="s">
        <v>62</v>
      </c>
      <c r="B547" t="s">
        <v>0</v>
      </c>
      <c r="C547" t="s">
        <v>102</v>
      </c>
      <c r="D547" t="s">
        <v>34</v>
      </c>
      <c r="E547">
        <v>45.393373175806552</v>
      </c>
    </row>
    <row r="548" spans="1:5" x14ac:dyDescent="0.3">
      <c r="A548" t="s">
        <v>62</v>
      </c>
      <c r="B548" t="s">
        <v>0</v>
      </c>
      <c r="C548" t="s">
        <v>103</v>
      </c>
      <c r="D548" t="s">
        <v>34</v>
      </c>
      <c r="E548">
        <v>52.586258669014981</v>
      </c>
    </row>
    <row r="549" spans="1:5" x14ac:dyDescent="0.3">
      <c r="A549" t="s">
        <v>62</v>
      </c>
      <c r="B549" t="s">
        <v>0</v>
      </c>
      <c r="C549" t="s">
        <v>104</v>
      </c>
      <c r="D549" t="s">
        <v>34</v>
      </c>
      <c r="E549">
        <v>53.505351118442213</v>
      </c>
    </row>
    <row r="550" spans="1:5" x14ac:dyDescent="0.3">
      <c r="A550" t="s">
        <v>62</v>
      </c>
      <c r="B550" t="s">
        <v>0</v>
      </c>
      <c r="C550" t="s">
        <v>105</v>
      </c>
      <c r="D550" t="s">
        <v>34</v>
      </c>
      <c r="E550">
        <v>46.617032826978132</v>
      </c>
    </row>
    <row r="551" spans="1:5" x14ac:dyDescent="0.3">
      <c r="A551" t="s">
        <v>62</v>
      </c>
      <c r="B551" t="s">
        <v>0</v>
      </c>
      <c r="C551" t="s">
        <v>106</v>
      </c>
      <c r="D551" t="s">
        <v>34</v>
      </c>
      <c r="E551">
        <v>53.429297205757827</v>
      </c>
    </row>
    <row r="552" spans="1:5" x14ac:dyDescent="0.3">
      <c r="A552" t="s">
        <v>62</v>
      </c>
      <c r="B552" t="s">
        <v>0</v>
      </c>
      <c r="C552" t="s">
        <v>107</v>
      </c>
      <c r="D552" t="s">
        <v>34</v>
      </c>
      <c r="E552">
        <v>47.240492268915823</v>
      </c>
    </row>
    <row r="553" spans="1:5" x14ac:dyDescent="0.3">
      <c r="A553" t="s">
        <v>62</v>
      </c>
      <c r="B553" t="s">
        <v>0</v>
      </c>
      <c r="C553" t="s">
        <v>108</v>
      </c>
      <c r="D553" t="s">
        <v>34</v>
      </c>
      <c r="E553">
        <v>50.442065070170251</v>
      </c>
    </row>
    <row r="554" spans="1:5" x14ac:dyDescent="0.3">
      <c r="A554" t="s">
        <v>62</v>
      </c>
      <c r="B554" t="s">
        <v>0</v>
      </c>
      <c r="C554" t="s">
        <v>109</v>
      </c>
      <c r="D554" t="s">
        <v>34</v>
      </c>
      <c r="E554">
        <v>50.514579759862777</v>
      </c>
    </row>
    <row r="555" spans="1:5" x14ac:dyDescent="0.3">
      <c r="A555" t="s">
        <v>62</v>
      </c>
      <c r="B555" t="s">
        <v>0</v>
      </c>
      <c r="C555" t="s">
        <v>110</v>
      </c>
      <c r="D555" t="s">
        <v>34</v>
      </c>
      <c r="E555">
        <v>46.386929138987739</v>
      </c>
    </row>
    <row r="556" spans="1:5" x14ac:dyDescent="0.3">
      <c r="A556" t="s">
        <v>62</v>
      </c>
      <c r="B556" t="s">
        <v>0</v>
      </c>
      <c r="C556" t="s">
        <v>111</v>
      </c>
      <c r="D556" t="s">
        <v>34</v>
      </c>
      <c r="E556">
        <v>49.321428838555981</v>
      </c>
    </row>
    <row r="557" spans="1:5" x14ac:dyDescent="0.3">
      <c r="A557" t="s">
        <v>62</v>
      </c>
      <c r="B557" t="s">
        <v>0</v>
      </c>
      <c r="C557" t="s">
        <v>112</v>
      </c>
      <c r="D557" t="s">
        <v>34</v>
      </c>
      <c r="E557">
        <v>65.397923875432525</v>
      </c>
    </row>
    <row r="558" spans="1:5" x14ac:dyDescent="0.3">
      <c r="A558" t="s">
        <v>62</v>
      </c>
      <c r="B558" t="s">
        <v>0</v>
      </c>
      <c r="C558" t="s">
        <v>113</v>
      </c>
      <c r="D558" t="s">
        <v>34</v>
      </c>
      <c r="E558">
        <v>39.078422684980062</v>
      </c>
    </row>
    <row r="559" spans="1:5" x14ac:dyDescent="0.3">
      <c r="A559" t="s">
        <v>62</v>
      </c>
      <c r="B559" t="s">
        <v>0</v>
      </c>
      <c r="C559" t="s">
        <v>114</v>
      </c>
      <c r="D559" t="s">
        <v>34</v>
      </c>
      <c r="E559">
        <v>46.386566229342698</v>
      </c>
    </row>
    <row r="560" spans="1:5" x14ac:dyDescent="0.3">
      <c r="A560" t="s">
        <v>62</v>
      </c>
      <c r="B560" t="s">
        <v>0</v>
      </c>
      <c r="C560" t="s">
        <v>115</v>
      </c>
      <c r="D560" t="s">
        <v>34</v>
      </c>
      <c r="E560">
        <v>58.745583038869263</v>
      </c>
    </row>
    <row r="561" spans="1:5" x14ac:dyDescent="0.3">
      <c r="A561" t="s">
        <v>62</v>
      </c>
      <c r="B561" t="s">
        <v>0</v>
      </c>
      <c r="C561" t="s">
        <v>116</v>
      </c>
      <c r="D561" t="s">
        <v>34</v>
      </c>
      <c r="E561">
        <v>32.354129855202132</v>
      </c>
    </row>
    <row r="562" spans="1:5" x14ac:dyDescent="0.3">
      <c r="A562" t="s">
        <v>62</v>
      </c>
      <c r="B562" t="s">
        <v>69</v>
      </c>
      <c r="C562" t="s">
        <v>69</v>
      </c>
      <c r="D562" t="s">
        <v>35</v>
      </c>
      <c r="E562">
        <v>17.775446213782612</v>
      </c>
    </row>
    <row r="563" spans="1:5" x14ac:dyDescent="0.3">
      <c r="A563" t="s">
        <v>62</v>
      </c>
      <c r="B563" t="s">
        <v>70</v>
      </c>
      <c r="C563" t="s">
        <v>78</v>
      </c>
      <c r="D563" t="s">
        <v>35</v>
      </c>
      <c r="E563">
        <v>18.584268062841851</v>
      </c>
    </row>
    <row r="564" spans="1:5" x14ac:dyDescent="0.3">
      <c r="A564" t="s">
        <v>62</v>
      </c>
      <c r="B564" t="s">
        <v>70</v>
      </c>
      <c r="C564" t="s">
        <v>79</v>
      </c>
      <c r="D564" t="s">
        <v>35</v>
      </c>
      <c r="E564">
        <v>18.39851991193353</v>
      </c>
    </row>
    <row r="565" spans="1:5" x14ac:dyDescent="0.3">
      <c r="A565" t="s">
        <v>62</v>
      </c>
      <c r="B565" t="s">
        <v>70</v>
      </c>
      <c r="C565" t="s">
        <v>80</v>
      </c>
      <c r="D565" t="s">
        <v>35</v>
      </c>
      <c r="E565">
        <v>16.349273784360172</v>
      </c>
    </row>
    <row r="566" spans="1:5" x14ac:dyDescent="0.3">
      <c r="A566" t="s">
        <v>62</v>
      </c>
      <c r="B566" t="s">
        <v>70</v>
      </c>
      <c r="C566" t="s">
        <v>81</v>
      </c>
      <c r="D566" t="s">
        <v>35</v>
      </c>
      <c r="E566">
        <v>15.25149915657877</v>
      </c>
    </row>
    <row r="567" spans="1:5" x14ac:dyDescent="0.3">
      <c r="A567" t="s">
        <v>62</v>
      </c>
      <c r="B567" t="s">
        <v>71</v>
      </c>
      <c r="C567" t="s">
        <v>82</v>
      </c>
      <c r="D567" t="s">
        <v>35</v>
      </c>
      <c r="E567">
        <v>20.04536108421992</v>
      </c>
    </row>
    <row r="568" spans="1:5" x14ac:dyDescent="0.3">
      <c r="A568" t="s">
        <v>62</v>
      </c>
      <c r="B568" t="s">
        <v>71</v>
      </c>
      <c r="C568" t="s">
        <v>83</v>
      </c>
      <c r="D568" t="s">
        <v>35</v>
      </c>
      <c r="E568">
        <v>17.59937710752552</v>
      </c>
    </row>
    <row r="569" spans="1:5" x14ac:dyDescent="0.3">
      <c r="A569" t="s">
        <v>62</v>
      </c>
      <c r="B569" t="s">
        <v>71</v>
      </c>
      <c r="C569" t="s">
        <v>84</v>
      </c>
      <c r="D569" t="s">
        <v>35</v>
      </c>
      <c r="E569">
        <v>16.72170484925973</v>
      </c>
    </row>
    <row r="570" spans="1:5" x14ac:dyDescent="0.3">
      <c r="A570" t="s">
        <v>62</v>
      </c>
      <c r="B570" t="s">
        <v>71</v>
      </c>
      <c r="C570" t="s">
        <v>85</v>
      </c>
      <c r="D570" t="s">
        <v>35</v>
      </c>
      <c r="E570">
        <v>17.01562768479171</v>
      </c>
    </row>
    <row r="571" spans="1:5" x14ac:dyDescent="0.3">
      <c r="A571" t="s">
        <v>62</v>
      </c>
      <c r="B571" t="s">
        <v>72</v>
      </c>
      <c r="C571" t="s">
        <v>86</v>
      </c>
      <c r="D571" t="s">
        <v>35</v>
      </c>
      <c r="E571">
        <v>17.609238219169612</v>
      </c>
    </row>
    <row r="572" spans="1:5" x14ac:dyDescent="0.3">
      <c r="A572" t="s">
        <v>62</v>
      </c>
      <c r="B572" t="s">
        <v>72</v>
      </c>
      <c r="C572" t="s">
        <v>87</v>
      </c>
      <c r="D572" t="s">
        <v>35</v>
      </c>
      <c r="E572">
        <v>17.944043596078131</v>
      </c>
    </row>
    <row r="573" spans="1:5" x14ac:dyDescent="0.3">
      <c r="A573" t="s">
        <v>62</v>
      </c>
      <c r="B573" t="s">
        <v>73</v>
      </c>
      <c r="C573" t="s">
        <v>88</v>
      </c>
      <c r="D573" t="s">
        <v>35</v>
      </c>
      <c r="E573">
        <v>17.469247957686079</v>
      </c>
    </row>
    <row r="574" spans="1:5" x14ac:dyDescent="0.3">
      <c r="A574" t="s">
        <v>62</v>
      </c>
      <c r="B574" t="s">
        <v>73</v>
      </c>
      <c r="C574" t="s">
        <v>89</v>
      </c>
      <c r="D574" t="s">
        <v>35</v>
      </c>
      <c r="E574">
        <v>18.015766164738562</v>
      </c>
    </row>
    <row r="575" spans="1:5" x14ac:dyDescent="0.3">
      <c r="A575" t="s">
        <v>62</v>
      </c>
      <c r="B575" t="s">
        <v>74</v>
      </c>
      <c r="C575" t="s">
        <v>90</v>
      </c>
      <c r="D575" t="s">
        <v>35</v>
      </c>
      <c r="E575">
        <v>17.47688858770243</v>
      </c>
    </row>
    <row r="576" spans="1:5" x14ac:dyDescent="0.3">
      <c r="A576" t="s">
        <v>62</v>
      </c>
      <c r="B576" t="s">
        <v>74</v>
      </c>
      <c r="C576" t="s">
        <v>91</v>
      </c>
      <c r="D576" t="s">
        <v>35</v>
      </c>
      <c r="E576">
        <v>17.856183302758961</v>
      </c>
    </row>
    <row r="577" spans="1:5" x14ac:dyDescent="0.3">
      <c r="A577" t="s">
        <v>62</v>
      </c>
      <c r="B577" t="s">
        <v>75</v>
      </c>
      <c r="C577" t="s">
        <v>92</v>
      </c>
      <c r="D577" t="s">
        <v>35</v>
      </c>
      <c r="E577">
        <v>18.378161511946779</v>
      </c>
    </row>
    <row r="578" spans="1:5" x14ac:dyDescent="0.3">
      <c r="A578" t="s">
        <v>62</v>
      </c>
      <c r="B578" t="s">
        <v>75</v>
      </c>
      <c r="C578" t="s">
        <v>93</v>
      </c>
      <c r="D578" t="s">
        <v>35</v>
      </c>
      <c r="E578">
        <v>17.267240555194562</v>
      </c>
    </row>
    <row r="579" spans="1:5" x14ac:dyDescent="0.3">
      <c r="A579" t="s">
        <v>62</v>
      </c>
      <c r="B579" t="s">
        <v>75</v>
      </c>
      <c r="C579" t="s">
        <v>94</v>
      </c>
      <c r="D579" t="s">
        <v>35</v>
      </c>
      <c r="E579">
        <v>18.599858745347799</v>
      </c>
    </row>
    <row r="580" spans="1:5" x14ac:dyDescent="0.3">
      <c r="A580" t="s">
        <v>62</v>
      </c>
      <c r="B580" t="s">
        <v>75</v>
      </c>
      <c r="C580" t="s">
        <v>95</v>
      </c>
      <c r="D580" t="s">
        <v>35</v>
      </c>
      <c r="E580">
        <v>13.97357621812373</v>
      </c>
    </row>
    <row r="581" spans="1:5" x14ac:dyDescent="0.3">
      <c r="A581" t="s">
        <v>62</v>
      </c>
      <c r="B581" t="s">
        <v>76</v>
      </c>
      <c r="C581" t="s">
        <v>96</v>
      </c>
      <c r="D581" t="s">
        <v>35</v>
      </c>
      <c r="E581">
        <v>19.77115640002955</v>
      </c>
    </row>
    <row r="582" spans="1:5" x14ac:dyDescent="0.3">
      <c r="A582" t="s">
        <v>62</v>
      </c>
      <c r="B582" t="s">
        <v>76</v>
      </c>
      <c r="C582" t="s">
        <v>97</v>
      </c>
      <c r="D582" t="s">
        <v>35</v>
      </c>
      <c r="E582">
        <v>18.31199936986512</v>
      </c>
    </row>
    <row r="583" spans="1:5" x14ac:dyDescent="0.3">
      <c r="A583" t="s">
        <v>62</v>
      </c>
      <c r="B583" t="s">
        <v>76</v>
      </c>
      <c r="C583" t="s">
        <v>98</v>
      </c>
      <c r="D583" t="s">
        <v>35</v>
      </c>
      <c r="E583">
        <v>16.08556703395816</v>
      </c>
    </row>
    <row r="584" spans="1:5" x14ac:dyDescent="0.3">
      <c r="A584" t="s">
        <v>62</v>
      </c>
      <c r="B584" t="s">
        <v>0</v>
      </c>
      <c r="C584" t="s">
        <v>99</v>
      </c>
      <c r="D584" t="s">
        <v>35</v>
      </c>
      <c r="E584">
        <v>9.1341168484877713</v>
      </c>
    </row>
    <row r="585" spans="1:5" x14ac:dyDescent="0.3">
      <c r="A585" t="s">
        <v>62</v>
      </c>
      <c r="B585" t="s">
        <v>0</v>
      </c>
      <c r="C585" t="s">
        <v>100</v>
      </c>
      <c r="D585" t="s">
        <v>35</v>
      </c>
      <c r="E585">
        <v>28.287197231833911</v>
      </c>
    </row>
    <row r="586" spans="1:5" x14ac:dyDescent="0.3">
      <c r="A586" t="s">
        <v>62</v>
      </c>
      <c r="B586" t="s">
        <v>0</v>
      </c>
      <c r="C586" t="s">
        <v>101</v>
      </c>
      <c r="D586" t="s">
        <v>35</v>
      </c>
      <c r="E586">
        <v>10.806174957118349</v>
      </c>
    </row>
    <row r="587" spans="1:5" x14ac:dyDescent="0.3">
      <c r="A587" t="s">
        <v>62</v>
      </c>
      <c r="B587" t="s">
        <v>0</v>
      </c>
      <c r="C587" t="s">
        <v>102</v>
      </c>
      <c r="D587" t="s">
        <v>35</v>
      </c>
      <c r="E587">
        <v>8.3791157899883277</v>
      </c>
    </row>
    <row r="588" spans="1:5" x14ac:dyDescent="0.3">
      <c r="A588" t="s">
        <v>62</v>
      </c>
      <c r="B588" t="s">
        <v>0</v>
      </c>
      <c r="C588" t="s">
        <v>103</v>
      </c>
      <c r="D588" t="s">
        <v>35</v>
      </c>
      <c r="E588">
        <v>16.704449425367311</v>
      </c>
    </row>
    <row r="589" spans="1:5" x14ac:dyDescent="0.3">
      <c r="A589" t="s">
        <v>62</v>
      </c>
      <c r="B589" t="s">
        <v>0</v>
      </c>
      <c r="C589" t="s">
        <v>104</v>
      </c>
      <c r="D589" t="s">
        <v>35</v>
      </c>
      <c r="E589">
        <v>26.243099438332148</v>
      </c>
    </row>
    <row r="590" spans="1:5" x14ac:dyDescent="0.3">
      <c r="A590" t="s">
        <v>62</v>
      </c>
      <c r="B590" t="s">
        <v>0</v>
      </c>
      <c r="C590" t="s">
        <v>105</v>
      </c>
      <c r="D590" t="s">
        <v>35</v>
      </c>
      <c r="E590">
        <v>20.288159045097149</v>
      </c>
    </row>
    <row r="591" spans="1:5" x14ac:dyDescent="0.3">
      <c r="A591" t="s">
        <v>62</v>
      </c>
      <c r="B591" t="s">
        <v>0</v>
      </c>
      <c r="C591" t="s">
        <v>106</v>
      </c>
      <c r="D591" t="s">
        <v>35</v>
      </c>
      <c r="E591">
        <v>20.745131244707871</v>
      </c>
    </row>
    <row r="592" spans="1:5" x14ac:dyDescent="0.3">
      <c r="A592" t="s">
        <v>62</v>
      </c>
      <c r="B592" t="s">
        <v>0</v>
      </c>
      <c r="C592" t="s">
        <v>107</v>
      </c>
      <c r="D592" t="s">
        <v>35</v>
      </c>
      <c r="E592">
        <v>16.112587734319639</v>
      </c>
    </row>
    <row r="593" spans="1:5" x14ac:dyDescent="0.3">
      <c r="A593" t="s">
        <v>62</v>
      </c>
      <c r="B593" t="s">
        <v>0</v>
      </c>
      <c r="C593" t="s">
        <v>108</v>
      </c>
      <c r="D593" t="s">
        <v>35</v>
      </c>
      <c r="E593">
        <v>17.468364711256541</v>
      </c>
    </row>
    <row r="594" spans="1:5" x14ac:dyDescent="0.3">
      <c r="A594" t="s">
        <v>62</v>
      </c>
      <c r="B594" t="s">
        <v>0</v>
      </c>
      <c r="C594" t="s">
        <v>109</v>
      </c>
      <c r="D594" t="s">
        <v>35</v>
      </c>
      <c r="E594">
        <v>20.154373927958829</v>
      </c>
    </row>
    <row r="595" spans="1:5" x14ac:dyDescent="0.3">
      <c r="A595" t="s">
        <v>62</v>
      </c>
      <c r="B595" t="s">
        <v>0</v>
      </c>
      <c r="C595" t="s">
        <v>110</v>
      </c>
      <c r="D595" t="s">
        <v>35</v>
      </c>
      <c r="E595">
        <v>24.63714535382929</v>
      </c>
    </row>
    <row r="596" spans="1:5" x14ac:dyDescent="0.3">
      <c r="A596" t="s">
        <v>62</v>
      </c>
      <c r="B596" t="s">
        <v>0</v>
      </c>
      <c r="C596" t="s">
        <v>111</v>
      </c>
      <c r="D596" t="s">
        <v>35</v>
      </c>
      <c r="E596">
        <v>11.647138325177499</v>
      </c>
    </row>
    <row r="597" spans="1:5" x14ac:dyDescent="0.3">
      <c r="A597" t="s">
        <v>62</v>
      </c>
      <c r="B597" t="s">
        <v>0</v>
      </c>
      <c r="C597" t="s">
        <v>112</v>
      </c>
      <c r="D597" t="s">
        <v>35</v>
      </c>
      <c r="E597">
        <v>8.0449826989619382</v>
      </c>
    </row>
    <row r="598" spans="1:5" x14ac:dyDescent="0.3">
      <c r="A598" t="s">
        <v>62</v>
      </c>
      <c r="B598" t="s">
        <v>0</v>
      </c>
      <c r="C598" t="s">
        <v>113</v>
      </c>
      <c r="D598" t="s">
        <v>35</v>
      </c>
      <c r="E598">
        <v>5.516171909614533</v>
      </c>
    </row>
    <row r="599" spans="1:5" x14ac:dyDescent="0.3">
      <c r="A599" t="s">
        <v>62</v>
      </c>
      <c r="B599" t="s">
        <v>0</v>
      </c>
      <c r="C599" t="s">
        <v>114</v>
      </c>
      <c r="D599" t="s">
        <v>35</v>
      </c>
      <c r="E599">
        <v>20.592894178289029</v>
      </c>
    </row>
    <row r="600" spans="1:5" x14ac:dyDescent="0.3">
      <c r="A600" t="s">
        <v>62</v>
      </c>
      <c r="B600" t="s">
        <v>0</v>
      </c>
      <c r="C600" t="s">
        <v>115</v>
      </c>
      <c r="D600" t="s">
        <v>35</v>
      </c>
      <c r="E600">
        <v>19.346289752650179</v>
      </c>
    </row>
    <row r="601" spans="1:5" x14ac:dyDescent="0.3">
      <c r="A601" t="s">
        <v>62</v>
      </c>
      <c r="B601" t="s">
        <v>0</v>
      </c>
      <c r="C601" t="s">
        <v>116</v>
      </c>
      <c r="D601" t="s">
        <v>35</v>
      </c>
      <c r="E601">
        <v>38.350282186486183</v>
      </c>
    </row>
    <row r="602" spans="1:5" x14ac:dyDescent="0.3">
      <c r="A602" t="s">
        <v>62</v>
      </c>
      <c r="B602" t="s">
        <v>69</v>
      </c>
      <c r="C602" t="s">
        <v>69</v>
      </c>
      <c r="D602" t="s">
        <v>36</v>
      </c>
      <c r="E602">
        <v>4.2245730246106854</v>
      </c>
    </row>
    <row r="603" spans="1:5" x14ac:dyDescent="0.3">
      <c r="A603" t="s">
        <v>62</v>
      </c>
      <c r="B603" t="s">
        <v>70</v>
      </c>
      <c r="C603" t="s">
        <v>78</v>
      </c>
      <c r="D603" t="s">
        <v>36</v>
      </c>
      <c r="E603">
        <v>5.1522447800143079</v>
      </c>
    </row>
    <row r="604" spans="1:5" x14ac:dyDescent="0.3">
      <c r="A604" t="s">
        <v>62</v>
      </c>
      <c r="B604" t="s">
        <v>70</v>
      </c>
      <c r="C604" t="s">
        <v>79</v>
      </c>
      <c r="D604" t="s">
        <v>36</v>
      </c>
      <c r="E604">
        <v>4.4234955843200341</v>
      </c>
    </row>
    <row r="605" spans="1:5" x14ac:dyDescent="0.3">
      <c r="A605" t="s">
        <v>62</v>
      </c>
      <c r="B605" t="s">
        <v>70</v>
      </c>
      <c r="C605" t="s">
        <v>80</v>
      </c>
      <c r="D605" t="s">
        <v>36</v>
      </c>
      <c r="E605">
        <v>2.963559813064041</v>
      </c>
    </row>
    <row r="606" spans="1:5" x14ac:dyDescent="0.3">
      <c r="A606" t="s">
        <v>62</v>
      </c>
      <c r="B606" t="s">
        <v>70</v>
      </c>
      <c r="C606" t="s">
        <v>81</v>
      </c>
      <c r="D606" t="s">
        <v>36</v>
      </c>
      <c r="E606">
        <v>2.9643880371977489</v>
      </c>
    </row>
    <row r="607" spans="1:5" x14ac:dyDescent="0.3">
      <c r="A607" t="s">
        <v>62</v>
      </c>
      <c r="B607" t="s">
        <v>71</v>
      </c>
      <c r="C607" t="s">
        <v>82</v>
      </c>
      <c r="D607" t="s">
        <v>36</v>
      </c>
      <c r="E607">
        <v>4.4405720931315127</v>
      </c>
    </row>
    <row r="608" spans="1:5" x14ac:dyDescent="0.3">
      <c r="A608" t="s">
        <v>62</v>
      </c>
      <c r="B608" t="s">
        <v>71</v>
      </c>
      <c r="C608" t="s">
        <v>83</v>
      </c>
      <c r="D608" t="s">
        <v>36</v>
      </c>
      <c r="E608">
        <v>4.3858398463616579</v>
      </c>
    </row>
    <row r="609" spans="1:5" x14ac:dyDescent="0.3">
      <c r="A609" t="s">
        <v>62</v>
      </c>
      <c r="B609" t="s">
        <v>71</v>
      </c>
      <c r="C609" t="s">
        <v>84</v>
      </c>
      <c r="D609" t="s">
        <v>36</v>
      </c>
      <c r="E609">
        <v>3.9301722450025278</v>
      </c>
    </row>
    <row r="610" spans="1:5" x14ac:dyDescent="0.3">
      <c r="A610" t="s">
        <v>62</v>
      </c>
      <c r="B610" t="s">
        <v>71</v>
      </c>
      <c r="C610" t="s">
        <v>85</v>
      </c>
      <c r="D610" t="s">
        <v>36</v>
      </c>
      <c r="E610">
        <v>4.0690451022038294</v>
      </c>
    </row>
    <row r="611" spans="1:5" x14ac:dyDescent="0.3">
      <c r="A611" t="s">
        <v>62</v>
      </c>
      <c r="B611" t="s">
        <v>72</v>
      </c>
      <c r="C611" t="s">
        <v>86</v>
      </c>
      <c r="D611" t="s">
        <v>36</v>
      </c>
      <c r="E611">
        <v>4.0243530572477964</v>
      </c>
    </row>
    <row r="612" spans="1:5" x14ac:dyDescent="0.3">
      <c r="A612" t="s">
        <v>62</v>
      </c>
      <c r="B612" t="s">
        <v>72</v>
      </c>
      <c r="C612" t="s">
        <v>87</v>
      </c>
      <c r="D612" t="s">
        <v>36</v>
      </c>
      <c r="E612">
        <v>4.4276713320012293</v>
      </c>
    </row>
    <row r="613" spans="1:5" x14ac:dyDescent="0.3">
      <c r="A613" t="s">
        <v>62</v>
      </c>
      <c r="B613" t="s">
        <v>73</v>
      </c>
      <c r="C613" t="s">
        <v>88</v>
      </c>
      <c r="D613" t="s">
        <v>36</v>
      </c>
      <c r="E613">
        <v>4.6860351203373813</v>
      </c>
    </row>
    <row r="614" spans="1:5" x14ac:dyDescent="0.3">
      <c r="A614" t="s">
        <v>62</v>
      </c>
      <c r="B614" t="s">
        <v>73</v>
      </c>
      <c r="C614" t="s">
        <v>89</v>
      </c>
      <c r="D614" t="s">
        <v>36</v>
      </c>
      <c r="E614">
        <v>3.8561812016890289</v>
      </c>
    </row>
    <row r="615" spans="1:5" x14ac:dyDescent="0.3">
      <c r="A615" t="s">
        <v>62</v>
      </c>
      <c r="B615" t="s">
        <v>74</v>
      </c>
      <c r="C615" t="s">
        <v>90</v>
      </c>
      <c r="D615" t="s">
        <v>36</v>
      </c>
      <c r="E615">
        <v>4.4939948680724564</v>
      </c>
    </row>
    <row r="616" spans="1:5" x14ac:dyDescent="0.3">
      <c r="A616" t="s">
        <v>62</v>
      </c>
      <c r="B616" t="s">
        <v>74</v>
      </c>
      <c r="C616" t="s">
        <v>91</v>
      </c>
      <c r="D616" t="s">
        <v>36</v>
      </c>
      <c r="E616">
        <v>4.06030050091604</v>
      </c>
    </row>
    <row r="617" spans="1:5" x14ac:dyDescent="0.3">
      <c r="A617" t="s">
        <v>62</v>
      </c>
      <c r="B617" t="s">
        <v>75</v>
      </c>
      <c r="C617" t="s">
        <v>92</v>
      </c>
      <c r="D617" t="s">
        <v>36</v>
      </c>
      <c r="E617">
        <v>4.0350346825338734</v>
      </c>
    </row>
    <row r="618" spans="1:5" x14ac:dyDescent="0.3">
      <c r="A618" t="s">
        <v>62</v>
      </c>
      <c r="B618" t="s">
        <v>75</v>
      </c>
      <c r="C618" t="s">
        <v>93</v>
      </c>
      <c r="D618" t="s">
        <v>36</v>
      </c>
      <c r="E618">
        <v>4.442218498497617</v>
      </c>
    </row>
    <row r="619" spans="1:5" x14ac:dyDescent="0.3">
      <c r="A619" t="s">
        <v>62</v>
      </c>
      <c r="B619" t="s">
        <v>75</v>
      </c>
      <c r="C619" t="s">
        <v>94</v>
      </c>
      <c r="D619" t="s">
        <v>36</v>
      </c>
      <c r="E619">
        <v>4.5212918869375978</v>
      </c>
    </row>
    <row r="620" spans="1:5" x14ac:dyDescent="0.3">
      <c r="A620" t="s">
        <v>62</v>
      </c>
      <c r="B620" t="s">
        <v>75</v>
      </c>
      <c r="C620" t="s">
        <v>95</v>
      </c>
      <c r="D620" t="s">
        <v>36</v>
      </c>
      <c r="E620">
        <v>3.8189182840018452</v>
      </c>
    </row>
    <row r="621" spans="1:5" x14ac:dyDescent="0.3">
      <c r="A621" t="s">
        <v>62</v>
      </c>
      <c r="B621" t="s">
        <v>76</v>
      </c>
      <c r="C621" t="s">
        <v>96</v>
      </c>
      <c r="D621" t="s">
        <v>36</v>
      </c>
      <c r="E621">
        <v>3.9070404012560611</v>
      </c>
    </row>
    <row r="622" spans="1:5" x14ac:dyDescent="0.3">
      <c r="A622" t="s">
        <v>62</v>
      </c>
      <c r="B622" t="s">
        <v>76</v>
      </c>
      <c r="C622" t="s">
        <v>97</v>
      </c>
      <c r="D622" t="s">
        <v>36</v>
      </c>
      <c r="E622">
        <v>5.0905617544833861</v>
      </c>
    </row>
    <row r="623" spans="1:5" x14ac:dyDescent="0.3">
      <c r="A623" t="s">
        <v>62</v>
      </c>
      <c r="B623" t="s">
        <v>76</v>
      </c>
      <c r="C623" t="s">
        <v>98</v>
      </c>
      <c r="D623" t="s">
        <v>36</v>
      </c>
      <c r="E623">
        <v>3.7767820316060701</v>
      </c>
    </row>
    <row r="624" spans="1:5" x14ac:dyDescent="0.3">
      <c r="A624" t="s">
        <v>62</v>
      </c>
      <c r="B624" t="s">
        <v>0</v>
      </c>
      <c r="C624" t="s">
        <v>99</v>
      </c>
      <c r="D624" t="s">
        <v>36</v>
      </c>
      <c r="E624">
        <v>1.2030641941612359</v>
      </c>
    </row>
    <row r="625" spans="1:5" x14ac:dyDescent="0.3">
      <c r="A625" t="s">
        <v>62</v>
      </c>
      <c r="B625" t="s">
        <v>0</v>
      </c>
      <c r="C625" t="s">
        <v>100</v>
      </c>
      <c r="D625" t="s">
        <v>36</v>
      </c>
      <c r="E625">
        <v>3.114186851211072</v>
      </c>
    </row>
    <row r="626" spans="1:5" x14ac:dyDescent="0.3">
      <c r="A626" t="s">
        <v>62</v>
      </c>
      <c r="B626" t="s">
        <v>0</v>
      </c>
      <c r="C626" t="s">
        <v>101</v>
      </c>
      <c r="D626" t="s">
        <v>36</v>
      </c>
      <c r="E626">
        <v>2.9159519725557459</v>
      </c>
    </row>
    <row r="627" spans="1:5" x14ac:dyDescent="0.3">
      <c r="A627" t="s">
        <v>62</v>
      </c>
      <c r="B627" t="s">
        <v>0</v>
      </c>
      <c r="C627" t="s">
        <v>102</v>
      </c>
      <c r="D627" t="s">
        <v>36</v>
      </c>
      <c r="E627">
        <v>1.3905732741598129</v>
      </c>
    </row>
    <row r="628" spans="1:5" x14ac:dyDescent="0.3">
      <c r="A628" t="s">
        <v>62</v>
      </c>
      <c r="B628" t="s">
        <v>0</v>
      </c>
      <c r="C628" t="s">
        <v>103</v>
      </c>
      <c r="D628" t="s">
        <v>36</v>
      </c>
      <c r="E628">
        <v>1.9170601218669361</v>
      </c>
    </row>
    <row r="629" spans="1:5" x14ac:dyDescent="0.3">
      <c r="A629" t="s">
        <v>62</v>
      </c>
      <c r="B629" t="s">
        <v>0</v>
      </c>
      <c r="C629" t="s">
        <v>104</v>
      </c>
      <c r="D629" t="s">
        <v>36</v>
      </c>
      <c r="E629">
        <v>3.3291990328564198</v>
      </c>
    </row>
    <row r="630" spans="1:5" x14ac:dyDescent="0.3">
      <c r="A630" t="s">
        <v>62</v>
      </c>
      <c r="B630" t="s">
        <v>0</v>
      </c>
      <c r="C630" t="s">
        <v>105</v>
      </c>
      <c r="D630" t="s">
        <v>36</v>
      </c>
      <c r="E630">
        <v>5.3820621007324201</v>
      </c>
    </row>
    <row r="631" spans="1:5" x14ac:dyDescent="0.3">
      <c r="A631" t="s">
        <v>62</v>
      </c>
      <c r="B631" t="s">
        <v>0</v>
      </c>
      <c r="C631" t="s">
        <v>106</v>
      </c>
      <c r="D631" t="s">
        <v>36</v>
      </c>
      <c r="E631">
        <v>1.862828111769687</v>
      </c>
    </row>
    <row r="632" spans="1:5" x14ac:dyDescent="0.3">
      <c r="A632" t="s">
        <v>62</v>
      </c>
      <c r="B632" t="s">
        <v>0</v>
      </c>
      <c r="C632" t="s">
        <v>107</v>
      </c>
      <c r="D632" t="s">
        <v>36</v>
      </c>
      <c r="E632">
        <v>8.325400353896697</v>
      </c>
    </row>
    <row r="633" spans="1:5" x14ac:dyDescent="0.3">
      <c r="A633" t="s">
        <v>62</v>
      </c>
      <c r="B633" t="s">
        <v>0</v>
      </c>
      <c r="C633" t="s">
        <v>108</v>
      </c>
      <c r="D633" t="s">
        <v>36</v>
      </c>
      <c r="E633">
        <v>3.6789765554247622</v>
      </c>
    </row>
    <row r="634" spans="1:5" x14ac:dyDescent="0.3">
      <c r="A634" t="s">
        <v>62</v>
      </c>
      <c r="B634" t="s">
        <v>0</v>
      </c>
      <c r="C634" t="s">
        <v>109</v>
      </c>
      <c r="D634" t="s">
        <v>36</v>
      </c>
      <c r="E634">
        <v>4.8885077186963981</v>
      </c>
    </row>
    <row r="635" spans="1:5" x14ac:dyDescent="0.3">
      <c r="A635" t="s">
        <v>62</v>
      </c>
      <c r="B635" t="s">
        <v>0</v>
      </c>
      <c r="C635" t="s">
        <v>110</v>
      </c>
      <c r="D635" t="s">
        <v>36</v>
      </c>
      <c r="E635">
        <v>5.7858002941306026</v>
      </c>
    </row>
    <row r="636" spans="1:5" x14ac:dyDescent="0.3">
      <c r="A636" t="s">
        <v>62</v>
      </c>
      <c r="B636" t="s">
        <v>0</v>
      </c>
      <c r="C636" t="s">
        <v>111</v>
      </c>
      <c r="D636" t="s">
        <v>36</v>
      </c>
      <c r="E636">
        <v>6.6396059274101482</v>
      </c>
    </row>
    <row r="637" spans="1:5" x14ac:dyDescent="0.3">
      <c r="A637" t="s">
        <v>62</v>
      </c>
      <c r="B637" t="s">
        <v>0</v>
      </c>
      <c r="C637" t="s">
        <v>112</v>
      </c>
      <c r="D637" t="s">
        <v>36</v>
      </c>
      <c r="E637">
        <v>0.69204152249134954</v>
      </c>
    </row>
    <row r="638" spans="1:5" x14ac:dyDescent="0.3">
      <c r="A638" t="s">
        <v>62</v>
      </c>
      <c r="B638" t="s">
        <v>0</v>
      </c>
      <c r="C638" t="s">
        <v>113</v>
      </c>
      <c r="D638" t="s">
        <v>36</v>
      </c>
      <c r="E638">
        <v>0.70890562693841386</v>
      </c>
    </row>
    <row r="639" spans="1:5" x14ac:dyDescent="0.3">
      <c r="A639" t="s">
        <v>62</v>
      </c>
      <c r="B639" t="s">
        <v>0</v>
      </c>
      <c r="C639" t="s">
        <v>114</v>
      </c>
      <c r="D639" t="s">
        <v>36</v>
      </c>
      <c r="E639">
        <v>6.448665947704364</v>
      </c>
    </row>
    <row r="640" spans="1:5" x14ac:dyDescent="0.3">
      <c r="A640" t="s">
        <v>62</v>
      </c>
      <c r="B640" t="s">
        <v>0</v>
      </c>
      <c r="C640" t="s">
        <v>115</v>
      </c>
      <c r="D640" t="s">
        <v>36</v>
      </c>
      <c r="E640">
        <v>1.148409893992933</v>
      </c>
    </row>
    <row r="641" spans="1:5" x14ac:dyDescent="0.3">
      <c r="A641" t="s">
        <v>62</v>
      </c>
      <c r="B641" t="s">
        <v>0</v>
      </c>
      <c r="C641" t="s">
        <v>116</v>
      </c>
      <c r="D641" t="s">
        <v>36</v>
      </c>
      <c r="E641">
        <v>18.552829966180159</v>
      </c>
    </row>
    <row r="642" spans="1:5" x14ac:dyDescent="0.3">
      <c r="A642" t="s">
        <v>63</v>
      </c>
      <c r="B642" t="s">
        <v>69</v>
      </c>
      <c r="C642" t="s">
        <v>69</v>
      </c>
      <c r="D642" t="s">
        <v>33</v>
      </c>
      <c r="E642">
        <v>24.52594367386229</v>
      </c>
    </row>
    <row r="643" spans="1:5" x14ac:dyDescent="0.3">
      <c r="A643" t="s">
        <v>63</v>
      </c>
      <c r="B643" t="s">
        <v>70</v>
      </c>
      <c r="C643" t="s">
        <v>78</v>
      </c>
      <c r="D643" t="s">
        <v>33</v>
      </c>
      <c r="E643">
        <v>25.073559554773929</v>
      </c>
    </row>
    <row r="644" spans="1:5" x14ac:dyDescent="0.3">
      <c r="A644" t="s">
        <v>63</v>
      </c>
      <c r="B644" t="s">
        <v>70</v>
      </c>
      <c r="C644" t="s">
        <v>79</v>
      </c>
      <c r="D644" t="s">
        <v>33</v>
      </c>
      <c r="E644">
        <v>24.321455085582489</v>
      </c>
    </row>
    <row r="645" spans="1:5" x14ac:dyDescent="0.3">
      <c r="A645" t="s">
        <v>63</v>
      </c>
      <c r="B645" t="s">
        <v>70</v>
      </c>
      <c r="C645" t="s">
        <v>80</v>
      </c>
      <c r="D645" t="s">
        <v>33</v>
      </c>
      <c r="E645">
        <v>23.209347639963038</v>
      </c>
    </row>
    <row r="646" spans="1:5" x14ac:dyDescent="0.3">
      <c r="A646" t="s">
        <v>63</v>
      </c>
      <c r="B646" t="s">
        <v>70</v>
      </c>
      <c r="C646" t="s">
        <v>81</v>
      </c>
      <c r="D646" t="s">
        <v>33</v>
      </c>
      <c r="E646">
        <v>26.991612344687841</v>
      </c>
    </row>
    <row r="647" spans="1:5" x14ac:dyDescent="0.3">
      <c r="A647" t="s">
        <v>63</v>
      </c>
      <c r="B647" t="s">
        <v>71</v>
      </c>
      <c r="C647" t="s">
        <v>82</v>
      </c>
      <c r="D647" t="s">
        <v>33</v>
      </c>
      <c r="E647">
        <v>21.978388012816598</v>
      </c>
    </row>
    <row r="648" spans="1:5" x14ac:dyDescent="0.3">
      <c r="A648" t="s">
        <v>63</v>
      </c>
      <c r="B648" t="s">
        <v>71</v>
      </c>
      <c r="C648" t="s">
        <v>83</v>
      </c>
      <c r="D648" t="s">
        <v>33</v>
      </c>
      <c r="E648">
        <v>24.901425938699369</v>
      </c>
    </row>
    <row r="649" spans="1:5" x14ac:dyDescent="0.3">
      <c r="A649" t="s">
        <v>63</v>
      </c>
      <c r="B649" t="s">
        <v>71</v>
      </c>
      <c r="C649" t="s">
        <v>84</v>
      </c>
      <c r="D649" t="s">
        <v>33</v>
      </c>
      <c r="E649">
        <v>25.381871733233151</v>
      </c>
    </row>
    <row r="650" spans="1:5" x14ac:dyDescent="0.3">
      <c r="A650" t="s">
        <v>63</v>
      </c>
      <c r="B650" t="s">
        <v>71</v>
      </c>
      <c r="C650" t="s">
        <v>85</v>
      </c>
      <c r="D650" t="s">
        <v>33</v>
      </c>
      <c r="E650">
        <v>25.525049840357859</v>
      </c>
    </row>
    <row r="651" spans="1:5" x14ac:dyDescent="0.3">
      <c r="A651" t="s">
        <v>63</v>
      </c>
      <c r="B651" t="s">
        <v>72</v>
      </c>
      <c r="C651" t="s">
        <v>86</v>
      </c>
      <c r="D651" t="s">
        <v>33</v>
      </c>
      <c r="E651">
        <v>24.566329649774669</v>
      </c>
    </row>
    <row r="652" spans="1:5" x14ac:dyDescent="0.3">
      <c r="A652" t="s">
        <v>63</v>
      </c>
      <c r="B652" t="s">
        <v>72</v>
      </c>
      <c r="C652" t="s">
        <v>87</v>
      </c>
      <c r="D652" t="s">
        <v>33</v>
      </c>
      <c r="E652">
        <v>24.483931121113368</v>
      </c>
    </row>
    <row r="653" spans="1:5" x14ac:dyDescent="0.3">
      <c r="A653" t="s">
        <v>63</v>
      </c>
      <c r="B653" t="s">
        <v>73</v>
      </c>
      <c r="C653" t="s">
        <v>88</v>
      </c>
      <c r="D653" t="s">
        <v>33</v>
      </c>
      <c r="E653">
        <v>23.77593311792846</v>
      </c>
    </row>
    <row r="654" spans="1:5" x14ac:dyDescent="0.3">
      <c r="A654" t="s">
        <v>63</v>
      </c>
      <c r="B654" t="s">
        <v>73</v>
      </c>
      <c r="C654" t="s">
        <v>89</v>
      </c>
      <c r="D654" t="s">
        <v>33</v>
      </c>
      <c r="E654">
        <v>25.099564445548921</v>
      </c>
    </row>
    <row r="655" spans="1:5" x14ac:dyDescent="0.3">
      <c r="A655" t="s">
        <v>63</v>
      </c>
      <c r="B655" t="s">
        <v>74</v>
      </c>
      <c r="C655" t="s">
        <v>90</v>
      </c>
      <c r="D655" t="s">
        <v>33</v>
      </c>
      <c r="E655">
        <v>24.813906576773039</v>
      </c>
    </row>
    <row r="656" spans="1:5" x14ac:dyDescent="0.3">
      <c r="A656" t="s">
        <v>63</v>
      </c>
      <c r="B656" t="s">
        <v>74</v>
      </c>
      <c r="C656" t="s">
        <v>91</v>
      </c>
      <c r="D656" t="s">
        <v>33</v>
      </c>
      <c r="E656">
        <v>24.452242282587481</v>
      </c>
    </row>
    <row r="657" spans="1:5" x14ac:dyDescent="0.3">
      <c r="A657" t="s">
        <v>63</v>
      </c>
      <c r="B657" t="s">
        <v>75</v>
      </c>
      <c r="C657" t="s">
        <v>92</v>
      </c>
      <c r="D657" t="s">
        <v>33</v>
      </c>
      <c r="E657">
        <v>24.695944910214269</v>
      </c>
    </row>
    <row r="658" spans="1:5" x14ac:dyDescent="0.3">
      <c r="A658" t="s">
        <v>63</v>
      </c>
      <c r="B658" t="s">
        <v>75</v>
      </c>
      <c r="C658" t="s">
        <v>93</v>
      </c>
      <c r="D658" t="s">
        <v>33</v>
      </c>
      <c r="E658">
        <v>23.84825333715386</v>
      </c>
    </row>
    <row r="659" spans="1:5" x14ac:dyDescent="0.3">
      <c r="A659" t="s">
        <v>63</v>
      </c>
      <c r="B659" t="s">
        <v>75</v>
      </c>
      <c r="C659" t="s">
        <v>94</v>
      </c>
      <c r="D659" t="s">
        <v>33</v>
      </c>
      <c r="E659">
        <v>24.921689754676031</v>
      </c>
    </row>
    <row r="660" spans="1:5" x14ac:dyDescent="0.3">
      <c r="A660" t="s">
        <v>63</v>
      </c>
      <c r="B660" t="s">
        <v>75</v>
      </c>
      <c r="C660" t="s">
        <v>95</v>
      </c>
      <c r="D660" t="s">
        <v>33</v>
      </c>
      <c r="E660">
        <v>25.330368530558388</v>
      </c>
    </row>
    <row r="661" spans="1:5" x14ac:dyDescent="0.3">
      <c r="A661" t="s">
        <v>63</v>
      </c>
      <c r="B661" t="s">
        <v>76</v>
      </c>
      <c r="C661" t="s">
        <v>96</v>
      </c>
      <c r="D661" t="s">
        <v>33</v>
      </c>
      <c r="E661">
        <v>23.383187557426439</v>
      </c>
    </row>
    <row r="662" spans="1:5" x14ac:dyDescent="0.3">
      <c r="A662" t="s">
        <v>63</v>
      </c>
      <c r="B662" t="s">
        <v>76</v>
      </c>
      <c r="C662" t="s">
        <v>97</v>
      </c>
      <c r="D662" t="s">
        <v>33</v>
      </c>
      <c r="E662">
        <v>24.615110334609231</v>
      </c>
    </row>
    <row r="663" spans="1:5" x14ac:dyDescent="0.3">
      <c r="A663" t="s">
        <v>63</v>
      </c>
      <c r="B663" t="s">
        <v>76</v>
      </c>
      <c r="C663" t="s">
        <v>98</v>
      </c>
      <c r="D663" t="s">
        <v>33</v>
      </c>
      <c r="E663">
        <v>24.976084143854159</v>
      </c>
    </row>
    <row r="664" spans="1:5" x14ac:dyDescent="0.3">
      <c r="A664" t="s">
        <v>63</v>
      </c>
      <c r="B664" t="s">
        <v>0</v>
      </c>
      <c r="C664" t="s">
        <v>99</v>
      </c>
      <c r="D664" t="s">
        <v>33</v>
      </c>
      <c r="E664">
        <v>44.270186776704669</v>
      </c>
    </row>
    <row r="665" spans="1:5" x14ac:dyDescent="0.3">
      <c r="A665" t="s">
        <v>63</v>
      </c>
      <c r="B665" t="s">
        <v>0</v>
      </c>
      <c r="C665" t="s">
        <v>100</v>
      </c>
      <c r="D665" t="s">
        <v>33</v>
      </c>
      <c r="E665">
        <v>14.81481481481481</v>
      </c>
    </row>
    <row r="666" spans="1:5" x14ac:dyDescent="0.3">
      <c r="A666" t="s">
        <v>63</v>
      </c>
      <c r="B666" t="s">
        <v>0</v>
      </c>
      <c r="C666" t="s">
        <v>101</v>
      </c>
      <c r="D666" t="s">
        <v>33</v>
      </c>
      <c r="E666">
        <v>24.97868712702472</v>
      </c>
    </row>
    <row r="667" spans="1:5" x14ac:dyDescent="0.3">
      <c r="A667" t="s">
        <v>63</v>
      </c>
      <c r="B667" t="s">
        <v>0</v>
      </c>
      <c r="C667" t="s">
        <v>102</v>
      </c>
      <c r="D667" t="s">
        <v>33</v>
      </c>
      <c r="E667">
        <v>27.68609785537631</v>
      </c>
    </row>
    <row r="668" spans="1:5" x14ac:dyDescent="0.3">
      <c r="A668" t="s">
        <v>63</v>
      </c>
      <c r="B668" t="s">
        <v>0</v>
      </c>
      <c r="C668" t="s">
        <v>103</v>
      </c>
      <c r="D668" t="s">
        <v>33</v>
      </c>
      <c r="E668">
        <v>27.576450972044839</v>
      </c>
    </row>
    <row r="669" spans="1:5" x14ac:dyDescent="0.3">
      <c r="A669" t="s">
        <v>63</v>
      </c>
      <c r="B669" t="s">
        <v>0</v>
      </c>
      <c r="C669" t="s">
        <v>104</v>
      </c>
      <c r="D669" t="s">
        <v>33</v>
      </c>
      <c r="E669">
        <v>17.23044397463002</v>
      </c>
    </row>
    <row r="670" spans="1:5" x14ac:dyDescent="0.3">
      <c r="A670" t="s">
        <v>63</v>
      </c>
      <c r="B670" t="s">
        <v>0</v>
      </c>
      <c r="C670" t="s">
        <v>105</v>
      </c>
      <c r="D670" t="s">
        <v>33</v>
      </c>
      <c r="E670">
        <v>22.72379012155886</v>
      </c>
    </row>
    <row r="671" spans="1:5" x14ac:dyDescent="0.3">
      <c r="A671" t="s">
        <v>63</v>
      </c>
      <c r="B671" t="s">
        <v>0</v>
      </c>
      <c r="C671" t="s">
        <v>106</v>
      </c>
      <c r="D671" t="s">
        <v>33</v>
      </c>
      <c r="E671">
        <v>18.460192475940509</v>
      </c>
    </row>
    <row r="672" spans="1:5" x14ac:dyDescent="0.3">
      <c r="A672" t="s">
        <v>63</v>
      </c>
      <c r="B672" t="s">
        <v>0</v>
      </c>
      <c r="C672" t="s">
        <v>107</v>
      </c>
      <c r="D672" t="s">
        <v>33</v>
      </c>
      <c r="E672">
        <v>27.67926188768331</v>
      </c>
    </row>
    <row r="673" spans="1:5" x14ac:dyDescent="0.3">
      <c r="A673" t="s">
        <v>63</v>
      </c>
      <c r="B673" t="s">
        <v>0</v>
      </c>
      <c r="C673" t="s">
        <v>108</v>
      </c>
      <c r="D673" t="s">
        <v>33</v>
      </c>
      <c r="E673">
        <v>29.239230772154251</v>
      </c>
    </row>
    <row r="674" spans="1:5" x14ac:dyDescent="0.3">
      <c r="A674" t="s">
        <v>63</v>
      </c>
      <c r="B674" t="s">
        <v>0</v>
      </c>
      <c r="C674" t="s">
        <v>109</v>
      </c>
      <c r="D674" t="s">
        <v>33</v>
      </c>
      <c r="E674">
        <v>32.130584192439862</v>
      </c>
    </row>
    <row r="675" spans="1:5" x14ac:dyDescent="0.3">
      <c r="A675" t="s">
        <v>63</v>
      </c>
      <c r="B675" t="s">
        <v>0</v>
      </c>
      <c r="C675" t="s">
        <v>110</v>
      </c>
      <c r="D675" t="s">
        <v>33</v>
      </c>
      <c r="E675">
        <v>25.75282572215005</v>
      </c>
    </row>
    <row r="676" spans="1:5" x14ac:dyDescent="0.3">
      <c r="A676" t="s">
        <v>63</v>
      </c>
      <c r="B676" t="s">
        <v>0</v>
      </c>
      <c r="C676" t="s">
        <v>111</v>
      </c>
      <c r="D676" t="s">
        <v>33</v>
      </c>
      <c r="E676">
        <v>18.124341412012651</v>
      </c>
    </row>
    <row r="677" spans="1:5" x14ac:dyDescent="0.3">
      <c r="A677" t="s">
        <v>63</v>
      </c>
      <c r="B677" t="s">
        <v>0</v>
      </c>
      <c r="C677" t="s">
        <v>112</v>
      </c>
      <c r="D677" t="s">
        <v>33</v>
      </c>
      <c r="E677">
        <v>21.32743362831858</v>
      </c>
    </row>
    <row r="678" spans="1:5" x14ac:dyDescent="0.3">
      <c r="A678" t="s">
        <v>63</v>
      </c>
      <c r="B678" t="s">
        <v>0</v>
      </c>
      <c r="C678" t="s">
        <v>113</v>
      </c>
      <c r="D678" t="s">
        <v>33</v>
      </c>
      <c r="E678">
        <v>30.227518959913329</v>
      </c>
    </row>
    <row r="679" spans="1:5" x14ac:dyDescent="0.3">
      <c r="A679" t="s">
        <v>63</v>
      </c>
      <c r="B679" t="s">
        <v>0</v>
      </c>
      <c r="C679" t="s">
        <v>114</v>
      </c>
      <c r="D679" t="s">
        <v>33</v>
      </c>
      <c r="E679">
        <v>25.865209753906441</v>
      </c>
    </row>
    <row r="680" spans="1:5" x14ac:dyDescent="0.3">
      <c r="A680" t="s">
        <v>63</v>
      </c>
      <c r="B680" t="s">
        <v>0</v>
      </c>
      <c r="C680" t="s">
        <v>115</v>
      </c>
      <c r="D680" t="s">
        <v>33</v>
      </c>
      <c r="E680">
        <v>9.5067264573991039</v>
      </c>
    </row>
    <row r="681" spans="1:5" x14ac:dyDescent="0.3">
      <c r="A681" t="s">
        <v>63</v>
      </c>
      <c r="B681" t="s">
        <v>0</v>
      </c>
      <c r="C681" t="s">
        <v>116</v>
      </c>
      <c r="D681" t="s">
        <v>33</v>
      </c>
      <c r="E681">
        <v>22.067686316567869</v>
      </c>
    </row>
    <row r="682" spans="1:5" x14ac:dyDescent="0.3">
      <c r="A682" t="s">
        <v>63</v>
      </c>
      <c r="B682" t="s">
        <v>69</v>
      </c>
      <c r="C682" t="s">
        <v>69</v>
      </c>
      <c r="D682" t="s">
        <v>34</v>
      </c>
      <c r="E682">
        <v>53.515881939191701</v>
      </c>
    </row>
    <row r="683" spans="1:5" x14ac:dyDescent="0.3">
      <c r="A683" t="s">
        <v>63</v>
      </c>
      <c r="B683" t="s">
        <v>70</v>
      </c>
      <c r="C683" t="s">
        <v>78</v>
      </c>
      <c r="D683" t="s">
        <v>34</v>
      </c>
      <c r="E683">
        <v>51.700451928874081</v>
      </c>
    </row>
    <row r="684" spans="1:5" x14ac:dyDescent="0.3">
      <c r="A684" t="s">
        <v>63</v>
      </c>
      <c r="B684" t="s">
        <v>70</v>
      </c>
      <c r="C684" t="s">
        <v>79</v>
      </c>
      <c r="D684" t="s">
        <v>34</v>
      </c>
      <c r="E684">
        <v>53.729915950293687</v>
      </c>
    </row>
    <row r="685" spans="1:5" x14ac:dyDescent="0.3">
      <c r="A685" t="s">
        <v>63</v>
      </c>
      <c r="B685" t="s">
        <v>70</v>
      </c>
      <c r="C685" t="s">
        <v>80</v>
      </c>
      <c r="D685" t="s">
        <v>34</v>
      </c>
      <c r="E685">
        <v>54.901621400602643</v>
      </c>
    </row>
    <row r="686" spans="1:5" x14ac:dyDescent="0.3">
      <c r="A686" t="s">
        <v>63</v>
      </c>
      <c r="B686" t="s">
        <v>70</v>
      </c>
      <c r="C686" t="s">
        <v>81</v>
      </c>
      <c r="D686" t="s">
        <v>34</v>
      </c>
      <c r="E686">
        <v>55.554742244001837</v>
      </c>
    </row>
    <row r="687" spans="1:5" x14ac:dyDescent="0.3">
      <c r="A687" t="s">
        <v>63</v>
      </c>
      <c r="B687" t="s">
        <v>71</v>
      </c>
      <c r="C687" t="s">
        <v>82</v>
      </c>
      <c r="D687" t="s">
        <v>34</v>
      </c>
      <c r="E687">
        <v>53.638646839470482</v>
      </c>
    </row>
    <row r="688" spans="1:5" x14ac:dyDescent="0.3">
      <c r="A688" t="s">
        <v>63</v>
      </c>
      <c r="B688" t="s">
        <v>71</v>
      </c>
      <c r="C688" t="s">
        <v>83</v>
      </c>
      <c r="D688" t="s">
        <v>34</v>
      </c>
      <c r="E688">
        <v>53.296545769007317</v>
      </c>
    </row>
    <row r="689" spans="1:5" x14ac:dyDescent="0.3">
      <c r="A689" t="s">
        <v>63</v>
      </c>
      <c r="B689" t="s">
        <v>71</v>
      </c>
      <c r="C689" t="s">
        <v>84</v>
      </c>
      <c r="D689" t="s">
        <v>34</v>
      </c>
      <c r="E689">
        <v>53.731784603330468</v>
      </c>
    </row>
    <row r="690" spans="1:5" x14ac:dyDescent="0.3">
      <c r="A690" t="s">
        <v>63</v>
      </c>
      <c r="B690" t="s">
        <v>71</v>
      </c>
      <c r="C690" t="s">
        <v>85</v>
      </c>
      <c r="D690" t="s">
        <v>34</v>
      </c>
      <c r="E690">
        <v>53.403161246313132</v>
      </c>
    </row>
    <row r="691" spans="1:5" x14ac:dyDescent="0.3">
      <c r="A691" t="s">
        <v>63</v>
      </c>
      <c r="B691" t="s">
        <v>72</v>
      </c>
      <c r="C691" t="s">
        <v>86</v>
      </c>
      <c r="D691" t="s">
        <v>34</v>
      </c>
      <c r="E691">
        <v>54.261716079583103</v>
      </c>
    </row>
    <row r="692" spans="1:5" x14ac:dyDescent="0.3">
      <c r="A692" t="s">
        <v>63</v>
      </c>
      <c r="B692" t="s">
        <v>72</v>
      </c>
      <c r="C692" t="s">
        <v>87</v>
      </c>
      <c r="D692" t="s">
        <v>34</v>
      </c>
      <c r="E692">
        <v>52.740008744171732</v>
      </c>
    </row>
    <row r="693" spans="1:5" x14ac:dyDescent="0.3">
      <c r="A693" t="s">
        <v>63</v>
      </c>
      <c r="B693" t="s">
        <v>73</v>
      </c>
      <c r="C693" t="s">
        <v>88</v>
      </c>
      <c r="D693" t="s">
        <v>34</v>
      </c>
      <c r="E693">
        <v>53.283004670963052</v>
      </c>
    </row>
    <row r="694" spans="1:5" x14ac:dyDescent="0.3">
      <c r="A694" t="s">
        <v>63</v>
      </c>
      <c r="B694" t="s">
        <v>73</v>
      </c>
      <c r="C694" t="s">
        <v>89</v>
      </c>
      <c r="D694" t="s">
        <v>34</v>
      </c>
      <c r="E694">
        <v>53.699504934344198</v>
      </c>
    </row>
    <row r="695" spans="1:5" x14ac:dyDescent="0.3">
      <c r="A695" t="s">
        <v>63</v>
      </c>
      <c r="B695" t="s">
        <v>74</v>
      </c>
      <c r="C695" t="s">
        <v>90</v>
      </c>
      <c r="D695" t="s">
        <v>34</v>
      </c>
      <c r="E695">
        <v>53.316837276765142</v>
      </c>
    </row>
    <row r="696" spans="1:5" x14ac:dyDescent="0.3">
      <c r="A696" t="s">
        <v>63</v>
      </c>
      <c r="B696" t="s">
        <v>74</v>
      </c>
      <c r="C696" t="s">
        <v>91</v>
      </c>
      <c r="D696" t="s">
        <v>34</v>
      </c>
      <c r="E696">
        <v>53.593988362111389</v>
      </c>
    </row>
    <row r="697" spans="1:5" x14ac:dyDescent="0.3">
      <c r="A697" t="s">
        <v>63</v>
      </c>
      <c r="B697" t="s">
        <v>75</v>
      </c>
      <c r="C697" t="s">
        <v>92</v>
      </c>
      <c r="D697" t="s">
        <v>34</v>
      </c>
      <c r="E697">
        <v>53.248541207231128</v>
      </c>
    </row>
    <row r="698" spans="1:5" x14ac:dyDescent="0.3">
      <c r="A698" t="s">
        <v>63</v>
      </c>
      <c r="B698" t="s">
        <v>75</v>
      </c>
      <c r="C698" t="s">
        <v>93</v>
      </c>
      <c r="D698" t="s">
        <v>34</v>
      </c>
      <c r="E698">
        <v>53.5942681292467</v>
      </c>
    </row>
    <row r="699" spans="1:5" x14ac:dyDescent="0.3">
      <c r="A699" t="s">
        <v>63</v>
      </c>
      <c r="B699" t="s">
        <v>75</v>
      </c>
      <c r="C699" t="s">
        <v>94</v>
      </c>
      <c r="D699" t="s">
        <v>34</v>
      </c>
      <c r="E699">
        <v>53.005703520089561</v>
      </c>
    </row>
    <row r="700" spans="1:5" x14ac:dyDescent="0.3">
      <c r="A700" t="s">
        <v>63</v>
      </c>
      <c r="B700" t="s">
        <v>75</v>
      </c>
      <c r="C700" t="s">
        <v>95</v>
      </c>
      <c r="D700" t="s">
        <v>34</v>
      </c>
      <c r="E700">
        <v>54.002621793242753</v>
      </c>
    </row>
    <row r="701" spans="1:5" x14ac:dyDescent="0.3">
      <c r="A701" t="s">
        <v>63</v>
      </c>
      <c r="B701" t="s">
        <v>76</v>
      </c>
      <c r="C701" t="s">
        <v>96</v>
      </c>
      <c r="D701" t="s">
        <v>34</v>
      </c>
      <c r="E701">
        <v>54.055652587593507</v>
      </c>
    </row>
    <row r="702" spans="1:5" x14ac:dyDescent="0.3">
      <c r="A702" t="s">
        <v>63</v>
      </c>
      <c r="B702" t="s">
        <v>76</v>
      </c>
      <c r="C702" t="s">
        <v>97</v>
      </c>
      <c r="D702" t="s">
        <v>34</v>
      </c>
      <c r="E702">
        <v>52.414511166516633</v>
      </c>
    </row>
    <row r="703" spans="1:5" x14ac:dyDescent="0.3">
      <c r="A703" t="s">
        <v>63</v>
      </c>
      <c r="B703" t="s">
        <v>76</v>
      </c>
      <c r="C703" t="s">
        <v>98</v>
      </c>
      <c r="D703" t="s">
        <v>34</v>
      </c>
      <c r="E703">
        <v>53.948799211498802</v>
      </c>
    </row>
    <row r="704" spans="1:5" x14ac:dyDescent="0.3">
      <c r="A704" t="s">
        <v>63</v>
      </c>
      <c r="B704" t="s">
        <v>0</v>
      </c>
      <c r="C704" t="s">
        <v>99</v>
      </c>
      <c r="D704" t="s">
        <v>34</v>
      </c>
      <c r="E704">
        <v>51.276045092449849</v>
      </c>
    </row>
    <row r="705" spans="1:5" x14ac:dyDescent="0.3">
      <c r="A705" t="s">
        <v>63</v>
      </c>
      <c r="B705" t="s">
        <v>0</v>
      </c>
      <c r="C705" t="s">
        <v>100</v>
      </c>
      <c r="D705" t="s">
        <v>34</v>
      </c>
      <c r="E705">
        <v>48.853615520282183</v>
      </c>
    </row>
    <row r="706" spans="1:5" x14ac:dyDescent="0.3">
      <c r="A706" t="s">
        <v>63</v>
      </c>
      <c r="B706" t="s">
        <v>0</v>
      </c>
      <c r="C706" t="s">
        <v>101</v>
      </c>
      <c r="D706" t="s">
        <v>34</v>
      </c>
      <c r="E706">
        <v>58.397271952259167</v>
      </c>
    </row>
    <row r="707" spans="1:5" x14ac:dyDescent="0.3">
      <c r="A707" t="s">
        <v>63</v>
      </c>
      <c r="B707" t="s">
        <v>0</v>
      </c>
      <c r="C707" t="s">
        <v>102</v>
      </c>
      <c r="D707" t="s">
        <v>34</v>
      </c>
      <c r="E707">
        <v>57.388825851331852</v>
      </c>
    </row>
    <row r="708" spans="1:5" x14ac:dyDescent="0.3">
      <c r="A708" t="s">
        <v>63</v>
      </c>
      <c r="B708" t="s">
        <v>0</v>
      </c>
      <c r="C708" t="s">
        <v>103</v>
      </c>
      <c r="D708" t="s">
        <v>34</v>
      </c>
      <c r="E708">
        <v>53.262026394210302</v>
      </c>
    </row>
    <row r="709" spans="1:5" x14ac:dyDescent="0.3">
      <c r="A709" t="s">
        <v>63</v>
      </c>
      <c r="B709" t="s">
        <v>0</v>
      </c>
      <c r="C709" t="s">
        <v>104</v>
      </c>
      <c r="D709" t="s">
        <v>34</v>
      </c>
      <c r="E709">
        <v>52.325581395348841</v>
      </c>
    </row>
    <row r="710" spans="1:5" x14ac:dyDescent="0.3">
      <c r="A710" t="s">
        <v>63</v>
      </c>
      <c r="B710" t="s">
        <v>0</v>
      </c>
      <c r="C710" t="s">
        <v>105</v>
      </c>
      <c r="D710" t="s">
        <v>34</v>
      </c>
      <c r="E710">
        <v>48.830338485941851</v>
      </c>
    </row>
    <row r="711" spans="1:5" x14ac:dyDescent="0.3">
      <c r="A711" t="s">
        <v>63</v>
      </c>
      <c r="B711" t="s">
        <v>0</v>
      </c>
      <c r="C711" t="s">
        <v>106</v>
      </c>
      <c r="D711" t="s">
        <v>34</v>
      </c>
      <c r="E711">
        <v>52.580927384076993</v>
      </c>
    </row>
    <row r="712" spans="1:5" x14ac:dyDescent="0.3">
      <c r="A712" t="s">
        <v>63</v>
      </c>
      <c r="B712" t="s">
        <v>0</v>
      </c>
      <c r="C712" t="s">
        <v>107</v>
      </c>
      <c r="D712" t="s">
        <v>34</v>
      </c>
      <c r="E712">
        <v>57.538012360000288</v>
      </c>
    </row>
    <row r="713" spans="1:5" x14ac:dyDescent="0.3">
      <c r="A713" t="s">
        <v>63</v>
      </c>
      <c r="B713" t="s">
        <v>0</v>
      </c>
      <c r="C713" t="s">
        <v>108</v>
      </c>
      <c r="D713" t="s">
        <v>34</v>
      </c>
      <c r="E713">
        <v>50.151586410439521</v>
      </c>
    </row>
    <row r="714" spans="1:5" x14ac:dyDescent="0.3">
      <c r="A714" t="s">
        <v>63</v>
      </c>
      <c r="B714" t="s">
        <v>0</v>
      </c>
      <c r="C714" t="s">
        <v>109</v>
      </c>
      <c r="D714" t="s">
        <v>34</v>
      </c>
      <c r="E714">
        <v>52.233676975945023</v>
      </c>
    </row>
    <row r="715" spans="1:5" x14ac:dyDescent="0.3">
      <c r="A715" t="s">
        <v>63</v>
      </c>
      <c r="B715" t="s">
        <v>0</v>
      </c>
      <c r="C715" t="s">
        <v>110</v>
      </c>
      <c r="D715" t="s">
        <v>34</v>
      </c>
      <c r="E715">
        <v>54.959077646349208</v>
      </c>
    </row>
    <row r="716" spans="1:5" x14ac:dyDescent="0.3">
      <c r="A716" t="s">
        <v>63</v>
      </c>
      <c r="B716" t="s">
        <v>0</v>
      </c>
      <c r="C716" t="s">
        <v>111</v>
      </c>
      <c r="D716" t="s">
        <v>34</v>
      </c>
      <c r="E716">
        <v>54.899894625922023</v>
      </c>
    </row>
    <row r="717" spans="1:5" x14ac:dyDescent="0.3">
      <c r="A717" t="s">
        <v>63</v>
      </c>
      <c r="B717" t="s">
        <v>0</v>
      </c>
      <c r="C717" t="s">
        <v>112</v>
      </c>
      <c r="D717" t="s">
        <v>34</v>
      </c>
      <c r="E717">
        <v>67.522123893805315</v>
      </c>
    </row>
    <row r="718" spans="1:5" x14ac:dyDescent="0.3">
      <c r="A718" t="s">
        <v>63</v>
      </c>
      <c r="B718" t="s">
        <v>0</v>
      </c>
      <c r="C718" t="s">
        <v>113</v>
      </c>
      <c r="D718" t="s">
        <v>34</v>
      </c>
      <c r="E718">
        <v>52.416034669555799</v>
      </c>
    </row>
    <row r="719" spans="1:5" x14ac:dyDescent="0.3">
      <c r="A719" t="s">
        <v>63</v>
      </c>
      <c r="B719" t="s">
        <v>0</v>
      </c>
      <c r="C719" t="s">
        <v>114</v>
      </c>
      <c r="D719" t="s">
        <v>34</v>
      </c>
      <c r="E719">
        <v>48.043369337551823</v>
      </c>
    </row>
    <row r="720" spans="1:5" x14ac:dyDescent="0.3">
      <c r="A720" t="s">
        <v>63</v>
      </c>
      <c r="B720" t="s">
        <v>0</v>
      </c>
      <c r="C720" t="s">
        <v>115</v>
      </c>
      <c r="D720" t="s">
        <v>34</v>
      </c>
      <c r="E720">
        <v>56.681614349775792</v>
      </c>
    </row>
    <row r="721" spans="1:5" x14ac:dyDescent="0.3">
      <c r="A721" t="s">
        <v>63</v>
      </c>
      <c r="B721" t="s">
        <v>0</v>
      </c>
      <c r="C721" t="s">
        <v>116</v>
      </c>
      <c r="D721" t="s">
        <v>34</v>
      </c>
      <c r="E721">
        <v>44.297832306411451</v>
      </c>
    </row>
    <row r="722" spans="1:5" x14ac:dyDescent="0.3">
      <c r="A722" t="s">
        <v>63</v>
      </c>
      <c r="B722" t="s">
        <v>69</v>
      </c>
      <c r="C722" t="s">
        <v>69</v>
      </c>
      <c r="D722" t="s">
        <v>35</v>
      </c>
      <c r="E722">
        <v>19.426942207076578</v>
      </c>
    </row>
    <row r="723" spans="1:5" x14ac:dyDescent="0.3">
      <c r="A723" t="s">
        <v>63</v>
      </c>
      <c r="B723" t="s">
        <v>70</v>
      </c>
      <c r="C723" t="s">
        <v>78</v>
      </c>
      <c r="D723" t="s">
        <v>35</v>
      </c>
      <c r="E723">
        <v>20.237245639260429</v>
      </c>
    </row>
    <row r="724" spans="1:5" x14ac:dyDescent="0.3">
      <c r="A724" t="s">
        <v>63</v>
      </c>
      <c r="B724" t="s">
        <v>70</v>
      </c>
      <c r="C724" t="s">
        <v>79</v>
      </c>
      <c r="D724" t="s">
        <v>35</v>
      </c>
      <c r="E724">
        <v>19.528188573316271</v>
      </c>
    </row>
    <row r="725" spans="1:5" x14ac:dyDescent="0.3">
      <c r="A725" t="s">
        <v>63</v>
      </c>
      <c r="B725" t="s">
        <v>70</v>
      </c>
      <c r="C725" t="s">
        <v>80</v>
      </c>
      <c r="D725" t="s">
        <v>35</v>
      </c>
      <c r="E725">
        <v>19.777192032718919</v>
      </c>
    </row>
    <row r="726" spans="1:5" x14ac:dyDescent="0.3">
      <c r="A726" t="s">
        <v>63</v>
      </c>
      <c r="B726" t="s">
        <v>70</v>
      </c>
      <c r="C726" t="s">
        <v>81</v>
      </c>
      <c r="D726" t="s">
        <v>35</v>
      </c>
      <c r="E726">
        <v>14.940175524889611</v>
      </c>
    </row>
    <row r="727" spans="1:5" x14ac:dyDescent="0.3">
      <c r="A727" t="s">
        <v>63</v>
      </c>
      <c r="B727" t="s">
        <v>71</v>
      </c>
      <c r="C727" t="s">
        <v>82</v>
      </c>
      <c r="D727" t="s">
        <v>35</v>
      </c>
      <c r="E727">
        <v>21.721824659541031</v>
      </c>
    </row>
    <row r="728" spans="1:5" x14ac:dyDescent="0.3">
      <c r="A728" t="s">
        <v>63</v>
      </c>
      <c r="B728" t="s">
        <v>71</v>
      </c>
      <c r="C728" t="s">
        <v>83</v>
      </c>
      <c r="D728" t="s">
        <v>35</v>
      </c>
      <c r="E728">
        <v>19.31478232677145</v>
      </c>
    </row>
    <row r="729" spans="1:5" x14ac:dyDescent="0.3">
      <c r="A729" t="s">
        <v>63</v>
      </c>
      <c r="B729" t="s">
        <v>71</v>
      </c>
      <c r="C729" t="s">
        <v>84</v>
      </c>
      <c r="D729" t="s">
        <v>35</v>
      </c>
      <c r="E729">
        <v>18.278543990009592</v>
      </c>
    </row>
    <row r="730" spans="1:5" x14ac:dyDescent="0.3">
      <c r="A730" t="s">
        <v>63</v>
      </c>
      <c r="B730" t="s">
        <v>71</v>
      </c>
      <c r="C730" t="s">
        <v>85</v>
      </c>
      <c r="D730" t="s">
        <v>35</v>
      </c>
      <c r="E730">
        <v>18.90924551700931</v>
      </c>
    </row>
    <row r="731" spans="1:5" x14ac:dyDescent="0.3">
      <c r="A731" t="s">
        <v>63</v>
      </c>
      <c r="B731" t="s">
        <v>72</v>
      </c>
      <c r="C731" t="s">
        <v>86</v>
      </c>
      <c r="D731" t="s">
        <v>35</v>
      </c>
      <c r="E731">
        <v>18.725563629987121</v>
      </c>
    </row>
    <row r="732" spans="1:5" x14ac:dyDescent="0.3">
      <c r="A732" t="s">
        <v>63</v>
      </c>
      <c r="B732" t="s">
        <v>72</v>
      </c>
      <c r="C732" t="s">
        <v>87</v>
      </c>
      <c r="D732" t="s">
        <v>35</v>
      </c>
      <c r="E732">
        <v>20.156569356136011</v>
      </c>
    </row>
    <row r="733" spans="1:5" x14ac:dyDescent="0.3">
      <c r="A733" t="s">
        <v>63</v>
      </c>
      <c r="B733" t="s">
        <v>73</v>
      </c>
      <c r="C733" t="s">
        <v>88</v>
      </c>
      <c r="D733" t="s">
        <v>35</v>
      </c>
      <c r="E733">
        <v>20.169317335290081</v>
      </c>
    </row>
    <row r="734" spans="1:5" x14ac:dyDescent="0.3">
      <c r="A734" t="s">
        <v>63</v>
      </c>
      <c r="B734" t="s">
        <v>73</v>
      </c>
      <c r="C734" t="s">
        <v>89</v>
      </c>
      <c r="D734" t="s">
        <v>35</v>
      </c>
      <c r="E734">
        <v>18.846046515500351</v>
      </c>
    </row>
    <row r="735" spans="1:5" x14ac:dyDescent="0.3">
      <c r="A735" t="s">
        <v>63</v>
      </c>
      <c r="B735" t="s">
        <v>74</v>
      </c>
      <c r="C735" t="s">
        <v>90</v>
      </c>
      <c r="D735" t="s">
        <v>35</v>
      </c>
      <c r="E735">
        <v>19.238352202382831</v>
      </c>
    </row>
    <row r="736" spans="1:5" x14ac:dyDescent="0.3">
      <c r="A736" t="s">
        <v>63</v>
      </c>
      <c r="B736" t="s">
        <v>74</v>
      </c>
      <c r="C736" t="s">
        <v>91</v>
      </c>
      <c r="D736" t="s">
        <v>35</v>
      </c>
      <c r="E736">
        <v>19.483049526810291</v>
      </c>
    </row>
    <row r="737" spans="1:5" x14ac:dyDescent="0.3">
      <c r="A737" t="s">
        <v>63</v>
      </c>
      <c r="B737" t="s">
        <v>75</v>
      </c>
      <c r="C737" t="s">
        <v>92</v>
      </c>
      <c r="D737" t="s">
        <v>35</v>
      </c>
      <c r="E737">
        <v>19.994717690633021</v>
      </c>
    </row>
    <row r="738" spans="1:5" x14ac:dyDescent="0.3">
      <c r="A738" t="s">
        <v>63</v>
      </c>
      <c r="B738" t="s">
        <v>75</v>
      </c>
      <c r="C738" t="s">
        <v>93</v>
      </c>
      <c r="D738" t="s">
        <v>35</v>
      </c>
      <c r="E738">
        <v>19.945401687374389</v>
      </c>
    </row>
    <row r="739" spans="1:5" x14ac:dyDescent="0.3">
      <c r="A739" t="s">
        <v>63</v>
      </c>
      <c r="B739" t="s">
        <v>75</v>
      </c>
      <c r="C739" t="s">
        <v>94</v>
      </c>
      <c r="D739" t="s">
        <v>35</v>
      </c>
      <c r="E739">
        <v>19.427029223993319</v>
      </c>
    </row>
    <row r="740" spans="1:5" x14ac:dyDescent="0.3">
      <c r="A740" t="s">
        <v>63</v>
      </c>
      <c r="B740" t="s">
        <v>75</v>
      </c>
      <c r="C740" t="s">
        <v>95</v>
      </c>
      <c r="D740" t="s">
        <v>35</v>
      </c>
      <c r="E740">
        <v>17.391594221882301</v>
      </c>
    </row>
    <row r="741" spans="1:5" x14ac:dyDescent="0.3">
      <c r="A741" t="s">
        <v>63</v>
      </c>
      <c r="B741" t="s">
        <v>76</v>
      </c>
      <c r="C741" t="s">
        <v>96</v>
      </c>
      <c r="D741" t="s">
        <v>35</v>
      </c>
      <c r="E741">
        <v>20.384933765678809</v>
      </c>
    </row>
    <row r="742" spans="1:5" x14ac:dyDescent="0.3">
      <c r="A742" t="s">
        <v>63</v>
      </c>
      <c r="B742" t="s">
        <v>76</v>
      </c>
      <c r="C742" t="s">
        <v>97</v>
      </c>
      <c r="D742" t="s">
        <v>35</v>
      </c>
      <c r="E742">
        <v>19.813466058630389</v>
      </c>
    </row>
    <row r="743" spans="1:5" x14ac:dyDescent="0.3">
      <c r="A743" t="s">
        <v>63</v>
      </c>
      <c r="B743" t="s">
        <v>76</v>
      </c>
      <c r="C743" t="s">
        <v>98</v>
      </c>
      <c r="D743" t="s">
        <v>35</v>
      </c>
      <c r="E743">
        <v>18.76846954900239</v>
      </c>
    </row>
    <row r="744" spans="1:5" x14ac:dyDescent="0.3">
      <c r="A744" t="s">
        <v>63</v>
      </c>
      <c r="B744" t="s">
        <v>0</v>
      </c>
      <c r="C744" t="s">
        <v>99</v>
      </c>
      <c r="D744" t="s">
        <v>35</v>
      </c>
      <c r="E744">
        <v>4.0825586810429808</v>
      </c>
    </row>
    <row r="745" spans="1:5" x14ac:dyDescent="0.3">
      <c r="A745" t="s">
        <v>63</v>
      </c>
      <c r="B745" t="s">
        <v>0</v>
      </c>
      <c r="C745" t="s">
        <v>100</v>
      </c>
      <c r="D745" t="s">
        <v>35</v>
      </c>
      <c r="E745">
        <v>33.950617283950621</v>
      </c>
    </row>
    <row r="746" spans="1:5" x14ac:dyDescent="0.3">
      <c r="A746" t="s">
        <v>63</v>
      </c>
      <c r="B746" t="s">
        <v>0</v>
      </c>
      <c r="C746" t="s">
        <v>101</v>
      </c>
      <c r="D746" t="s">
        <v>35</v>
      </c>
      <c r="E746">
        <v>15.34526854219949</v>
      </c>
    </row>
    <row r="747" spans="1:5" x14ac:dyDescent="0.3">
      <c r="A747" t="s">
        <v>63</v>
      </c>
      <c r="B747" t="s">
        <v>0</v>
      </c>
      <c r="C747" t="s">
        <v>102</v>
      </c>
      <c r="D747" t="s">
        <v>35</v>
      </c>
      <c r="E747">
        <v>13.02721583277164</v>
      </c>
    </row>
    <row r="748" spans="1:5" x14ac:dyDescent="0.3">
      <c r="A748" t="s">
        <v>63</v>
      </c>
      <c r="B748" t="s">
        <v>0</v>
      </c>
      <c r="C748" t="s">
        <v>103</v>
      </c>
      <c r="D748" t="s">
        <v>35</v>
      </c>
      <c r="E748">
        <v>16.747374769405418</v>
      </c>
    </row>
    <row r="749" spans="1:5" x14ac:dyDescent="0.3">
      <c r="A749" t="s">
        <v>63</v>
      </c>
      <c r="B749" t="s">
        <v>0</v>
      </c>
      <c r="C749" t="s">
        <v>104</v>
      </c>
      <c r="D749" t="s">
        <v>35</v>
      </c>
      <c r="E749">
        <v>25.898520084566599</v>
      </c>
    </row>
    <row r="750" spans="1:5" x14ac:dyDescent="0.3">
      <c r="A750" t="s">
        <v>63</v>
      </c>
      <c r="B750" t="s">
        <v>0</v>
      </c>
      <c r="C750" t="s">
        <v>105</v>
      </c>
      <c r="D750" t="s">
        <v>35</v>
      </c>
      <c r="E750">
        <v>22.886934739607391</v>
      </c>
    </row>
    <row r="751" spans="1:5" x14ac:dyDescent="0.3">
      <c r="A751" t="s">
        <v>63</v>
      </c>
      <c r="B751" t="s">
        <v>0</v>
      </c>
      <c r="C751" t="s">
        <v>106</v>
      </c>
      <c r="D751" t="s">
        <v>35</v>
      </c>
      <c r="E751">
        <v>26.42169728783902</v>
      </c>
    </row>
    <row r="752" spans="1:5" x14ac:dyDescent="0.3">
      <c r="A752" t="s">
        <v>63</v>
      </c>
      <c r="B752" t="s">
        <v>0</v>
      </c>
      <c r="C752" t="s">
        <v>107</v>
      </c>
      <c r="D752" t="s">
        <v>35</v>
      </c>
      <c r="E752">
        <v>12.87469635635656</v>
      </c>
    </row>
    <row r="753" spans="1:5" x14ac:dyDescent="0.3">
      <c r="A753" t="s">
        <v>63</v>
      </c>
      <c r="B753" t="s">
        <v>0</v>
      </c>
      <c r="C753" t="s">
        <v>108</v>
      </c>
      <c r="D753" t="s">
        <v>35</v>
      </c>
      <c r="E753">
        <v>16.96281558840116</v>
      </c>
    </row>
    <row r="754" spans="1:5" x14ac:dyDescent="0.3">
      <c r="A754" t="s">
        <v>63</v>
      </c>
      <c r="B754" t="s">
        <v>0</v>
      </c>
      <c r="C754" t="s">
        <v>109</v>
      </c>
      <c r="D754" t="s">
        <v>35</v>
      </c>
      <c r="E754">
        <v>13.4020618556701</v>
      </c>
    </row>
    <row r="755" spans="1:5" x14ac:dyDescent="0.3">
      <c r="A755" t="s">
        <v>63</v>
      </c>
      <c r="B755" t="s">
        <v>0</v>
      </c>
      <c r="C755" t="s">
        <v>110</v>
      </c>
      <c r="D755" t="s">
        <v>35</v>
      </c>
      <c r="E755">
        <v>16.544610823706751</v>
      </c>
    </row>
    <row r="756" spans="1:5" x14ac:dyDescent="0.3">
      <c r="A756" t="s">
        <v>63</v>
      </c>
      <c r="B756" t="s">
        <v>0</v>
      </c>
      <c r="C756" t="s">
        <v>111</v>
      </c>
      <c r="D756" t="s">
        <v>35</v>
      </c>
      <c r="E756">
        <v>22.866174920969438</v>
      </c>
    </row>
    <row r="757" spans="1:5" x14ac:dyDescent="0.3">
      <c r="A757" t="s">
        <v>63</v>
      </c>
      <c r="B757" t="s">
        <v>0</v>
      </c>
      <c r="C757" t="s">
        <v>112</v>
      </c>
      <c r="D757" t="s">
        <v>35</v>
      </c>
      <c r="E757">
        <v>10.61946902654867</v>
      </c>
    </row>
    <row r="758" spans="1:5" x14ac:dyDescent="0.3">
      <c r="A758" t="s">
        <v>63</v>
      </c>
      <c r="B758" t="s">
        <v>0</v>
      </c>
      <c r="C758" t="s">
        <v>113</v>
      </c>
      <c r="D758" t="s">
        <v>35</v>
      </c>
      <c r="E758">
        <v>15.29794149512459</v>
      </c>
    </row>
    <row r="759" spans="1:5" x14ac:dyDescent="0.3">
      <c r="A759" t="s">
        <v>63</v>
      </c>
      <c r="B759" t="s">
        <v>0</v>
      </c>
      <c r="C759" t="s">
        <v>114</v>
      </c>
      <c r="D759" t="s">
        <v>35</v>
      </c>
      <c r="E759">
        <v>22.533108713109939</v>
      </c>
    </row>
    <row r="760" spans="1:5" x14ac:dyDescent="0.3">
      <c r="A760" t="s">
        <v>63</v>
      </c>
      <c r="B760" t="s">
        <v>0</v>
      </c>
      <c r="C760" t="s">
        <v>115</v>
      </c>
      <c r="D760" t="s">
        <v>35</v>
      </c>
      <c r="E760">
        <v>32.197309417040358</v>
      </c>
    </row>
    <row r="761" spans="1:5" x14ac:dyDescent="0.3">
      <c r="A761" t="s">
        <v>63</v>
      </c>
      <c r="B761" t="s">
        <v>0</v>
      </c>
      <c r="C761" t="s">
        <v>116</v>
      </c>
      <c r="D761" t="s">
        <v>35</v>
      </c>
      <c r="E761">
        <v>29.966974817931671</v>
      </c>
    </row>
    <row r="762" spans="1:5" x14ac:dyDescent="0.3">
      <c r="A762" t="s">
        <v>63</v>
      </c>
      <c r="B762" t="s">
        <v>69</v>
      </c>
      <c r="C762" t="s">
        <v>69</v>
      </c>
      <c r="D762" t="s">
        <v>36</v>
      </c>
      <c r="E762">
        <v>2.5312321798694208</v>
      </c>
    </row>
    <row r="763" spans="1:5" x14ac:dyDescent="0.3">
      <c r="A763" t="s">
        <v>63</v>
      </c>
      <c r="B763" t="s">
        <v>70</v>
      </c>
      <c r="C763" t="s">
        <v>78</v>
      </c>
      <c r="D763" t="s">
        <v>36</v>
      </c>
      <c r="E763">
        <v>2.9887428770915552</v>
      </c>
    </row>
    <row r="764" spans="1:5" x14ac:dyDescent="0.3">
      <c r="A764" t="s">
        <v>63</v>
      </c>
      <c r="B764" t="s">
        <v>70</v>
      </c>
      <c r="C764" t="s">
        <v>79</v>
      </c>
      <c r="D764" t="s">
        <v>36</v>
      </c>
      <c r="E764">
        <v>2.4204403908075438</v>
      </c>
    </row>
    <row r="765" spans="1:5" x14ac:dyDescent="0.3">
      <c r="A765" t="s">
        <v>63</v>
      </c>
      <c r="B765" t="s">
        <v>70</v>
      </c>
      <c r="C765" t="s">
        <v>80</v>
      </c>
      <c r="D765" t="s">
        <v>36</v>
      </c>
      <c r="E765">
        <v>2.1118389267154032</v>
      </c>
    </row>
    <row r="766" spans="1:5" x14ac:dyDescent="0.3">
      <c r="A766" t="s">
        <v>63</v>
      </c>
      <c r="B766" t="s">
        <v>70</v>
      </c>
      <c r="C766" t="s">
        <v>81</v>
      </c>
      <c r="D766" t="s">
        <v>36</v>
      </c>
      <c r="E766">
        <v>2.5134698864206722</v>
      </c>
    </row>
    <row r="767" spans="1:5" x14ac:dyDescent="0.3">
      <c r="A767" t="s">
        <v>63</v>
      </c>
      <c r="B767" t="s">
        <v>71</v>
      </c>
      <c r="C767" t="s">
        <v>82</v>
      </c>
      <c r="D767" t="s">
        <v>36</v>
      </c>
      <c r="E767">
        <v>2.6611404881718981</v>
      </c>
    </row>
    <row r="768" spans="1:5" x14ac:dyDescent="0.3">
      <c r="A768" t="s">
        <v>63</v>
      </c>
      <c r="B768" t="s">
        <v>71</v>
      </c>
      <c r="C768" t="s">
        <v>83</v>
      </c>
      <c r="D768" t="s">
        <v>36</v>
      </c>
      <c r="E768">
        <v>2.4872459655218568</v>
      </c>
    </row>
    <row r="769" spans="1:5" x14ac:dyDescent="0.3">
      <c r="A769" t="s">
        <v>63</v>
      </c>
      <c r="B769" t="s">
        <v>71</v>
      </c>
      <c r="C769" t="s">
        <v>84</v>
      </c>
      <c r="D769" t="s">
        <v>36</v>
      </c>
      <c r="E769">
        <v>2.607799673426793</v>
      </c>
    </row>
    <row r="770" spans="1:5" x14ac:dyDescent="0.3">
      <c r="A770" t="s">
        <v>63</v>
      </c>
      <c r="B770" t="s">
        <v>71</v>
      </c>
      <c r="C770" t="s">
        <v>85</v>
      </c>
      <c r="D770" t="s">
        <v>36</v>
      </c>
      <c r="E770">
        <v>2.1625433963197001</v>
      </c>
    </row>
    <row r="771" spans="1:5" x14ac:dyDescent="0.3">
      <c r="A771" t="s">
        <v>63</v>
      </c>
      <c r="B771" t="s">
        <v>72</v>
      </c>
      <c r="C771" t="s">
        <v>86</v>
      </c>
      <c r="D771" t="s">
        <v>36</v>
      </c>
      <c r="E771">
        <v>2.446390640655105</v>
      </c>
    </row>
    <row r="772" spans="1:5" x14ac:dyDescent="0.3">
      <c r="A772" t="s">
        <v>63</v>
      </c>
      <c r="B772" t="s">
        <v>72</v>
      </c>
      <c r="C772" t="s">
        <v>87</v>
      </c>
      <c r="D772" t="s">
        <v>36</v>
      </c>
      <c r="E772">
        <v>2.6194907785788861</v>
      </c>
    </row>
    <row r="773" spans="1:5" x14ac:dyDescent="0.3">
      <c r="A773" t="s">
        <v>63</v>
      </c>
      <c r="B773" t="s">
        <v>73</v>
      </c>
      <c r="C773" t="s">
        <v>88</v>
      </c>
      <c r="D773" t="s">
        <v>36</v>
      </c>
      <c r="E773">
        <v>2.7717448758184049</v>
      </c>
    </row>
    <row r="774" spans="1:5" x14ac:dyDescent="0.3">
      <c r="A774" t="s">
        <v>63</v>
      </c>
      <c r="B774" t="s">
        <v>73</v>
      </c>
      <c r="C774" t="s">
        <v>89</v>
      </c>
      <c r="D774" t="s">
        <v>36</v>
      </c>
      <c r="E774">
        <v>2.3548841046065361</v>
      </c>
    </row>
    <row r="775" spans="1:5" x14ac:dyDescent="0.3">
      <c r="A775" t="s">
        <v>63</v>
      </c>
      <c r="B775" t="s">
        <v>74</v>
      </c>
      <c r="C775" t="s">
        <v>90</v>
      </c>
      <c r="D775" t="s">
        <v>36</v>
      </c>
      <c r="E775">
        <v>2.6309039440790052</v>
      </c>
    </row>
    <row r="776" spans="1:5" x14ac:dyDescent="0.3">
      <c r="A776" t="s">
        <v>63</v>
      </c>
      <c r="B776" t="s">
        <v>74</v>
      </c>
      <c r="C776" t="s">
        <v>91</v>
      </c>
      <c r="D776" t="s">
        <v>36</v>
      </c>
      <c r="E776">
        <v>2.470719828490815</v>
      </c>
    </row>
    <row r="777" spans="1:5" x14ac:dyDescent="0.3">
      <c r="A777" t="s">
        <v>63</v>
      </c>
      <c r="B777" t="s">
        <v>75</v>
      </c>
      <c r="C777" t="s">
        <v>92</v>
      </c>
      <c r="D777" t="s">
        <v>36</v>
      </c>
      <c r="E777">
        <v>2.0607961919215909</v>
      </c>
    </row>
    <row r="778" spans="1:5" x14ac:dyDescent="0.3">
      <c r="A778" t="s">
        <v>63</v>
      </c>
      <c r="B778" t="s">
        <v>75</v>
      </c>
      <c r="C778" t="s">
        <v>93</v>
      </c>
      <c r="D778" t="s">
        <v>36</v>
      </c>
      <c r="E778">
        <v>2.612076846225047</v>
      </c>
    </row>
    <row r="779" spans="1:5" x14ac:dyDescent="0.3">
      <c r="A779" t="s">
        <v>63</v>
      </c>
      <c r="B779" t="s">
        <v>75</v>
      </c>
      <c r="C779" t="s">
        <v>94</v>
      </c>
      <c r="D779" t="s">
        <v>36</v>
      </c>
      <c r="E779">
        <v>2.645577501241084</v>
      </c>
    </row>
    <row r="780" spans="1:5" x14ac:dyDescent="0.3">
      <c r="A780" t="s">
        <v>63</v>
      </c>
      <c r="B780" t="s">
        <v>75</v>
      </c>
      <c r="C780" t="s">
        <v>95</v>
      </c>
      <c r="D780" t="s">
        <v>36</v>
      </c>
      <c r="E780">
        <v>3.2754154543165792</v>
      </c>
    </row>
    <row r="781" spans="1:5" x14ac:dyDescent="0.3">
      <c r="A781" t="s">
        <v>63</v>
      </c>
      <c r="B781" t="s">
        <v>76</v>
      </c>
      <c r="C781" t="s">
        <v>96</v>
      </c>
      <c r="D781" t="s">
        <v>36</v>
      </c>
      <c r="E781">
        <v>2.1762260893012519</v>
      </c>
    </row>
    <row r="782" spans="1:5" x14ac:dyDescent="0.3">
      <c r="A782" t="s">
        <v>63</v>
      </c>
      <c r="B782" t="s">
        <v>76</v>
      </c>
      <c r="C782" t="s">
        <v>97</v>
      </c>
      <c r="D782" t="s">
        <v>36</v>
      </c>
      <c r="E782">
        <v>3.1569124402437598</v>
      </c>
    </row>
    <row r="783" spans="1:5" x14ac:dyDescent="0.3">
      <c r="A783" t="s">
        <v>63</v>
      </c>
      <c r="B783" t="s">
        <v>76</v>
      </c>
      <c r="C783" t="s">
        <v>98</v>
      </c>
      <c r="D783" t="s">
        <v>36</v>
      </c>
      <c r="E783">
        <v>2.3066470956446659</v>
      </c>
    </row>
    <row r="784" spans="1:5" x14ac:dyDescent="0.3">
      <c r="A784" t="s">
        <v>63</v>
      </c>
      <c r="B784" t="s">
        <v>0</v>
      </c>
      <c r="C784" t="s">
        <v>99</v>
      </c>
      <c r="D784" t="s">
        <v>36</v>
      </c>
      <c r="E784">
        <v>0.37120944980249448</v>
      </c>
    </row>
    <row r="785" spans="1:5" x14ac:dyDescent="0.3">
      <c r="A785" t="s">
        <v>63</v>
      </c>
      <c r="B785" t="s">
        <v>0</v>
      </c>
      <c r="C785" t="s">
        <v>100</v>
      </c>
      <c r="D785" t="s">
        <v>36</v>
      </c>
      <c r="E785">
        <v>2.3809523809523809</v>
      </c>
    </row>
    <row r="786" spans="1:5" x14ac:dyDescent="0.3">
      <c r="A786" t="s">
        <v>63</v>
      </c>
      <c r="B786" t="s">
        <v>0</v>
      </c>
      <c r="C786" t="s">
        <v>101</v>
      </c>
      <c r="D786" t="s">
        <v>36</v>
      </c>
      <c r="E786">
        <v>1.2787723785166241</v>
      </c>
    </row>
    <row r="787" spans="1:5" x14ac:dyDescent="0.3">
      <c r="A787" t="s">
        <v>63</v>
      </c>
      <c r="B787" t="s">
        <v>0</v>
      </c>
      <c r="C787" t="s">
        <v>102</v>
      </c>
      <c r="D787" t="s">
        <v>36</v>
      </c>
      <c r="E787">
        <v>1.8978604605201641</v>
      </c>
    </row>
    <row r="788" spans="1:5" x14ac:dyDescent="0.3">
      <c r="A788" t="s">
        <v>63</v>
      </c>
      <c r="B788" t="s">
        <v>0</v>
      </c>
      <c r="C788" t="s">
        <v>103</v>
      </c>
      <c r="D788" t="s">
        <v>36</v>
      </c>
      <c r="E788">
        <v>2.414147864339435</v>
      </c>
    </row>
    <row r="789" spans="1:5" x14ac:dyDescent="0.3">
      <c r="A789" t="s">
        <v>63</v>
      </c>
      <c r="B789" t="s">
        <v>0</v>
      </c>
      <c r="C789" t="s">
        <v>104</v>
      </c>
      <c r="D789" t="s">
        <v>36</v>
      </c>
      <c r="E789">
        <v>4.5454545454545459</v>
      </c>
    </row>
    <row r="790" spans="1:5" x14ac:dyDescent="0.3">
      <c r="A790" t="s">
        <v>63</v>
      </c>
      <c r="B790" t="s">
        <v>0</v>
      </c>
      <c r="C790" t="s">
        <v>105</v>
      </c>
      <c r="D790" t="s">
        <v>36</v>
      </c>
      <c r="E790">
        <v>5.5589366528918926</v>
      </c>
    </row>
    <row r="791" spans="1:5" x14ac:dyDescent="0.3">
      <c r="A791" t="s">
        <v>63</v>
      </c>
      <c r="B791" t="s">
        <v>0</v>
      </c>
      <c r="C791" t="s">
        <v>106</v>
      </c>
      <c r="D791" t="s">
        <v>36</v>
      </c>
      <c r="E791">
        <v>2.537182852143482</v>
      </c>
    </row>
    <row r="792" spans="1:5" x14ac:dyDescent="0.3">
      <c r="A792" t="s">
        <v>63</v>
      </c>
      <c r="B792" t="s">
        <v>0</v>
      </c>
      <c r="C792" t="s">
        <v>107</v>
      </c>
      <c r="D792" t="s">
        <v>36</v>
      </c>
      <c r="E792">
        <v>1.9080293959598511</v>
      </c>
    </row>
    <row r="793" spans="1:5" x14ac:dyDescent="0.3">
      <c r="A793" t="s">
        <v>63</v>
      </c>
      <c r="B793" t="s">
        <v>0</v>
      </c>
      <c r="C793" t="s">
        <v>108</v>
      </c>
      <c r="D793" t="s">
        <v>36</v>
      </c>
      <c r="E793">
        <v>3.646367229005063</v>
      </c>
    </row>
    <row r="794" spans="1:5" x14ac:dyDescent="0.3">
      <c r="A794" t="s">
        <v>63</v>
      </c>
      <c r="B794" t="s">
        <v>0</v>
      </c>
      <c r="C794" t="s">
        <v>109</v>
      </c>
      <c r="D794" t="s">
        <v>36</v>
      </c>
      <c r="E794">
        <v>2.2336769759450168</v>
      </c>
    </row>
    <row r="795" spans="1:5" x14ac:dyDescent="0.3">
      <c r="A795" t="s">
        <v>63</v>
      </c>
      <c r="B795" t="s">
        <v>0</v>
      </c>
      <c r="C795" t="s">
        <v>110</v>
      </c>
      <c r="D795" t="s">
        <v>36</v>
      </c>
      <c r="E795">
        <v>2.7434858077939799</v>
      </c>
    </row>
    <row r="796" spans="1:5" x14ac:dyDescent="0.3">
      <c r="A796" t="s">
        <v>63</v>
      </c>
      <c r="B796" t="s">
        <v>0</v>
      </c>
      <c r="C796" t="s">
        <v>111</v>
      </c>
      <c r="D796" t="s">
        <v>36</v>
      </c>
      <c r="E796">
        <v>4.10958904109589</v>
      </c>
    </row>
    <row r="797" spans="1:5" x14ac:dyDescent="0.3">
      <c r="A797" t="s">
        <v>63</v>
      </c>
      <c r="B797" t="s">
        <v>0</v>
      </c>
      <c r="C797" t="s">
        <v>112</v>
      </c>
      <c r="D797" t="s">
        <v>36</v>
      </c>
      <c r="E797">
        <v>0.53097345132743357</v>
      </c>
    </row>
    <row r="798" spans="1:5" x14ac:dyDescent="0.3">
      <c r="A798" t="s">
        <v>63</v>
      </c>
      <c r="B798" t="s">
        <v>0</v>
      </c>
      <c r="C798" t="s">
        <v>113</v>
      </c>
      <c r="D798" t="s">
        <v>36</v>
      </c>
      <c r="E798">
        <v>2.058504875406284</v>
      </c>
    </row>
    <row r="799" spans="1:5" x14ac:dyDescent="0.3">
      <c r="A799" t="s">
        <v>63</v>
      </c>
      <c r="B799" t="s">
        <v>0</v>
      </c>
      <c r="C799" t="s">
        <v>114</v>
      </c>
      <c r="D799" t="s">
        <v>36</v>
      </c>
      <c r="E799">
        <v>3.5583121954318071</v>
      </c>
    </row>
    <row r="800" spans="1:5" x14ac:dyDescent="0.3">
      <c r="A800" t="s">
        <v>63</v>
      </c>
      <c r="B800" t="s">
        <v>0</v>
      </c>
      <c r="C800" t="s">
        <v>115</v>
      </c>
      <c r="D800" t="s">
        <v>36</v>
      </c>
      <c r="E800">
        <v>1.6143497757847529</v>
      </c>
    </row>
    <row r="801" spans="1:5" x14ac:dyDescent="0.3">
      <c r="A801" t="s">
        <v>63</v>
      </c>
      <c r="B801" t="s">
        <v>0</v>
      </c>
      <c r="C801" t="s">
        <v>116</v>
      </c>
      <c r="D801" t="s">
        <v>36</v>
      </c>
      <c r="E801">
        <v>3.6675065590890119</v>
      </c>
    </row>
    <row r="802" spans="1:5" x14ac:dyDescent="0.3">
      <c r="A802" t="s">
        <v>64</v>
      </c>
      <c r="B802" t="s">
        <v>69</v>
      </c>
      <c r="C802" t="s">
        <v>69</v>
      </c>
      <c r="D802" t="s">
        <v>33</v>
      </c>
      <c r="E802">
        <v>24.85241345664171</v>
      </c>
    </row>
    <row r="803" spans="1:5" x14ac:dyDescent="0.3">
      <c r="A803" t="s">
        <v>64</v>
      </c>
      <c r="B803" t="s">
        <v>70</v>
      </c>
      <c r="C803" t="s">
        <v>78</v>
      </c>
      <c r="D803" t="s">
        <v>33</v>
      </c>
      <c r="E803">
        <v>26.531250155198379</v>
      </c>
    </row>
    <row r="804" spans="1:5" x14ac:dyDescent="0.3">
      <c r="A804" t="s">
        <v>64</v>
      </c>
      <c r="B804" t="s">
        <v>70</v>
      </c>
      <c r="C804" t="s">
        <v>79</v>
      </c>
      <c r="D804" t="s">
        <v>33</v>
      </c>
      <c r="E804">
        <v>24.332842817809428</v>
      </c>
    </row>
    <row r="805" spans="1:5" x14ac:dyDescent="0.3">
      <c r="A805" t="s">
        <v>64</v>
      </c>
      <c r="B805" t="s">
        <v>70</v>
      </c>
      <c r="C805" t="s">
        <v>80</v>
      </c>
      <c r="D805" t="s">
        <v>33</v>
      </c>
      <c r="E805">
        <v>23.684068198602709</v>
      </c>
    </row>
    <row r="806" spans="1:5" x14ac:dyDescent="0.3">
      <c r="A806" t="s">
        <v>64</v>
      </c>
      <c r="B806" t="s">
        <v>70</v>
      </c>
      <c r="C806" t="s">
        <v>81</v>
      </c>
      <c r="D806" t="s">
        <v>33</v>
      </c>
      <c r="E806">
        <v>25.326064997148968</v>
      </c>
    </row>
    <row r="807" spans="1:5" x14ac:dyDescent="0.3">
      <c r="A807" t="s">
        <v>64</v>
      </c>
      <c r="B807" t="s">
        <v>71</v>
      </c>
      <c r="C807" t="s">
        <v>82</v>
      </c>
      <c r="D807" t="s">
        <v>33</v>
      </c>
      <c r="E807">
        <v>22.252627797240908</v>
      </c>
    </row>
    <row r="808" spans="1:5" x14ac:dyDescent="0.3">
      <c r="A808" t="s">
        <v>64</v>
      </c>
      <c r="B808" t="s">
        <v>71</v>
      </c>
      <c r="C808" t="s">
        <v>83</v>
      </c>
      <c r="D808" t="s">
        <v>33</v>
      </c>
      <c r="E808">
        <v>25.363804759729501</v>
      </c>
    </row>
    <row r="809" spans="1:5" x14ac:dyDescent="0.3">
      <c r="A809" t="s">
        <v>64</v>
      </c>
      <c r="B809" t="s">
        <v>71</v>
      </c>
      <c r="C809" t="s">
        <v>84</v>
      </c>
      <c r="D809" t="s">
        <v>33</v>
      </c>
      <c r="E809">
        <v>25.033086147962109</v>
      </c>
    </row>
    <row r="810" spans="1:5" x14ac:dyDescent="0.3">
      <c r="A810" t="s">
        <v>64</v>
      </c>
      <c r="B810" t="s">
        <v>71</v>
      </c>
      <c r="C810" t="s">
        <v>85</v>
      </c>
      <c r="D810" t="s">
        <v>33</v>
      </c>
      <c r="E810">
        <v>27.858585099207229</v>
      </c>
    </row>
    <row r="811" spans="1:5" x14ac:dyDescent="0.3">
      <c r="A811" t="s">
        <v>64</v>
      </c>
      <c r="B811" t="s">
        <v>72</v>
      </c>
      <c r="C811" t="s">
        <v>86</v>
      </c>
      <c r="D811" t="s">
        <v>33</v>
      </c>
      <c r="E811">
        <v>25.0946021111133</v>
      </c>
    </row>
    <row r="812" spans="1:5" x14ac:dyDescent="0.3">
      <c r="A812" t="s">
        <v>64</v>
      </c>
      <c r="B812" t="s">
        <v>72</v>
      </c>
      <c r="C812" t="s">
        <v>87</v>
      </c>
      <c r="D812" t="s">
        <v>33</v>
      </c>
      <c r="E812">
        <v>24.601589474899551</v>
      </c>
    </row>
    <row r="813" spans="1:5" x14ac:dyDescent="0.3">
      <c r="A813" t="s">
        <v>64</v>
      </c>
      <c r="B813" t="s">
        <v>73</v>
      </c>
      <c r="C813" t="s">
        <v>88</v>
      </c>
      <c r="D813" t="s">
        <v>33</v>
      </c>
      <c r="E813">
        <v>24.78548573814053</v>
      </c>
    </row>
    <row r="814" spans="1:5" x14ac:dyDescent="0.3">
      <c r="A814" t="s">
        <v>64</v>
      </c>
      <c r="B814" t="s">
        <v>73</v>
      </c>
      <c r="C814" t="s">
        <v>89</v>
      </c>
      <c r="D814" t="s">
        <v>33</v>
      </c>
      <c r="E814">
        <v>24.91438543195903</v>
      </c>
    </row>
    <row r="815" spans="1:5" x14ac:dyDescent="0.3">
      <c r="A815" t="s">
        <v>64</v>
      </c>
      <c r="B815" t="s">
        <v>74</v>
      </c>
      <c r="C815" t="s">
        <v>90</v>
      </c>
      <c r="D815" t="s">
        <v>33</v>
      </c>
      <c r="E815">
        <v>24.25337403647249</v>
      </c>
    </row>
    <row r="816" spans="1:5" x14ac:dyDescent="0.3">
      <c r="A816" t="s">
        <v>64</v>
      </c>
      <c r="B816" t="s">
        <v>74</v>
      </c>
      <c r="C816" t="s">
        <v>91</v>
      </c>
      <c r="D816" t="s">
        <v>33</v>
      </c>
      <c r="E816">
        <v>25.100148235867771</v>
      </c>
    </row>
    <row r="817" spans="1:5" x14ac:dyDescent="0.3">
      <c r="A817" t="s">
        <v>64</v>
      </c>
      <c r="B817" t="s">
        <v>75</v>
      </c>
      <c r="C817" t="s">
        <v>92</v>
      </c>
      <c r="D817" t="s">
        <v>33</v>
      </c>
      <c r="E817">
        <v>21.598675802240749</v>
      </c>
    </row>
    <row r="818" spans="1:5" x14ac:dyDescent="0.3">
      <c r="A818" t="s">
        <v>64</v>
      </c>
      <c r="B818" t="s">
        <v>75</v>
      </c>
      <c r="C818" t="s">
        <v>93</v>
      </c>
      <c r="D818" t="s">
        <v>33</v>
      </c>
      <c r="E818">
        <v>24.606068510025509</v>
      </c>
    </row>
    <row r="819" spans="1:5" x14ac:dyDescent="0.3">
      <c r="A819" t="s">
        <v>64</v>
      </c>
      <c r="B819" t="s">
        <v>75</v>
      </c>
      <c r="C819" t="s">
        <v>94</v>
      </c>
      <c r="D819" t="s">
        <v>33</v>
      </c>
      <c r="E819">
        <v>24.63291031479174</v>
      </c>
    </row>
    <row r="820" spans="1:5" x14ac:dyDescent="0.3">
      <c r="A820" t="s">
        <v>64</v>
      </c>
      <c r="B820" t="s">
        <v>75</v>
      </c>
      <c r="C820" t="s">
        <v>95</v>
      </c>
      <c r="D820" t="s">
        <v>33</v>
      </c>
      <c r="E820">
        <v>30.548157190703829</v>
      </c>
    </row>
    <row r="821" spans="1:5" x14ac:dyDescent="0.3">
      <c r="A821" t="s">
        <v>64</v>
      </c>
      <c r="B821" t="s">
        <v>76</v>
      </c>
      <c r="C821" t="s">
        <v>96</v>
      </c>
      <c r="D821" t="s">
        <v>33</v>
      </c>
      <c r="E821">
        <v>24.77545716663608</v>
      </c>
    </row>
    <row r="822" spans="1:5" x14ac:dyDescent="0.3">
      <c r="A822" t="s">
        <v>64</v>
      </c>
      <c r="B822" t="s">
        <v>76</v>
      </c>
      <c r="C822" t="s">
        <v>97</v>
      </c>
      <c r="D822" t="s">
        <v>33</v>
      </c>
      <c r="E822">
        <v>24.624029292700431</v>
      </c>
    </row>
    <row r="823" spans="1:5" x14ac:dyDescent="0.3">
      <c r="A823" t="s">
        <v>64</v>
      </c>
      <c r="B823" t="s">
        <v>76</v>
      </c>
      <c r="C823" t="s">
        <v>98</v>
      </c>
      <c r="D823" t="s">
        <v>33</v>
      </c>
      <c r="E823">
        <v>25.012870507388818</v>
      </c>
    </row>
    <row r="824" spans="1:5" x14ac:dyDescent="0.3">
      <c r="A824" t="s">
        <v>64</v>
      </c>
      <c r="B824" t="s">
        <v>0</v>
      </c>
      <c r="C824" t="s">
        <v>99</v>
      </c>
      <c r="D824" t="s">
        <v>33</v>
      </c>
      <c r="E824">
        <v>33.976940608615223</v>
      </c>
    </row>
    <row r="825" spans="1:5" x14ac:dyDescent="0.3">
      <c r="A825" t="s">
        <v>64</v>
      </c>
      <c r="B825" t="s">
        <v>0</v>
      </c>
      <c r="C825" t="s">
        <v>100</v>
      </c>
      <c r="D825" t="s">
        <v>33</v>
      </c>
      <c r="E825">
        <v>16.530426884650321</v>
      </c>
    </row>
    <row r="826" spans="1:5" x14ac:dyDescent="0.3">
      <c r="A826" t="s">
        <v>64</v>
      </c>
      <c r="B826" t="s">
        <v>0</v>
      </c>
      <c r="C826" t="s">
        <v>101</v>
      </c>
      <c r="D826" t="s">
        <v>33</v>
      </c>
      <c r="E826">
        <v>16.69565217391305</v>
      </c>
    </row>
    <row r="827" spans="1:5" x14ac:dyDescent="0.3">
      <c r="A827" t="s">
        <v>64</v>
      </c>
      <c r="B827" t="s">
        <v>0</v>
      </c>
      <c r="C827" t="s">
        <v>102</v>
      </c>
      <c r="D827" t="s">
        <v>33</v>
      </c>
      <c r="E827">
        <v>37.268841294368968</v>
      </c>
    </row>
    <row r="828" spans="1:5" x14ac:dyDescent="0.3">
      <c r="A828" t="s">
        <v>64</v>
      </c>
      <c r="B828" t="s">
        <v>0</v>
      </c>
      <c r="C828" t="s">
        <v>103</v>
      </c>
      <c r="D828" t="s">
        <v>33</v>
      </c>
      <c r="E828">
        <v>32.236656525372112</v>
      </c>
    </row>
    <row r="829" spans="1:5" x14ac:dyDescent="0.3">
      <c r="A829" t="s">
        <v>64</v>
      </c>
      <c r="B829" t="s">
        <v>0</v>
      </c>
      <c r="C829" t="s">
        <v>104</v>
      </c>
      <c r="D829" t="s">
        <v>33</v>
      </c>
      <c r="E829">
        <v>19.87577639751553</v>
      </c>
    </row>
    <row r="830" spans="1:5" x14ac:dyDescent="0.3">
      <c r="A830" t="s">
        <v>64</v>
      </c>
      <c r="B830" t="s">
        <v>0</v>
      </c>
      <c r="C830" t="s">
        <v>105</v>
      </c>
      <c r="D830" t="s">
        <v>33</v>
      </c>
      <c r="E830">
        <v>42.317839809829508</v>
      </c>
    </row>
    <row r="831" spans="1:5" x14ac:dyDescent="0.3">
      <c r="A831" t="s">
        <v>64</v>
      </c>
      <c r="B831" t="s">
        <v>0</v>
      </c>
      <c r="C831" t="s">
        <v>106</v>
      </c>
      <c r="D831" t="s">
        <v>33</v>
      </c>
      <c r="E831">
        <v>17.36474694589878</v>
      </c>
    </row>
    <row r="832" spans="1:5" x14ac:dyDescent="0.3">
      <c r="A832" t="s">
        <v>64</v>
      </c>
      <c r="B832" t="s">
        <v>0</v>
      </c>
      <c r="C832" t="s">
        <v>107</v>
      </c>
      <c r="D832" t="s">
        <v>33</v>
      </c>
      <c r="E832">
        <v>25.427826791126751</v>
      </c>
    </row>
    <row r="833" spans="1:5" x14ac:dyDescent="0.3">
      <c r="A833" t="s">
        <v>64</v>
      </c>
      <c r="B833" t="s">
        <v>0</v>
      </c>
      <c r="C833" t="s">
        <v>108</v>
      </c>
      <c r="D833" t="s">
        <v>33</v>
      </c>
      <c r="E833">
        <v>35.518394620796187</v>
      </c>
    </row>
    <row r="834" spans="1:5" x14ac:dyDescent="0.3">
      <c r="A834" t="s">
        <v>64</v>
      </c>
      <c r="B834" t="s">
        <v>0</v>
      </c>
      <c r="C834" t="s">
        <v>109</v>
      </c>
      <c r="D834" t="s">
        <v>33</v>
      </c>
      <c r="E834">
        <v>30.70398642917727</v>
      </c>
    </row>
    <row r="835" spans="1:5" x14ac:dyDescent="0.3">
      <c r="A835" t="s">
        <v>64</v>
      </c>
      <c r="B835" t="s">
        <v>0</v>
      </c>
      <c r="C835" t="s">
        <v>110</v>
      </c>
      <c r="D835" t="s">
        <v>33</v>
      </c>
      <c r="E835">
        <v>14.46337033267158</v>
      </c>
    </row>
    <row r="836" spans="1:5" x14ac:dyDescent="0.3">
      <c r="A836" t="s">
        <v>64</v>
      </c>
      <c r="B836" t="s">
        <v>0</v>
      </c>
      <c r="C836" t="s">
        <v>111</v>
      </c>
      <c r="D836" t="s">
        <v>33</v>
      </c>
      <c r="E836">
        <v>18.31425598335068</v>
      </c>
    </row>
    <row r="837" spans="1:5" x14ac:dyDescent="0.3">
      <c r="A837" t="s">
        <v>64</v>
      </c>
      <c r="B837" t="s">
        <v>0</v>
      </c>
      <c r="C837" t="s">
        <v>112</v>
      </c>
      <c r="D837" t="s">
        <v>33</v>
      </c>
      <c r="E837">
        <v>19.982158786797498</v>
      </c>
    </row>
    <row r="838" spans="1:5" x14ac:dyDescent="0.3">
      <c r="A838" t="s">
        <v>64</v>
      </c>
      <c r="B838" t="s">
        <v>0</v>
      </c>
      <c r="C838" t="s">
        <v>113</v>
      </c>
      <c r="D838" t="s">
        <v>33</v>
      </c>
      <c r="E838">
        <v>31.291172595520418</v>
      </c>
    </row>
    <row r="839" spans="1:5" x14ac:dyDescent="0.3">
      <c r="A839" t="s">
        <v>64</v>
      </c>
      <c r="B839" t="s">
        <v>0</v>
      </c>
      <c r="C839" t="s">
        <v>114</v>
      </c>
      <c r="D839" t="s">
        <v>33</v>
      </c>
      <c r="E839">
        <v>20.487968759996619</v>
      </c>
    </row>
    <row r="840" spans="1:5" x14ac:dyDescent="0.3">
      <c r="A840" t="s">
        <v>64</v>
      </c>
      <c r="B840" t="s">
        <v>0</v>
      </c>
      <c r="C840" t="s">
        <v>115</v>
      </c>
      <c r="D840" t="s">
        <v>33</v>
      </c>
      <c r="E840">
        <v>13.297872340425529</v>
      </c>
    </row>
    <row r="841" spans="1:5" x14ac:dyDescent="0.3">
      <c r="A841" t="s">
        <v>64</v>
      </c>
      <c r="B841" t="s">
        <v>0</v>
      </c>
      <c r="C841" t="s">
        <v>116</v>
      </c>
      <c r="D841" t="s">
        <v>33</v>
      </c>
      <c r="E841">
        <v>19.144452568310388</v>
      </c>
    </row>
    <row r="842" spans="1:5" x14ac:dyDescent="0.3">
      <c r="A842" t="s">
        <v>64</v>
      </c>
      <c r="B842" t="s">
        <v>69</v>
      </c>
      <c r="C842" t="s">
        <v>69</v>
      </c>
      <c r="D842" t="s">
        <v>34</v>
      </c>
      <c r="E842">
        <v>53.183017722195423</v>
      </c>
    </row>
    <row r="843" spans="1:5" x14ac:dyDescent="0.3">
      <c r="A843" t="s">
        <v>64</v>
      </c>
      <c r="B843" t="s">
        <v>70</v>
      </c>
      <c r="C843" t="s">
        <v>78</v>
      </c>
      <c r="D843" t="s">
        <v>34</v>
      </c>
      <c r="E843">
        <v>52.812085058092812</v>
      </c>
    </row>
    <row r="844" spans="1:5" x14ac:dyDescent="0.3">
      <c r="A844" t="s">
        <v>64</v>
      </c>
      <c r="B844" t="s">
        <v>70</v>
      </c>
      <c r="C844" t="s">
        <v>79</v>
      </c>
      <c r="D844" t="s">
        <v>34</v>
      </c>
      <c r="E844">
        <v>52.849861378297227</v>
      </c>
    </row>
    <row r="845" spans="1:5" x14ac:dyDescent="0.3">
      <c r="A845" t="s">
        <v>64</v>
      </c>
      <c r="B845" t="s">
        <v>70</v>
      </c>
      <c r="C845" t="s">
        <v>80</v>
      </c>
      <c r="D845" t="s">
        <v>34</v>
      </c>
      <c r="E845">
        <v>53.494747488397543</v>
      </c>
    </row>
    <row r="846" spans="1:5" x14ac:dyDescent="0.3">
      <c r="A846" t="s">
        <v>64</v>
      </c>
      <c r="B846" t="s">
        <v>70</v>
      </c>
      <c r="C846" t="s">
        <v>81</v>
      </c>
      <c r="D846" t="s">
        <v>34</v>
      </c>
      <c r="E846">
        <v>54.793020077173381</v>
      </c>
    </row>
    <row r="847" spans="1:5" x14ac:dyDescent="0.3">
      <c r="A847" t="s">
        <v>64</v>
      </c>
      <c r="B847" t="s">
        <v>71</v>
      </c>
      <c r="C847" t="s">
        <v>82</v>
      </c>
      <c r="D847" t="s">
        <v>34</v>
      </c>
      <c r="E847">
        <v>52.892575145040631</v>
      </c>
    </row>
    <row r="848" spans="1:5" x14ac:dyDescent="0.3">
      <c r="A848" t="s">
        <v>64</v>
      </c>
      <c r="B848" t="s">
        <v>71</v>
      </c>
      <c r="C848" t="s">
        <v>83</v>
      </c>
      <c r="D848" t="s">
        <v>34</v>
      </c>
      <c r="E848">
        <v>53.599481050659612</v>
      </c>
    </row>
    <row r="849" spans="1:5" x14ac:dyDescent="0.3">
      <c r="A849" t="s">
        <v>64</v>
      </c>
      <c r="B849" t="s">
        <v>71</v>
      </c>
      <c r="C849" t="s">
        <v>84</v>
      </c>
      <c r="D849" t="s">
        <v>34</v>
      </c>
      <c r="E849">
        <v>53.435095153014288</v>
      </c>
    </row>
    <row r="850" spans="1:5" x14ac:dyDescent="0.3">
      <c r="A850" t="s">
        <v>64</v>
      </c>
      <c r="B850" t="s">
        <v>71</v>
      </c>
      <c r="C850" t="s">
        <v>85</v>
      </c>
      <c r="D850" t="s">
        <v>34</v>
      </c>
      <c r="E850">
        <v>51.17288355562011</v>
      </c>
    </row>
    <row r="851" spans="1:5" x14ac:dyDescent="0.3">
      <c r="A851" t="s">
        <v>64</v>
      </c>
      <c r="B851" t="s">
        <v>72</v>
      </c>
      <c r="C851" t="s">
        <v>86</v>
      </c>
      <c r="D851" t="s">
        <v>34</v>
      </c>
      <c r="E851">
        <v>53.960365449791027</v>
      </c>
    </row>
    <row r="852" spans="1:5" x14ac:dyDescent="0.3">
      <c r="A852" t="s">
        <v>64</v>
      </c>
      <c r="B852" t="s">
        <v>72</v>
      </c>
      <c r="C852" t="s">
        <v>87</v>
      </c>
      <c r="D852" t="s">
        <v>34</v>
      </c>
      <c r="E852">
        <v>52.377953369948372</v>
      </c>
    </row>
    <row r="853" spans="1:5" x14ac:dyDescent="0.3">
      <c r="A853" t="s">
        <v>64</v>
      </c>
      <c r="B853" t="s">
        <v>73</v>
      </c>
      <c r="C853" t="s">
        <v>88</v>
      </c>
      <c r="D853" t="s">
        <v>34</v>
      </c>
      <c r="E853">
        <v>52.356929691354402</v>
      </c>
    </row>
    <row r="854" spans="1:5" x14ac:dyDescent="0.3">
      <c r="A854" t="s">
        <v>64</v>
      </c>
      <c r="B854" t="s">
        <v>73</v>
      </c>
      <c r="C854" t="s">
        <v>89</v>
      </c>
      <c r="D854" t="s">
        <v>34</v>
      </c>
      <c r="E854">
        <v>53.844948156677432</v>
      </c>
    </row>
    <row r="855" spans="1:5" x14ac:dyDescent="0.3">
      <c r="A855" t="s">
        <v>64</v>
      </c>
      <c r="B855" t="s">
        <v>74</v>
      </c>
      <c r="C855" t="s">
        <v>90</v>
      </c>
      <c r="D855" t="s">
        <v>34</v>
      </c>
      <c r="E855">
        <v>54.141471937091389</v>
      </c>
    </row>
    <row r="856" spans="1:5" x14ac:dyDescent="0.3">
      <c r="A856" t="s">
        <v>64</v>
      </c>
      <c r="B856" t="s">
        <v>74</v>
      </c>
      <c r="C856" t="s">
        <v>91</v>
      </c>
      <c r="D856" t="s">
        <v>34</v>
      </c>
      <c r="E856">
        <v>52.906733761785382</v>
      </c>
    </row>
    <row r="857" spans="1:5" x14ac:dyDescent="0.3">
      <c r="A857" t="s">
        <v>64</v>
      </c>
      <c r="B857" t="s">
        <v>75</v>
      </c>
      <c r="C857" t="s">
        <v>92</v>
      </c>
      <c r="D857" t="s">
        <v>34</v>
      </c>
      <c r="E857">
        <v>58.27542741114231</v>
      </c>
    </row>
    <row r="858" spans="1:5" x14ac:dyDescent="0.3">
      <c r="A858" t="s">
        <v>64</v>
      </c>
      <c r="B858" t="s">
        <v>75</v>
      </c>
      <c r="C858" t="s">
        <v>93</v>
      </c>
      <c r="D858" t="s">
        <v>34</v>
      </c>
      <c r="E858">
        <v>53.386530162365162</v>
      </c>
    </row>
    <row r="859" spans="1:5" x14ac:dyDescent="0.3">
      <c r="A859" t="s">
        <v>64</v>
      </c>
      <c r="B859" t="s">
        <v>75</v>
      </c>
      <c r="C859" t="s">
        <v>94</v>
      </c>
      <c r="D859" t="s">
        <v>34</v>
      </c>
      <c r="E859">
        <v>53.038138459773663</v>
      </c>
    </row>
    <row r="860" spans="1:5" x14ac:dyDescent="0.3">
      <c r="A860" t="s">
        <v>64</v>
      </c>
      <c r="B860" t="s">
        <v>75</v>
      </c>
      <c r="C860" t="s">
        <v>95</v>
      </c>
      <c r="D860" t="s">
        <v>34</v>
      </c>
      <c r="E860">
        <v>50.167012467563943</v>
      </c>
    </row>
    <row r="861" spans="1:5" x14ac:dyDescent="0.3">
      <c r="A861" t="s">
        <v>64</v>
      </c>
      <c r="B861" t="s">
        <v>76</v>
      </c>
      <c r="C861" t="s">
        <v>96</v>
      </c>
      <c r="D861" t="s">
        <v>34</v>
      </c>
      <c r="E861">
        <v>54.14041431702249</v>
      </c>
    </row>
    <row r="862" spans="1:5" x14ac:dyDescent="0.3">
      <c r="A862" t="s">
        <v>64</v>
      </c>
      <c r="B862" t="s">
        <v>76</v>
      </c>
      <c r="C862" t="s">
        <v>97</v>
      </c>
      <c r="D862" t="s">
        <v>34</v>
      </c>
      <c r="E862">
        <v>53.138592450623449</v>
      </c>
    </row>
    <row r="863" spans="1:5" x14ac:dyDescent="0.3">
      <c r="A863" t="s">
        <v>64</v>
      </c>
      <c r="B863" t="s">
        <v>76</v>
      </c>
      <c r="C863" t="s">
        <v>98</v>
      </c>
      <c r="D863" t="s">
        <v>34</v>
      </c>
      <c r="E863">
        <v>52.847965697479317</v>
      </c>
    </row>
    <row r="864" spans="1:5" x14ac:dyDescent="0.3">
      <c r="A864" t="s">
        <v>64</v>
      </c>
      <c r="B864" t="s">
        <v>0</v>
      </c>
      <c r="C864" t="s">
        <v>99</v>
      </c>
      <c r="D864" t="s">
        <v>34</v>
      </c>
      <c r="E864">
        <v>53.624754653735351</v>
      </c>
    </row>
    <row r="865" spans="1:5" x14ac:dyDescent="0.3">
      <c r="A865" t="s">
        <v>64</v>
      </c>
      <c r="B865" t="s">
        <v>0</v>
      </c>
      <c r="C865" t="s">
        <v>100</v>
      </c>
      <c r="D865" t="s">
        <v>34</v>
      </c>
      <c r="E865">
        <v>55.585831062670302</v>
      </c>
    </row>
    <row r="866" spans="1:5" x14ac:dyDescent="0.3">
      <c r="A866" t="s">
        <v>64</v>
      </c>
      <c r="B866" t="s">
        <v>0</v>
      </c>
      <c r="C866" t="s">
        <v>101</v>
      </c>
      <c r="D866" t="s">
        <v>34</v>
      </c>
      <c r="E866">
        <v>61.217391304347821</v>
      </c>
    </row>
    <row r="867" spans="1:5" x14ac:dyDescent="0.3">
      <c r="A867" t="s">
        <v>64</v>
      </c>
      <c r="B867" t="s">
        <v>0</v>
      </c>
      <c r="C867" t="s">
        <v>102</v>
      </c>
      <c r="D867" t="s">
        <v>34</v>
      </c>
      <c r="E867">
        <v>50.629901275239163</v>
      </c>
    </row>
    <row r="868" spans="1:5" x14ac:dyDescent="0.3">
      <c r="A868" t="s">
        <v>64</v>
      </c>
      <c r="B868" t="s">
        <v>0</v>
      </c>
      <c r="C868" t="s">
        <v>103</v>
      </c>
      <c r="D868" t="s">
        <v>34</v>
      </c>
      <c r="E868">
        <v>52.542385700723123</v>
      </c>
    </row>
    <row r="869" spans="1:5" x14ac:dyDescent="0.3">
      <c r="A869" t="s">
        <v>64</v>
      </c>
      <c r="B869" t="s">
        <v>0</v>
      </c>
      <c r="C869" t="s">
        <v>104</v>
      </c>
      <c r="D869" t="s">
        <v>34</v>
      </c>
      <c r="E869">
        <v>53.209109730848859</v>
      </c>
    </row>
    <row r="870" spans="1:5" x14ac:dyDescent="0.3">
      <c r="A870" t="s">
        <v>64</v>
      </c>
      <c r="B870" t="s">
        <v>0</v>
      </c>
      <c r="C870" t="s">
        <v>105</v>
      </c>
      <c r="D870" t="s">
        <v>34</v>
      </c>
      <c r="E870">
        <v>45.375292091811552</v>
      </c>
    </row>
    <row r="871" spans="1:5" x14ac:dyDescent="0.3">
      <c r="A871" t="s">
        <v>64</v>
      </c>
      <c r="B871" t="s">
        <v>0</v>
      </c>
      <c r="C871" t="s">
        <v>106</v>
      </c>
      <c r="D871" t="s">
        <v>34</v>
      </c>
      <c r="E871">
        <v>48.167539267015712</v>
      </c>
    </row>
    <row r="872" spans="1:5" x14ac:dyDescent="0.3">
      <c r="A872" t="s">
        <v>64</v>
      </c>
      <c r="B872" t="s">
        <v>0</v>
      </c>
      <c r="C872" t="s">
        <v>107</v>
      </c>
      <c r="D872" t="s">
        <v>34</v>
      </c>
      <c r="E872">
        <v>57.35183071685929</v>
      </c>
    </row>
    <row r="873" spans="1:5" x14ac:dyDescent="0.3">
      <c r="A873" t="s">
        <v>64</v>
      </c>
      <c r="B873" t="s">
        <v>0</v>
      </c>
      <c r="C873" t="s">
        <v>108</v>
      </c>
      <c r="D873" t="s">
        <v>34</v>
      </c>
      <c r="E873">
        <v>43.303957271852198</v>
      </c>
    </row>
    <row r="874" spans="1:5" x14ac:dyDescent="0.3">
      <c r="A874" t="s">
        <v>64</v>
      </c>
      <c r="B874" t="s">
        <v>0</v>
      </c>
      <c r="C874" t="s">
        <v>109</v>
      </c>
      <c r="D874" t="s">
        <v>34</v>
      </c>
      <c r="E874">
        <v>53.859202714164553</v>
      </c>
    </row>
    <row r="875" spans="1:5" x14ac:dyDescent="0.3">
      <c r="A875" t="s">
        <v>64</v>
      </c>
      <c r="B875" t="s">
        <v>0</v>
      </c>
      <c r="C875" t="s">
        <v>110</v>
      </c>
      <c r="D875" t="s">
        <v>34</v>
      </c>
      <c r="E875">
        <v>59.333123652612187</v>
      </c>
    </row>
    <row r="876" spans="1:5" x14ac:dyDescent="0.3">
      <c r="A876" t="s">
        <v>64</v>
      </c>
      <c r="B876" t="s">
        <v>0</v>
      </c>
      <c r="C876" t="s">
        <v>111</v>
      </c>
      <c r="D876" t="s">
        <v>34</v>
      </c>
      <c r="E876">
        <v>48.387096774193552</v>
      </c>
    </row>
    <row r="877" spans="1:5" x14ac:dyDescent="0.3">
      <c r="A877" t="s">
        <v>64</v>
      </c>
      <c r="B877" t="s">
        <v>0</v>
      </c>
      <c r="C877" t="s">
        <v>112</v>
      </c>
      <c r="D877" t="s">
        <v>34</v>
      </c>
      <c r="E877">
        <v>65.566458519179307</v>
      </c>
    </row>
    <row r="878" spans="1:5" x14ac:dyDescent="0.3">
      <c r="A878" t="s">
        <v>64</v>
      </c>
      <c r="B878" t="s">
        <v>0</v>
      </c>
      <c r="C878" t="s">
        <v>113</v>
      </c>
      <c r="D878" t="s">
        <v>34</v>
      </c>
      <c r="E878">
        <v>48.397013614404919</v>
      </c>
    </row>
    <row r="879" spans="1:5" x14ac:dyDescent="0.3">
      <c r="A879" t="s">
        <v>64</v>
      </c>
      <c r="B879" t="s">
        <v>0</v>
      </c>
      <c r="C879" t="s">
        <v>114</v>
      </c>
      <c r="D879" t="s">
        <v>34</v>
      </c>
      <c r="E879">
        <v>61.55650060717258</v>
      </c>
    </row>
    <row r="880" spans="1:5" x14ac:dyDescent="0.3">
      <c r="A880" t="s">
        <v>64</v>
      </c>
      <c r="B880" t="s">
        <v>0</v>
      </c>
      <c r="C880" t="s">
        <v>115</v>
      </c>
      <c r="D880" t="s">
        <v>34</v>
      </c>
      <c r="E880">
        <v>59.48581560283688</v>
      </c>
    </row>
    <row r="881" spans="1:5" x14ac:dyDescent="0.3">
      <c r="A881" t="s">
        <v>64</v>
      </c>
      <c r="B881" t="s">
        <v>0</v>
      </c>
      <c r="C881" t="s">
        <v>116</v>
      </c>
      <c r="D881" t="s">
        <v>34</v>
      </c>
      <c r="E881">
        <v>40.582857761211578</v>
      </c>
    </row>
    <row r="882" spans="1:5" x14ac:dyDescent="0.3">
      <c r="A882" t="s">
        <v>64</v>
      </c>
      <c r="B882" t="s">
        <v>69</v>
      </c>
      <c r="C882" t="s">
        <v>69</v>
      </c>
      <c r="D882" t="s">
        <v>35</v>
      </c>
      <c r="E882">
        <v>19.414724472112582</v>
      </c>
    </row>
    <row r="883" spans="1:5" x14ac:dyDescent="0.3">
      <c r="A883" t="s">
        <v>64</v>
      </c>
      <c r="B883" t="s">
        <v>70</v>
      </c>
      <c r="C883" t="s">
        <v>78</v>
      </c>
      <c r="D883" t="s">
        <v>35</v>
      </c>
      <c r="E883">
        <v>18.37867123631159</v>
      </c>
    </row>
    <row r="884" spans="1:5" x14ac:dyDescent="0.3">
      <c r="A884" t="s">
        <v>64</v>
      </c>
      <c r="B884" t="s">
        <v>70</v>
      </c>
      <c r="C884" t="s">
        <v>79</v>
      </c>
      <c r="D884" t="s">
        <v>35</v>
      </c>
      <c r="E884">
        <v>20.067821619863668</v>
      </c>
    </row>
    <row r="885" spans="1:5" x14ac:dyDescent="0.3">
      <c r="A885" t="s">
        <v>64</v>
      </c>
      <c r="B885" t="s">
        <v>70</v>
      </c>
      <c r="C885" t="s">
        <v>80</v>
      </c>
      <c r="D885" t="s">
        <v>35</v>
      </c>
      <c r="E885">
        <v>20.174919354071431</v>
      </c>
    </row>
    <row r="886" spans="1:5" x14ac:dyDescent="0.3">
      <c r="A886" t="s">
        <v>64</v>
      </c>
      <c r="B886" t="s">
        <v>70</v>
      </c>
      <c r="C886" t="s">
        <v>81</v>
      </c>
      <c r="D886" t="s">
        <v>35</v>
      </c>
      <c r="E886">
        <v>17.696558544413609</v>
      </c>
    </row>
    <row r="887" spans="1:5" x14ac:dyDescent="0.3">
      <c r="A887" t="s">
        <v>64</v>
      </c>
      <c r="B887" t="s">
        <v>71</v>
      </c>
      <c r="C887" t="s">
        <v>82</v>
      </c>
      <c r="D887" t="s">
        <v>35</v>
      </c>
      <c r="E887">
        <v>21.71848448057461</v>
      </c>
    </row>
    <row r="888" spans="1:5" x14ac:dyDescent="0.3">
      <c r="A888" t="s">
        <v>64</v>
      </c>
      <c r="B888" t="s">
        <v>71</v>
      </c>
      <c r="C888" t="s">
        <v>83</v>
      </c>
      <c r="D888" t="s">
        <v>35</v>
      </c>
      <c r="E888">
        <v>18.625127075416671</v>
      </c>
    </row>
    <row r="889" spans="1:5" x14ac:dyDescent="0.3">
      <c r="A889" t="s">
        <v>64</v>
      </c>
      <c r="B889" t="s">
        <v>71</v>
      </c>
      <c r="C889" t="s">
        <v>84</v>
      </c>
      <c r="D889" t="s">
        <v>35</v>
      </c>
      <c r="E889">
        <v>19.163264785612949</v>
      </c>
    </row>
    <row r="890" spans="1:5" x14ac:dyDescent="0.3">
      <c r="A890" t="s">
        <v>64</v>
      </c>
      <c r="B890" t="s">
        <v>71</v>
      </c>
      <c r="C890" t="s">
        <v>85</v>
      </c>
      <c r="D890" t="s">
        <v>35</v>
      </c>
      <c r="E890">
        <v>18.498862013696201</v>
      </c>
    </row>
    <row r="891" spans="1:5" x14ac:dyDescent="0.3">
      <c r="A891" t="s">
        <v>64</v>
      </c>
      <c r="B891" t="s">
        <v>72</v>
      </c>
      <c r="C891" t="s">
        <v>86</v>
      </c>
      <c r="D891" t="s">
        <v>35</v>
      </c>
      <c r="E891">
        <v>18.45447058799817</v>
      </c>
    </row>
    <row r="892" spans="1:5" x14ac:dyDescent="0.3">
      <c r="A892" t="s">
        <v>64</v>
      </c>
      <c r="B892" t="s">
        <v>72</v>
      </c>
      <c r="C892" t="s">
        <v>87</v>
      </c>
      <c r="D892" t="s">
        <v>35</v>
      </c>
      <c r="E892">
        <v>20.409216568459751</v>
      </c>
    </row>
    <row r="893" spans="1:5" x14ac:dyDescent="0.3">
      <c r="A893" t="s">
        <v>64</v>
      </c>
      <c r="B893" t="s">
        <v>73</v>
      </c>
      <c r="C893" t="s">
        <v>88</v>
      </c>
      <c r="D893" t="s">
        <v>35</v>
      </c>
      <c r="E893">
        <v>19.919524318088872</v>
      </c>
    </row>
    <row r="894" spans="1:5" x14ac:dyDescent="0.3">
      <c r="A894" t="s">
        <v>64</v>
      </c>
      <c r="B894" t="s">
        <v>73</v>
      </c>
      <c r="C894" t="s">
        <v>89</v>
      </c>
      <c r="D894" t="s">
        <v>35</v>
      </c>
      <c r="E894">
        <v>18.986530685148409</v>
      </c>
    </row>
    <row r="895" spans="1:5" x14ac:dyDescent="0.3">
      <c r="A895" t="s">
        <v>64</v>
      </c>
      <c r="B895" t="s">
        <v>74</v>
      </c>
      <c r="C895" t="s">
        <v>90</v>
      </c>
      <c r="D895" t="s">
        <v>35</v>
      </c>
      <c r="E895">
        <v>19.17967775590731</v>
      </c>
    </row>
    <row r="896" spans="1:5" x14ac:dyDescent="0.3">
      <c r="A896" t="s">
        <v>64</v>
      </c>
      <c r="B896" t="s">
        <v>74</v>
      </c>
      <c r="C896" t="s">
        <v>91</v>
      </c>
      <c r="D896" t="s">
        <v>35</v>
      </c>
      <c r="E896">
        <v>19.454650544717559</v>
      </c>
    </row>
    <row r="897" spans="1:5" x14ac:dyDescent="0.3">
      <c r="A897" t="s">
        <v>64</v>
      </c>
      <c r="B897" t="s">
        <v>75</v>
      </c>
      <c r="C897" t="s">
        <v>92</v>
      </c>
      <c r="D897" t="s">
        <v>35</v>
      </c>
      <c r="E897">
        <v>18.210867126834192</v>
      </c>
    </row>
    <row r="898" spans="1:5" x14ac:dyDescent="0.3">
      <c r="A898" t="s">
        <v>64</v>
      </c>
      <c r="B898" t="s">
        <v>75</v>
      </c>
      <c r="C898" t="s">
        <v>93</v>
      </c>
      <c r="D898" t="s">
        <v>35</v>
      </c>
      <c r="E898">
        <v>19.731425123921088</v>
      </c>
    </row>
    <row r="899" spans="1:5" x14ac:dyDescent="0.3">
      <c r="A899" t="s">
        <v>64</v>
      </c>
      <c r="B899" t="s">
        <v>75</v>
      </c>
      <c r="C899" t="s">
        <v>94</v>
      </c>
      <c r="D899" t="s">
        <v>35</v>
      </c>
      <c r="E899">
        <v>19.235689158468681</v>
      </c>
    </row>
    <row r="900" spans="1:5" x14ac:dyDescent="0.3">
      <c r="A900" t="s">
        <v>64</v>
      </c>
      <c r="B900" t="s">
        <v>75</v>
      </c>
      <c r="C900" t="s">
        <v>95</v>
      </c>
      <c r="D900" t="s">
        <v>35</v>
      </c>
      <c r="E900">
        <v>16.202671665240629</v>
      </c>
    </row>
    <row r="901" spans="1:5" x14ac:dyDescent="0.3">
      <c r="A901" t="s">
        <v>64</v>
      </c>
      <c r="B901" t="s">
        <v>76</v>
      </c>
      <c r="C901" t="s">
        <v>96</v>
      </c>
      <c r="D901" t="s">
        <v>35</v>
      </c>
      <c r="E901">
        <v>19.018215663301689</v>
      </c>
    </row>
    <row r="902" spans="1:5" x14ac:dyDescent="0.3">
      <c r="A902" t="s">
        <v>64</v>
      </c>
      <c r="B902" t="s">
        <v>76</v>
      </c>
      <c r="C902" t="s">
        <v>97</v>
      </c>
      <c r="D902" t="s">
        <v>35</v>
      </c>
      <c r="E902">
        <v>20.204468155270838</v>
      </c>
    </row>
    <row r="903" spans="1:5" x14ac:dyDescent="0.3">
      <c r="A903" t="s">
        <v>64</v>
      </c>
      <c r="B903" t="s">
        <v>76</v>
      </c>
      <c r="C903" t="s">
        <v>98</v>
      </c>
      <c r="D903" t="s">
        <v>35</v>
      </c>
      <c r="E903">
        <v>19.109461508652618</v>
      </c>
    </row>
    <row r="904" spans="1:5" x14ac:dyDescent="0.3">
      <c r="A904" t="s">
        <v>64</v>
      </c>
      <c r="B904" t="s">
        <v>0</v>
      </c>
      <c r="C904" t="s">
        <v>99</v>
      </c>
      <c r="D904" t="s">
        <v>35</v>
      </c>
      <c r="E904">
        <v>11.78289448552616</v>
      </c>
    </row>
    <row r="905" spans="1:5" x14ac:dyDescent="0.3">
      <c r="A905" t="s">
        <v>64</v>
      </c>
      <c r="B905" t="s">
        <v>0</v>
      </c>
      <c r="C905" t="s">
        <v>100</v>
      </c>
      <c r="D905" t="s">
        <v>35</v>
      </c>
      <c r="E905">
        <v>26.06721162579473</v>
      </c>
    </row>
    <row r="906" spans="1:5" x14ac:dyDescent="0.3">
      <c r="A906" t="s">
        <v>64</v>
      </c>
      <c r="B906" t="s">
        <v>0</v>
      </c>
      <c r="C906" t="s">
        <v>101</v>
      </c>
      <c r="D906" t="s">
        <v>35</v>
      </c>
      <c r="E906">
        <v>20.34782608695652</v>
      </c>
    </row>
    <row r="907" spans="1:5" x14ac:dyDescent="0.3">
      <c r="A907" t="s">
        <v>64</v>
      </c>
      <c r="B907" t="s">
        <v>0</v>
      </c>
      <c r="C907" t="s">
        <v>102</v>
      </c>
      <c r="D907" t="s">
        <v>35</v>
      </c>
      <c r="E907">
        <v>11.72761993591145</v>
      </c>
    </row>
    <row r="908" spans="1:5" x14ac:dyDescent="0.3">
      <c r="A908" t="s">
        <v>64</v>
      </c>
      <c r="B908" t="s">
        <v>0</v>
      </c>
      <c r="C908" t="s">
        <v>103</v>
      </c>
      <c r="D908" t="s">
        <v>35</v>
      </c>
      <c r="E908">
        <v>13.00222656966457</v>
      </c>
    </row>
    <row r="909" spans="1:5" x14ac:dyDescent="0.3">
      <c r="A909" t="s">
        <v>64</v>
      </c>
      <c r="B909" t="s">
        <v>0</v>
      </c>
      <c r="C909" t="s">
        <v>104</v>
      </c>
      <c r="D909" t="s">
        <v>35</v>
      </c>
      <c r="E909">
        <v>24.32712215320911</v>
      </c>
    </row>
    <row r="910" spans="1:5" x14ac:dyDescent="0.3">
      <c r="A910" t="s">
        <v>64</v>
      </c>
      <c r="B910" t="s">
        <v>0</v>
      </c>
      <c r="C910" t="s">
        <v>105</v>
      </c>
      <c r="D910" t="s">
        <v>35</v>
      </c>
      <c r="E910">
        <v>9.1638196786740505</v>
      </c>
    </row>
    <row r="911" spans="1:5" x14ac:dyDescent="0.3">
      <c r="A911" t="s">
        <v>64</v>
      </c>
      <c r="B911" t="s">
        <v>0</v>
      </c>
      <c r="C911" t="s">
        <v>106</v>
      </c>
      <c r="D911" t="s">
        <v>35</v>
      </c>
      <c r="E911">
        <v>32.984293193717278</v>
      </c>
    </row>
    <row r="912" spans="1:5" x14ac:dyDescent="0.3">
      <c r="A912" t="s">
        <v>64</v>
      </c>
      <c r="B912" t="s">
        <v>0</v>
      </c>
      <c r="C912" t="s">
        <v>107</v>
      </c>
      <c r="D912" t="s">
        <v>35</v>
      </c>
      <c r="E912">
        <v>14.99031063485266</v>
      </c>
    </row>
    <row r="913" spans="1:5" x14ac:dyDescent="0.3">
      <c r="A913" t="s">
        <v>64</v>
      </c>
      <c r="B913" t="s">
        <v>0</v>
      </c>
      <c r="C913" t="s">
        <v>108</v>
      </c>
      <c r="D913" t="s">
        <v>35</v>
      </c>
      <c r="E913">
        <v>18.239686378049289</v>
      </c>
    </row>
    <row r="914" spans="1:5" x14ac:dyDescent="0.3">
      <c r="A914" t="s">
        <v>64</v>
      </c>
      <c r="B914" t="s">
        <v>0</v>
      </c>
      <c r="C914" t="s">
        <v>109</v>
      </c>
      <c r="D914" t="s">
        <v>35</v>
      </c>
      <c r="E914">
        <v>13.99491094147583</v>
      </c>
    </row>
    <row r="915" spans="1:5" x14ac:dyDescent="0.3">
      <c r="A915" t="s">
        <v>64</v>
      </c>
      <c r="B915" t="s">
        <v>0</v>
      </c>
      <c r="C915" t="s">
        <v>110</v>
      </c>
      <c r="D915" t="s">
        <v>35</v>
      </c>
      <c r="E915">
        <v>21.450291136751051</v>
      </c>
    </row>
    <row r="916" spans="1:5" x14ac:dyDescent="0.3">
      <c r="A916" t="s">
        <v>64</v>
      </c>
      <c r="B916" t="s">
        <v>0</v>
      </c>
      <c r="C916" t="s">
        <v>111</v>
      </c>
      <c r="D916" t="s">
        <v>35</v>
      </c>
      <c r="E916">
        <v>26.534859521331949</v>
      </c>
    </row>
    <row r="917" spans="1:5" x14ac:dyDescent="0.3">
      <c r="A917" t="s">
        <v>64</v>
      </c>
      <c r="B917" t="s">
        <v>0</v>
      </c>
      <c r="C917" t="s">
        <v>112</v>
      </c>
      <c r="D917" t="s">
        <v>35</v>
      </c>
      <c r="E917">
        <v>13.559322033898299</v>
      </c>
    </row>
    <row r="918" spans="1:5" x14ac:dyDescent="0.3">
      <c r="A918" t="s">
        <v>64</v>
      </c>
      <c r="B918" t="s">
        <v>0</v>
      </c>
      <c r="C918" t="s">
        <v>113</v>
      </c>
      <c r="D918" t="s">
        <v>35</v>
      </c>
      <c r="E918">
        <v>15.98594642072903</v>
      </c>
    </row>
    <row r="919" spans="1:5" x14ac:dyDescent="0.3">
      <c r="A919" t="s">
        <v>64</v>
      </c>
      <c r="B919" t="s">
        <v>0</v>
      </c>
      <c r="C919" t="s">
        <v>114</v>
      </c>
      <c r="D919" t="s">
        <v>35</v>
      </c>
      <c r="E919">
        <v>16.302246762462499</v>
      </c>
    </row>
    <row r="920" spans="1:5" x14ac:dyDescent="0.3">
      <c r="A920" t="s">
        <v>64</v>
      </c>
      <c r="B920" t="s">
        <v>0</v>
      </c>
      <c r="C920" t="s">
        <v>115</v>
      </c>
      <c r="D920" t="s">
        <v>35</v>
      </c>
      <c r="E920">
        <v>25.797872340425531</v>
      </c>
    </row>
    <row r="921" spans="1:5" x14ac:dyDescent="0.3">
      <c r="A921" t="s">
        <v>64</v>
      </c>
      <c r="B921" t="s">
        <v>0</v>
      </c>
      <c r="C921" t="s">
        <v>116</v>
      </c>
      <c r="D921" t="s">
        <v>35</v>
      </c>
      <c r="E921">
        <v>33.496748613889139</v>
      </c>
    </row>
    <row r="922" spans="1:5" x14ac:dyDescent="0.3">
      <c r="A922" t="s">
        <v>64</v>
      </c>
      <c r="B922" t="s">
        <v>69</v>
      </c>
      <c r="C922" t="s">
        <v>69</v>
      </c>
      <c r="D922" t="s">
        <v>36</v>
      </c>
      <c r="E922">
        <v>2.549844349050296</v>
      </c>
    </row>
    <row r="923" spans="1:5" x14ac:dyDescent="0.3">
      <c r="A923" t="s">
        <v>64</v>
      </c>
      <c r="B923" t="s">
        <v>70</v>
      </c>
      <c r="C923" t="s">
        <v>78</v>
      </c>
      <c r="D923" t="s">
        <v>36</v>
      </c>
      <c r="E923">
        <v>2.2779935503972282</v>
      </c>
    </row>
    <row r="924" spans="1:5" x14ac:dyDescent="0.3">
      <c r="A924" t="s">
        <v>64</v>
      </c>
      <c r="B924" t="s">
        <v>70</v>
      </c>
      <c r="C924" t="s">
        <v>79</v>
      </c>
      <c r="D924" t="s">
        <v>36</v>
      </c>
      <c r="E924">
        <v>2.7494741840296788</v>
      </c>
    </row>
    <row r="925" spans="1:5" x14ac:dyDescent="0.3">
      <c r="A925" t="s">
        <v>64</v>
      </c>
      <c r="B925" t="s">
        <v>70</v>
      </c>
      <c r="C925" t="s">
        <v>80</v>
      </c>
      <c r="D925" t="s">
        <v>36</v>
      </c>
      <c r="E925">
        <v>2.646264958928326</v>
      </c>
    </row>
    <row r="926" spans="1:5" x14ac:dyDescent="0.3">
      <c r="A926" t="s">
        <v>64</v>
      </c>
      <c r="B926" t="s">
        <v>70</v>
      </c>
      <c r="C926" t="s">
        <v>81</v>
      </c>
      <c r="D926" t="s">
        <v>36</v>
      </c>
      <c r="E926">
        <v>2.1843563812640281</v>
      </c>
    </row>
    <row r="927" spans="1:5" x14ac:dyDescent="0.3">
      <c r="A927" t="s">
        <v>64</v>
      </c>
      <c r="B927" t="s">
        <v>71</v>
      </c>
      <c r="C927" t="s">
        <v>82</v>
      </c>
      <c r="D927" t="s">
        <v>36</v>
      </c>
      <c r="E927">
        <v>3.1363125771438511</v>
      </c>
    </row>
    <row r="928" spans="1:5" x14ac:dyDescent="0.3">
      <c r="A928" t="s">
        <v>64</v>
      </c>
      <c r="B928" t="s">
        <v>71</v>
      </c>
      <c r="C928" t="s">
        <v>83</v>
      </c>
      <c r="D928" t="s">
        <v>36</v>
      </c>
      <c r="E928">
        <v>2.4115871141942198</v>
      </c>
    </row>
    <row r="929" spans="1:5" x14ac:dyDescent="0.3">
      <c r="A929" t="s">
        <v>64</v>
      </c>
      <c r="B929" t="s">
        <v>71</v>
      </c>
      <c r="C929" t="s">
        <v>84</v>
      </c>
      <c r="D929" t="s">
        <v>36</v>
      </c>
      <c r="E929">
        <v>2.3685539134106448</v>
      </c>
    </row>
    <row r="930" spans="1:5" x14ac:dyDescent="0.3">
      <c r="A930" t="s">
        <v>64</v>
      </c>
      <c r="B930" t="s">
        <v>71</v>
      </c>
      <c r="C930" t="s">
        <v>85</v>
      </c>
      <c r="D930" t="s">
        <v>36</v>
      </c>
      <c r="E930">
        <v>2.469669331476434</v>
      </c>
    </row>
    <row r="931" spans="1:5" x14ac:dyDescent="0.3">
      <c r="A931" t="s">
        <v>64</v>
      </c>
      <c r="B931" t="s">
        <v>72</v>
      </c>
      <c r="C931" t="s">
        <v>86</v>
      </c>
      <c r="D931" t="s">
        <v>36</v>
      </c>
      <c r="E931">
        <v>2.490561851097485</v>
      </c>
    </row>
    <row r="932" spans="1:5" x14ac:dyDescent="0.3">
      <c r="A932" t="s">
        <v>64</v>
      </c>
      <c r="B932" t="s">
        <v>72</v>
      </c>
      <c r="C932" t="s">
        <v>87</v>
      </c>
      <c r="D932" t="s">
        <v>36</v>
      </c>
      <c r="E932">
        <v>2.611240586692344</v>
      </c>
    </row>
    <row r="933" spans="1:5" x14ac:dyDescent="0.3">
      <c r="A933" t="s">
        <v>64</v>
      </c>
      <c r="B933" t="s">
        <v>73</v>
      </c>
      <c r="C933" t="s">
        <v>88</v>
      </c>
      <c r="D933" t="s">
        <v>36</v>
      </c>
      <c r="E933">
        <v>2.9380602524161921</v>
      </c>
    </row>
    <row r="934" spans="1:5" x14ac:dyDescent="0.3">
      <c r="A934" t="s">
        <v>64</v>
      </c>
      <c r="B934" t="s">
        <v>73</v>
      </c>
      <c r="C934" t="s">
        <v>89</v>
      </c>
      <c r="D934" t="s">
        <v>36</v>
      </c>
      <c r="E934">
        <v>2.2541357262151469</v>
      </c>
    </row>
    <row r="935" spans="1:5" x14ac:dyDescent="0.3">
      <c r="A935" t="s">
        <v>64</v>
      </c>
      <c r="B935" t="s">
        <v>74</v>
      </c>
      <c r="C935" t="s">
        <v>90</v>
      </c>
      <c r="D935" t="s">
        <v>36</v>
      </c>
      <c r="E935">
        <v>2.4254762705288009</v>
      </c>
    </row>
    <row r="936" spans="1:5" x14ac:dyDescent="0.3">
      <c r="A936" t="s">
        <v>64</v>
      </c>
      <c r="B936" t="s">
        <v>74</v>
      </c>
      <c r="C936" t="s">
        <v>91</v>
      </c>
      <c r="D936" t="s">
        <v>36</v>
      </c>
      <c r="E936">
        <v>2.5384674576293249</v>
      </c>
    </row>
    <row r="937" spans="1:5" x14ac:dyDescent="0.3">
      <c r="A937" t="s">
        <v>64</v>
      </c>
      <c r="B937" t="s">
        <v>75</v>
      </c>
      <c r="C937" t="s">
        <v>92</v>
      </c>
      <c r="D937" t="s">
        <v>36</v>
      </c>
      <c r="E937">
        <v>1.915029659782729</v>
      </c>
    </row>
    <row r="938" spans="1:5" x14ac:dyDescent="0.3">
      <c r="A938" t="s">
        <v>64</v>
      </c>
      <c r="B938" t="s">
        <v>75</v>
      </c>
      <c r="C938" t="s">
        <v>93</v>
      </c>
      <c r="D938" t="s">
        <v>36</v>
      </c>
      <c r="E938">
        <v>2.2759762036882418</v>
      </c>
    </row>
    <row r="939" spans="1:5" x14ac:dyDescent="0.3">
      <c r="A939" t="s">
        <v>64</v>
      </c>
      <c r="B939" t="s">
        <v>75</v>
      </c>
      <c r="C939" t="s">
        <v>94</v>
      </c>
      <c r="D939" t="s">
        <v>36</v>
      </c>
      <c r="E939">
        <v>3.093262066965921</v>
      </c>
    </row>
    <row r="940" spans="1:5" x14ac:dyDescent="0.3">
      <c r="A940" t="s">
        <v>64</v>
      </c>
      <c r="B940" t="s">
        <v>75</v>
      </c>
      <c r="C940" t="s">
        <v>95</v>
      </c>
      <c r="D940" t="s">
        <v>36</v>
      </c>
      <c r="E940">
        <v>3.0821586764915989</v>
      </c>
    </row>
    <row r="941" spans="1:5" x14ac:dyDescent="0.3">
      <c r="A941" t="s">
        <v>64</v>
      </c>
      <c r="B941" t="s">
        <v>76</v>
      </c>
      <c r="C941" t="s">
        <v>96</v>
      </c>
      <c r="D941" t="s">
        <v>36</v>
      </c>
      <c r="E941">
        <v>2.065912853039737</v>
      </c>
    </row>
    <row r="942" spans="1:5" x14ac:dyDescent="0.3">
      <c r="A942" t="s">
        <v>64</v>
      </c>
      <c r="B942" t="s">
        <v>76</v>
      </c>
      <c r="C942" t="s">
        <v>97</v>
      </c>
      <c r="D942" t="s">
        <v>36</v>
      </c>
      <c r="E942">
        <v>2.0329101014052902</v>
      </c>
    </row>
    <row r="943" spans="1:5" x14ac:dyDescent="0.3">
      <c r="A943" t="s">
        <v>64</v>
      </c>
      <c r="B943" t="s">
        <v>76</v>
      </c>
      <c r="C943" t="s">
        <v>98</v>
      </c>
      <c r="D943" t="s">
        <v>36</v>
      </c>
      <c r="E943">
        <v>3.0297022864792482</v>
      </c>
    </row>
    <row r="944" spans="1:5" x14ac:dyDescent="0.3">
      <c r="A944" t="s">
        <v>64</v>
      </c>
      <c r="B944" t="s">
        <v>0</v>
      </c>
      <c r="C944" t="s">
        <v>99</v>
      </c>
      <c r="D944" t="s">
        <v>36</v>
      </c>
      <c r="E944">
        <v>0.6154102521232655</v>
      </c>
    </row>
    <row r="945" spans="1:5" x14ac:dyDescent="0.3">
      <c r="A945" t="s">
        <v>64</v>
      </c>
      <c r="B945" t="s">
        <v>0</v>
      </c>
      <c r="C945" t="s">
        <v>100</v>
      </c>
      <c r="D945" t="s">
        <v>36</v>
      </c>
      <c r="E945">
        <v>1.8165304268846509</v>
      </c>
    </row>
    <row r="946" spans="1:5" x14ac:dyDescent="0.3">
      <c r="A946" t="s">
        <v>64</v>
      </c>
      <c r="B946" t="s">
        <v>0</v>
      </c>
      <c r="C946" t="s">
        <v>101</v>
      </c>
      <c r="D946" t="s">
        <v>36</v>
      </c>
      <c r="E946">
        <v>1.7391304347826091</v>
      </c>
    </row>
    <row r="947" spans="1:5" x14ac:dyDescent="0.3">
      <c r="A947" t="s">
        <v>64</v>
      </c>
      <c r="B947" t="s">
        <v>0</v>
      </c>
      <c r="C947" t="s">
        <v>102</v>
      </c>
      <c r="D947" t="s">
        <v>36</v>
      </c>
      <c r="E947">
        <v>0.37363749448039141</v>
      </c>
    </row>
    <row r="948" spans="1:5" x14ac:dyDescent="0.3">
      <c r="A948" t="s">
        <v>64</v>
      </c>
      <c r="B948" t="s">
        <v>0</v>
      </c>
      <c r="C948" t="s">
        <v>103</v>
      </c>
      <c r="D948" t="s">
        <v>36</v>
      </c>
      <c r="E948">
        <v>2.218731204240195</v>
      </c>
    </row>
    <row r="949" spans="1:5" x14ac:dyDescent="0.3">
      <c r="A949" t="s">
        <v>64</v>
      </c>
      <c r="B949" t="s">
        <v>0</v>
      </c>
      <c r="C949" t="s">
        <v>104</v>
      </c>
      <c r="D949" t="s">
        <v>36</v>
      </c>
      <c r="E949">
        <v>2.5879917184265011</v>
      </c>
    </row>
    <row r="950" spans="1:5" x14ac:dyDescent="0.3">
      <c r="A950" t="s">
        <v>64</v>
      </c>
      <c r="B950" t="s">
        <v>0</v>
      </c>
      <c r="C950" t="s">
        <v>105</v>
      </c>
      <c r="D950" t="s">
        <v>36</v>
      </c>
      <c r="E950">
        <v>3.1430484196848858</v>
      </c>
    </row>
    <row r="951" spans="1:5" x14ac:dyDescent="0.3">
      <c r="A951" t="s">
        <v>64</v>
      </c>
      <c r="B951" t="s">
        <v>0</v>
      </c>
      <c r="C951" t="s">
        <v>106</v>
      </c>
      <c r="D951" t="s">
        <v>36</v>
      </c>
      <c r="E951">
        <v>1.483420593368237</v>
      </c>
    </row>
    <row r="952" spans="1:5" x14ac:dyDescent="0.3">
      <c r="A952" t="s">
        <v>64</v>
      </c>
      <c r="B952" t="s">
        <v>0</v>
      </c>
      <c r="C952" t="s">
        <v>107</v>
      </c>
      <c r="D952" t="s">
        <v>36</v>
      </c>
      <c r="E952">
        <v>2.2300318571613049</v>
      </c>
    </row>
    <row r="953" spans="1:5" x14ac:dyDescent="0.3">
      <c r="A953" t="s">
        <v>64</v>
      </c>
      <c r="B953" t="s">
        <v>0</v>
      </c>
      <c r="C953" t="s">
        <v>108</v>
      </c>
      <c r="D953" t="s">
        <v>36</v>
      </c>
      <c r="E953">
        <v>2.9379617293023328</v>
      </c>
    </row>
    <row r="954" spans="1:5" x14ac:dyDescent="0.3">
      <c r="A954" t="s">
        <v>64</v>
      </c>
      <c r="B954" t="s">
        <v>0</v>
      </c>
      <c r="C954" t="s">
        <v>109</v>
      </c>
      <c r="D954" t="s">
        <v>36</v>
      </c>
      <c r="E954">
        <v>1.4418999151823579</v>
      </c>
    </row>
    <row r="955" spans="1:5" x14ac:dyDescent="0.3">
      <c r="A955" t="s">
        <v>64</v>
      </c>
      <c r="B955" t="s">
        <v>0</v>
      </c>
      <c r="C955" t="s">
        <v>110</v>
      </c>
      <c r="D955" t="s">
        <v>36</v>
      </c>
      <c r="E955">
        <v>4.7532148779651857</v>
      </c>
    </row>
    <row r="956" spans="1:5" x14ac:dyDescent="0.3">
      <c r="A956" t="s">
        <v>64</v>
      </c>
      <c r="B956" t="s">
        <v>0</v>
      </c>
      <c r="C956" t="s">
        <v>111</v>
      </c>
      <c r="D956" t="s">
        <v>36</v>
      </c>
      <c r="E956">
        <v>6.7637877211238289</v>
      </c>
    </row>
    <row r="957" spans="1:5" x14ac:dyDescent="0.3">
      <c r="A957" t="s">
        <v>64</v>
      </c>
      <c r="B957" t="s">
        <v>0</v>
      </c>
      <c r="C957" t="s">
        <v>112</v>
      </c>
      <c r="D957" t="s">
        <v>36</v>
      </c>
      <c r="E957">
        <v>0.89206066012488849</v>
      </c>
    </row>
    <row r="958" spans="1:5" x14ac:dyDescent="0.3">
      <c r="A958" t="s">
        <v>64</v>
      </c>
      <c r="B958" t="s">
        <v>0</v>
      </c>
      <c r="C958" t="s">
        <v>113</v>
      </c>
      <c r="D958" t="s">
        <v>36</v>
      </c>
      <c r="E958">
        <v>4.3258673693456302</v>
      </c>
    </row>
    <row r="959" spans="1:5" x14ac:dyDescent="0.3">
      <c r="A959" t="s">
        <v>64</v>
      </c>
      <c r="B959" t="s">
        <v>0</v>
      </c>
      <c r="C959" t="s">
        <v>114</v>
      </c>
      <c r="D959" t="s">
        <v>36</v>
      </c>
      <c r="E959">
        <v>1.6532838703682999</v>
      </c>
    </row>
    <row r="960" spans="1:5" x14ac:dyDescent="0.3">
      <c r="A960" t="s">
        <v>64</v>
      </c>
      <c r="B960" t="s">
        <v>0</v>
      </c>
      <c r="C960" t="s">
        <v>115</v>
      </c>
      <c r="D960" t="s">
        <v>36</v>
      </c>
      <c r="E960">
        <v>1.418439716312057</v>
      </c>
    </row>
    <row r="961" spans="1:5" x14ac:dyDescent="0.3">
      <c r="A961" t="s">
        <v>64</v>
      </c>
      <c r="B961" t="s">
        <v>0</v>
      </c>
      <c r="C961" t="s">
        <v>116</v>
      </c>
      <c r="D961" t="s">
        <v>36</v>
      </c>
      <c r="E961">
        <v>6.775941056588854</v>
      </c>
    </row>
    <row r="962" spans="1:5" x14ac:dyDescent="0.3">
      <c r="A962" t="s">
        <v>65</v>
      </c>
      <c r="B962" t="s">
        <v>69</v>
      </c>
      <c r="C962" t="s">
        <v>69</v>
      </c>
      <c r="D962" t="s">
        <v>33</v>
      </c>
      <c r="E962">
        <v>24.481275901804601</v>
      </c>
    </row>
    <row r="963" spans="1:5" x14ac:dyDescent="0.3">
      <c r="A963" t="s">
        <v>65</v>
      </c>
      <c r="B963" t="s">
        <v>70</v>
      </c>
      <c r="C963" t="s">
        <v>78</v>
      </c>
      <c r="D963" t="s">
        <v>33</v>
      </c>
      <c r="E963">
        <v>27.333572495502249</v>
      </c>
    </row>
    <row r="964" spans="1:5" x14ac:dyDescent="0.3">
      <c r="A964" t="s">
        <v>65</v>
      </c>
      <c r="B964" t="s">
        <v>70</v>
      </c>
      <c r="C964" t="s">
        <v>79</v>
      </c>
      <c r="D964" t="s">
        <v>33</v>
      </c>
      <c r="E964">
        <v>23.383069685711209</v>
      </c>
    </row>
    <row r="965" spans="1:5" x14ac:dyDescent="0.3">
      <c r="A965" t="s">
        <v>65</v>
      </c>
      <c r="B965" t="s">
        <v>70</v>
      </c>
      <c r="C965" t="s">
        <v>80</v>
      </c>
      <c r="D965" t="s">
        <v>33</v>
      </c>
      <c r="E965">
        <v>23.62501953500264</v>
      </c>
    </row>
    <row r="966" spans="1:5" x14ac:dyDescent="0.3">
      <c r="A966" t="s">
        <v>65</v>
      </c>
      <c r="B966" t="s">
        <v>70</v>
      </c>
      <c r="C966" t="s">
        <v>81</v>
      </c>
      <c r="D966" t="s">
        <v>33</v>
      </c>
      <c r="E966">
        <v>24.1645155629469</v>
      </c>
    </row>
    <row r="967" spans="1:5" x14ac:dyDescent="0.3">
      <c r="A967" t="s">
        <v>65</v>
      </c>
      <c r="B967" t="s">
        <v>71</v>
      </c>
      <c r="C967" t="s">
        <v>82</v>
      </c>
      <c r="D967" t="s">
        <v>33</v>
      </c>
      <c r="E967">
        <v>20.89215973222014</v>
      </c>
    </row>
    <row r="968" spans="1:5" x14ac:dyDescent="0.3">
      <c r="A968" t="s">
        <v>65</v>
      </c>
      <c r="B968" t="s">
        <v>71</v>
      </c>
      <c r="C968" t="s">
        <v>83</v>
      </c>
      <c r="D968" t="s">
        <v>33</v>
      </c>
      <c r="E968">
        <v>25.111577345284338</v>
      </c>
    </row>
    <row r="969" spans="1:5" x14ac:dyDescent="0.3">
      <c r="A969" t="s">
        <v>65</v>
      </c>
      <c r="B969" t="s">
        <v>71</v>
      </c>
      <c r="C969" t="s">
        <v>84</v>
      </c>
      <c r="D969" t="s">
        <v>33</v>
      </c>
      <c r="E969">
        <v>25.996643116253939</v>
      </c>
    </row>
    <row r="970" spans="1:5" x14ac:dyDescent="0.3">
      <c r="A970" t="s">
        <v>65</v>
      </c>
      <c r="B970" t="s">
        <v>71</v>
      </c>
      <c r="C970" t="s">
        <v>85</v>
      </c>
      <c r="D970" t="s">
        <v>33</v>
      </c>
      <c r="E970">
        <v>24.451459012843198</v>
      </c>
    </row>
    <row r="971" spans="1:5" x14ac:dyDescent="0.3">
      <c r="A971" t="s">
        <v>65</v>
      </c>
      <c r="B971" t="s">
        <v>72</v>
      </c>
      <c r="C971" t="s">
        <v>86</v>
      </c>
      <c r="D971" t="s">
        <v>33</v>
      </c>
      <c r="E971">
        <v>24.647879207700019</v>
      </c>
    </row>
    <row r="972" spans="1:5" x14ac:dyDescent="0.3">
      <c r="A972" t="s">
        <v>65</v>
      </c>
      <c r="B972" t="s">
        <v>72</v>
      </c>
      <c r="C972" t="s">
        <v>87</v>
      </c>
      <c r="D972" t="s">
        <v>33</v>
      </c>
      <c r="E972">
        <v>24.306199735488569</v>
      </c>
    </row>
    <row r="973" spans="1:5" x14ac:dyDescent="0.3">
      <c r="A973" t="s">
        <v>65</v>
      </c>
      <c r="B973" t="s">
        <v>73</v>
      </c>
      <c r="C973" t="s">
        <v>88</v>
      </c>
      <c r="D973" t="s">
        <v>33</v>
      </c>
      <c r="E973">
        <v>24.717079919236902</v>
      </c>
    </row>
    <row r="974" spans="1:5" x14ac:dyDescent="0.3">
      <c r="A974" t="s">
        <v>65</v>
      </c>
      <c r="B974" t="s">
        <v>73</v>
      </c>
      <c r="C974" t="s">
        <v>89</v>
      </c>
      <c r="D974" t="s">
        <v>33</v>
      </c>
      <c r="E974">
        <v>24.23550977916042</v>
      </c>
    </row>
    <row r="975" spans="1:5" x14ac:dyDescent="0.3">
      <c r="A975" t="s">
        <v>65</v>
      </c>
      <c r="B975" t="s">
        <v>74</v>
      </c>
      <c r="C975" t="s">
        <v>90</v>
      </c>
      <c r="D975" t="s">
        <v>33</v>
      </c>
      <c r="E975">
        <v>26.504004907078428</v>
      </c>
    </row>
    <row r="976" spans="1:5" x14ac:dyDescent="0.3">
      <c r="A976" t="s">
        <v>65</v>
      </c>
      <c r="B976" t="s">
        <v>74</v>
      </c>
      <c r="C976" t="s">
        <v>91</v>
      </c>
      <c r="D976" t="s">
        <v>33</v>
      </c>
      <c r="E976">
        <v>23.531982216614939</v>
      </c>
    </row>
    <row r="977" spans="1:5" x14ac:dyDescent="0.3">
      <c r="A977" t="s">
        <v>65</v>
      </c>
      <c r="B977" t="s">
        <v>75</v>
      </c>
      <c r="C977" t="s">
        <v>92</v>
      </c>
      <c r="D977" t="s">
        <v>33</v>
      </c>
      <c r="E977">
        <v>21.846656181237041</v>
      </c>
    </row>
    <row r="978" spans="1:5" x14ac:dyDescent="0.3">
      <c r="A978" t="s">
        <v>65</v>
      </c>
      <c r="B978" t="s">
        <v>75</v>
      </c>
      <c r="C978" t="s">
        <v>93</v>
      </c>
      <c r="D978" t="s">
        <v>33</v>
      </c>
      <c r="E978">
        <v>24.605909895796628</v>
      </c>
    </row>
    <row r="979" spans="1:5" x14ac:dyDescent="0.3">
      <c r="A979" t="s">
        <v>65</v>
      </c>
      <c r="B979" t="s">
        <v>75</v>
      </c>
      <c r="C979" t="s">
        <v>94</v>
      </c>
      <c r="D979" t="s">
        <v>33</v>
      </c>
      <c r="E979">
        <v>25.02304582773392</v>
      </c>
    </row>
    <row r="980" spans="1:5" x14ac:dyDescent="0.3">
      <c r="A980" t="s">
        <v>65</v>
      </c>
      <c r="B980" t="s">
        <v>75</v>
      </c>
      <c r="C980" t="s">
        <v>95</v>
      </c>
      <c r="D980" t="s">
        <v>33</v>
      </c>
      <c r="E980">
        <v>28.635022029966731</v>
      </c>
    </row>
    <row r="981" spans="1:5" x14ac:dyDescent="0.3">
      <c r="A981" t="s">
        <v>65</v>
      </c>
      <c r="B981" t="s">
        <v>76</v>
      </c>
      <c r="C981" t="s">
        <v>96</v>
      </c>
      <c r="D981" t="s">
        <v>33</v>
      </c>
      <c r="E981">
        <v>25.771499037049569</v>
      </c>
    </row>
    <row r="982" spans="1:5" x14ac:dyDescent="0.3">
      <c r="A982" t="s">
        <v>65</v>
      </c>
      <c r="B982" t="s">
        <v>76</v>
      </c>
      <c r="C982" t="s">
        <v>97</v>
      </c>
      <c r="D982" t="s">
        <v>33</v>
      </c>
      <c r="E982">
        <v>22.01560665925102</v>
      </c>
    </row>
    <row r="983" spans="1:5" x14ac:dyDescent="0.3">
      <c r="A983" t="s">
        <v>65</v>
      </c>
      <c r="B983" t="s">
        <v>76</v>
      </c>
      <c r="C983" t="s">
        <v>98</v>
      </c>
      <c r="D983" t="s">
        <v>33</v>
      </c>
      <c r="E983">
        <v>25.42352683250158</v>
      </c>
    </row>
    <row r="984" spans="1:5" x14ac:dyDescent="0.3">
      <c r="A984" t="s">
        <v>65</v>
      </c>
      <c r="B984" t="s">
        <v>0</v>
      </c>
      <c r="C984" t="s">
        <v>99</v>
      </c>
      <c r="D984" t="s">
        <v>33</v>
      </c>
      <c r="E984">
        <v>22.010116740355141</v>
      </c>
    </row>
    <row r="985" spans="1:5" x14ac:dyDescent="0.3">
      <c r="A985" t="s">
        <v>65</v>
      </c>
      <c r="B985" t="s">
        <v>0</v>
      </c>
      <c r="C985" t="s">
        <v>100</v>
      </c>
      <c r="D985" t="s">
        <v>33</v>
      </c>
      <c r="E985">
        <v>12.588652482269501</v>
      </c>
    </row>
    <row r="986" spans="1:5" x14ac:dyDescent="0.3">
      <c r="A986" t="s">
        <v>65</v>
      </c>
      <c r="B986" t="s">
        <v>0</v>
      </c>
      <c r="C986" t="s">
        <v>101</v>
      </c>
      <c r="D986" t="s">
        <v>33</v>
      </c>
      <c r="E986">
        <v>26.689189189189189</v>
      </c>
    </row>
    <row r="987" spans="1:5" x14ac:dyDescent="0.3">
      <c r="A987" t="s">
        <v>65</v>
      </c>
      <c r="B987" t="s">
        <v>0</v>
      </c>
      <c r="C987" t="s">
        <v>102</v>
      </c>
      <c r="D987" t="s">
        <v>33</v>
      </c>
      <c r="E987">
        <v>48.996806342548659</v>
      </c>
    </row>
    <row r="988" spans="1:5" x14ac:dyDescent="0.3">
      <c r="A988" t="s">
        <v>65</v>
      </c>
      <c r="B988" t="s">
        <v>0</v>
      </c>
      <c r="C988" t="s">
        <v>103</v>
      </c>
      <c r="D988" t="s">
        <v>33</v>
      </c>
      <c r="E988">
        <v>29.131803399128341</v>
      </c>
    </row>
    <row r="989" spans="1:5" x14ac:dyDescent="0.3">
      <c r="A989" t="s">
        <v>65</v>
      </c>
      <c r="B989" t="s">
        <v>0</v>
      </c>
      <c r="C989" t="s">
        <v>104</v>
      </c>
      <c r="D989" t="s">
        <v>33</v>
      </c>
      <c r="E989">
        <v>24.46043165467626</v>
      </c>
    </row>
    <row r="990" spans="1:5" x14ac:dyDescent="0.3">
      <c r="A990" t="s">
        <v>65</v>
      </c>
      <c r="B990" t="s">
        <v>0</v>
      </c>
      <c r="C990" t="s">
        <v>105</v>
      </c>
      <c r="D990" t="s">
        <v>33</v>
      </c>
      <c r="E990">
        <v>54.015685951709571</v>
      </c>
    </row>
    <row r="991" spans="1:5" x14ac:dyDescent="0.3">
      <c r="A991" t="s">
        <v>65</v>
      </c>
      <c r="B991" t="s">
        <v>0</v>
      </c>
      <c r="C991" t="s">
        <v>106</v>
      </c>
      <c r="D991" t="s">
        <v>33</v>
      </c>
      <c r="E991">
        <v>10.90909090909091</v>
      </c>
    </row>
    <row r="992" spans="1:5" x14ac:dyDescent="0.3">
      <c r="A992" t="s">
        <v>65</v>
      </c>
      <c r="B992" t="s">
        <v>0</v>
      </c>
      <c r="C992" t="s">
        <v>107</v>
      </c>
      <c r="D992" t="s">
        <v>33</v>
      </c>
      <c r="E992">
        <v>25.001072201606309</v>
      </c>
    </row>
    <row r="993" spans="1:5" x14ac:dyDescent="0.3">
      <c r="A993" t="s">
        <v>65</v>
      </c>
      <c r="B993" t="s">
        <v>0</v>
      </c>
      <c r="C993" t="s">
        <v>108</v>
      </c>
      <c r="D993" t="s">
        <v>33</v>
      </c>
      <c r="E993">
        <v>36.415187324130791</v>
      </c>
    </row>
    <row r="994" spans="1:5" x14ac:dyDescent="0.3">
      <c r="A994" t="s">
        <v>65</v>
      </c>
      <c r="B994" t="s">
        <v>0</v>
      </c>
      <c r="C994" t="s">
        <v>109</v>
      </c>
      <c r="D994" t="s">
        <v>33</v>
      </c>
      <c r="E994">
        <v>23.34763948497854</v>
      </c>
    </row>
    <row r="995" spans="1:5" x14ac:dyDescent="0.3">
      <c r="A995" t="s">
        <v>65</v>
      </c>
      <c r="B995" t="s">
        <v>0</v>
      </c>
      <c r="C995" t="s">
        <v>110</v>
      </c>
      <c r="D995" t="s">
        <v>33</v>
      </c>
      <c r="E995">
        <v>10.663821788144819</v>
      </c>
    </row>
    <row r="996" spans="1:5" x14ac:dyDescent="0.3">
      <c r="A996" t="s">
        <v>65</v>
      </c>
      <c r="B996" t="s">
        <v>0</v>
      </c>
      <c r="C996" t="s">
        <v>111</v>
      </c>
      <c r="D996" t="s">
        <v>33</v>
      </c>
      <c r="E996">
        <v>15.625</v>
      </c>
    </row>
    <row r="997" spans="1:5" x14ac:dyDescent="0.3">
      <c r="A997" t="s">
        <v>65</v>
      </c>
      <c r="B997" t="s">
        <v>0</v>
      </c>
      <c r="C997" t="s">
        <v>112</v>
      </c>
      <c r="D997" t="s">
        <v>33</v>
      </c>
      <c r="E997">
        <v>23.478260869565219</v>
      </c>
    </row>
    <row r="998" spans="1:5" x14ac:dyDescent="0.3">
      <c r="A998" t="s">
        <v>65</v>
      </c>
      <c r="B998" t="s">
        <v>0</v>
      </c>
      <c r="C998" t="s">
        <v>113</v>
      </c>
      <c r="D998" t="s">
        <v>33</v>
      </c>
      <c r="E998">
        <v>21.598084040931859</v>
      </c>
    </row>
    <row r="999" spans="1:5" x14ac:dyDescent="0.3">
      <c r="A999" t="s">
        <v>65</v>
      </c>
      <c r="B999" t="s">
        <v>0</v>
      </c>
      <c r="C999" t="s">
        <v>114</v>
      </c>
      <c r="D999" t="s">
        <v>33</v>
      </c>
      <c r="E999">
        <v>27.171467509176939</v>
      </c>
    </row>
    <row r="1000" spans="1:5" x14ac:dyDescent="0.3">
      <c r="A1000" t="s">
        <v>65</v>
      </c>
      <c r="B1000" t="s">
        <v>0</v>
      </c>
      <c r="C1000" t="s">
        <v>115</v>
      </c>
      <c r="D1000" t="s">
        <v>33</v>
      </c>
      <c r="E1000">
        <v>11.150758251561109</v>
      </c>
    </row>
    <row r="1001" spans="1:5" x14ac:dyDescent="0.3">
      <c r="A1001" t="s">
        <v>65</v>
      </c>
      <c r="B1001" t="s">
        <v>0</v>
      </c>
      <c r="C1001" t="s">
        <v>116</v>
      </c>
      <c r="D1001" t="s">
        <v>33</v>
      </c>
      <c r="E1001">
        <v>17.203435276269211</v>
      </c>
    </row>
    <row r="1002" spans="1:5" x14ac:dyDescent="0.3">
      <c r="A1002" t="s">
        <v>65</v>
      </c>
      <c r="B1002" t="s">
        <v>69</v>
      </c>
      <c r="C1002" t="s">
        <v>69</v>
      </c>
      <c r="D1002" t="s">
        <v>34</v>
      </c>
      <c r="E1002">
        <v>55.080239633943251</v>
      </c>
    </row>
    <row r="1003" spans="1:5" x14ac:dyDescent="0.3">
      <c r="A1003" t="s">
        <v>65</v>
      </c>
      <c r="B1003" t="s">
        <v>70</v>
      </c>
      <c r="C1003" t="s">
        <v>78</v>
      </c>
      <c r="D1003" t="s">
        <v>34</v>
      </c>
      <c r="E1003">
        <v>54.745256829717754</v>
      </c>
    </row>
    <row r="1004" spans="1:5" x14ac:dyDescent="0.3">
      <c r="A1004" t="s">
        <v>65</v>
      </c>
      <c r="B1004" t="s">
        <v>70</v>
      </c>
      <c r="C1004" t="s">
        <v>79</v>
      </c>
      <c r="D1004" t="s">
        <v>34</v>
      </c>
      <c r="E1004">
        <v>54.440141694466327</v>
      </c>
    </row>
    <row r="1005" spans="1:5" x14ac:dyDescent="0.3">
      <c r="A1005" t="s">
        <v>65</v>
      </c>
      <c r="B1005" t="s">
        <v>70</v>
      </c>
      <c r="C1005" t="s">
        <v>80</v>
      </c>
      <c r="D1005" t="s">
        <v>34</v>
      </c>
      <c r="E1005">
        <v>54.849407814083783</v>
      </c>
    </row>
    <row r="1006" spans="1:5" x14ac:dyDescent="0.3">
      <c r="A1006" t="s">
        <v>65</v>
      </c>
      <c r="B1006" t="s">
        <v>70</v>
      </c>
      <c r="C1006" t="s">
        <v>81</v>
      </c>
      <c r="D1006" t="s">
        <v>34</v>
      </c>
      <c r="E1006">
        <v>59.065140416249328</v>
      </c>
    </row>
    <row r="1007" spans="1:5" x14ac:dyDescent="0.3">
      <c r="A1007" t="s">
        <v>65</v>
      </c>
      <c r="B1007" t="s">
        <v>71</v>
      </c>
      <c r="C1007" t="s">
        <v>82</v>
      </c>
      <c r="D1007" t="s">
        <v>34</v>
      </c>
      <c r="E1007">
        <v>55.277810000920347</v>
      </c>
    </row>
    <row r="1008" spans="1:5" x14ac:dyDescent="0.3">
      <c r="A1008" t="s">
        <v>65</v>
      </c>
      <c r="B1008" t="s">
        <v>71</v>
      </c>
      <c r="C1008" t="s">
        <v>83</v>
      </c>
      <c r="D1008" t="s">
        <v>34</v>
      </c>
      <c r="E1008">
        <v>54.994352685423429</v>
      </c>
    </row>
    <row r="1009" spans="1:5" x14ac:dyDescent="0.3">
      <c r="A1009" t="s">
        <v>65</v>
      </c>
      <c r="B1009" t="s">
        <v>71</v>
      </c>
      <c r="C1009" t="s">
        <v>84</v>
      </c>
      <c r="D1009" t="s">
        <v>34</v>
      </c>
      <c r="E1009">
        <v>55.040124490796757</v>
      </c>
    </row>
    <row r="1010" spans="1:5" x14ac:dyDescent="0.3">
      <c r="A1010" t="s">
        <v>65</v>
      </c>
      <c r="B1010" t="s">
        <v>71</v>
      </c>
      <c r="C1010" t="s">
        <v>85</v>
      </c>
      <c r="D1010" t="s">
        <v>34</v>
      </c>
      <c r="E1010">
        <v>55.137407189387552</v>
      </c>
    </row>
    <row r="1011" spans="1:5" x14ac:dyDescent="0.3">
      <c r="A1011" t="s">
        <v>65</v>
      </c>
      <c r="B1011" t="s">
        <v>72</v>
      </c>
      <c r="C1011" t="s">
        <v>86</v>
      </c>
      <c r="D1011" t="s">
        <v>34</v>
      </c>
      <c r="E1011">
        <v>56.119703420966893</v>
      </c>
    </row>
    <row r="1012" spans="1:5" x14ac:dyDescent="0.3">
      <c r="A1012" t="s">
        <v>65</v>
      </c>
      <c r="B1012" t="s">
        <v>72</v>
      </c>
      <c r="C1012" t="s">
        <v>87</v>
      </c>
      <c r="D1012" t="s">
        <v>34</v>
      </c>
      <c r="E1012">
        <v>53.987912360613613</v>
      </c>
    </row>
    <row r="1013" spans="1:5" x14ac:dyDescent="0.3">
      <c r="A1013" t="s">
        <v>65</v>
      </c>
      <c r="B1013" t="s">
        <v>73</v>
      </c>
      <c r="C1013" t="s">
        <v>88</v>
      </c>
      <c r="D1013" t="s">
        <v>34</v>
      </c>
      <c r="E1013">
        <v>53.825914137865759</v>
      </c>
    </row>
    <row r="1014" spans="1:5" x14ac:dyDescent="0.3">
      <c r="A1014" t="s">
        <v>65</v>
      </c>
      <c r="B1014" t="s">
        <v>73</v>
      </c>
      <c r="C1014" t="s">
        <v>89</v>
      </c>
      <c r="D1014" t="s">
        <v>34</v>
      </c>
      <c r="E1014">
        <v>56.089223600448577</v>
      </c>
    </row>
    <row r="1015" spans="1:5" x14ac:dyDescent="0.3">
      <c r="A1015" t="s">
        <v>65</v>
      </c>
      <c r="B1015" t="s">
        <v>74</v>
      </c>
      <c r="C1015" t="s">
        <v>90</v>
      </c>
      <c r="D1015" t="s">
        <v>34</v>
      </c>
      <c r="E1015">
        <v>53.941601375365003</v>
      </c>
    </row>
    <row r="1016" spans="1:5" x14ac:dyDescent="0.3">
      <c r="A1016" t="s">
        <v>65</v>
      </c>
      <c r="B1016" t="s">
        <v>74</v>
      </c>
      <c r="C1016" t="s">
        <v>91</v>
      </c>
      <c r="D1016" t="s">
        <v>34</v>
      </c>
      <c r="E1016">
        <v>55.637312929986692</v>
      </c>
    </row>
    <row r="1017" spans="1:5" x14ac:dyDescent="0.3">
      <c r="A1017" t="s">
        <v>65</v>
      </c>
      <c r="B1017" t="s">
        <v>75</v>
      </c>
      <c r="C1017" t="s">
        <v>92</v>
      </c>
      <c r="D1017" t="s">
        <v>34</v>
      </c>
      <c r="E1017">
        <v>56.42118142870023</v>
      </c>
    </row>
    <row r="1018" spans="1:5" x14ac:dyDescent="0.3">
      <c r="A1018" t="s">
        <v>65</v>
      </c>
      <c r="B1018" t="s">
        <v>75</v>
      </c>
      <c r="C1018" t="s">
        <v>93</v>
      </c>
      <c r="D1018" t="s">
        <v>34</v>
      </c>
      <c r="E1018">
        <v>54.385014377841877</v>
      </c>
    </row>
    <row r="1019" spans="1:5" x14ac:dyDescent="0.3">
      <c r="A1019" t="s">
        <v>65</v>
      </c>
      <c r="B1019" t="s">
        <v>75</v>
      </c>
      <c r="C1019" t="s">
        <v>94</v>
      </c>
      <c r="D1019" t="s">
        <v>34</v>
      </c>
      <c r="E1019">
        <v>53.703355805108188</v>
      </c>
    </row>
    <row r="1020" spans="1:5" x14ac:dyDescent="0.3">
      <c r="A1020" t="s">
        <v>65</v>
      </c>
      <c r="B1020" t="s">
        <v>75</v>
      </c>
      <c r="C1020" t="s">
        <v>95</v>
      </c>
      <c r="D1020" t="s">
        <v>34</v>
      </c>
      <c r="E1020">
        <v>53.970846829262911</v>
      </c>
    </row>
    <row r="1021" spans="1:5" x14ac:dyDescent="0.3">
      <c r="A1021" t="s">
        <v>65</v>
      </c>
      <c r="B1021" t="s">
        <v>76</v>
      </c>
      <c r="C1021" t="s">
        <v>96</v>
      </c>
      <c r="D1021" t="s">
        <v>34</v>
      </c>
      <c r="E1021">
        <v>53.391521727707307</v>
      </c>
    </row>
    <row r="1022" spans="1:5" x14ac:dyDescent="0.3">
      <c r="A1022" t="s">
        <v>65</v>
      </c>
      <c r="B1022" t="s">
        <v>76</v>
      </c>
      <c r="C1022" t="s">
        <v>97</v>
      </c>
      <c r="D1022" t="s">
        <v>34</v>
      </c>
      <c r="E1022">
        <v>57.215653871363948</v>
      </c>
    </row>
    <row r="1023" spans="1:5" x14ac:dyDescent="0.3">
      <c r="A1023" t="s">
        <v>65</v>
      </c>
      <c r="B1023" t="s">
        <v>76</v>
      </c>
      <c r="C1023" t="s">
        <v>98</v>
      </c>
      <c r="D1023" t="s">
        <v>34</v>
      </c>
      <c r="E1023">
        <v>54.507403403925117</v>
      </c>
    </row>
    <row r="1024" spans="1:5" x14ac:dyDescent="0.3">
      <c r="A1024" t="s">
        <v>65</v>
      </c>
      <c r="B1024" t="s">
        <v>0</v>
      </c>
      <c r="C1024" t="s">
        <v>99</v>
      </c>
      <c r="D1024" t="s">
        <v>34</v>
      </c>
      <c r="E1024">
        <v>61.65198812626668</v>
      </c>
    </row>
    <row r="1025" spans="1:5" x14ac:dyDescent="0.3">
      <c r="A1025" t="s">
        <v>65</v>
      </c>
      <c r="B1025" t="s">
        <v>0</v>
      </c>
      <c r="C1025" t="s">
        <v>100</v>
      </c>
      <c r="D1025" t="s">
        <v>34</v>
      </c>
      <c r="E1025">
        <v>65.51418439716312</v>
      </c>
    </row>
    <row r="1026" spans="1:5" x14ac:dyDescent="0.3">
      <c r="A1026" t="s">
        <v>65</v>
      </c>
      <c r="B1026" t="s">
        <v>0</v>
      </c>
      <c r="C1026" t="s">
        <v>101</v>
      </c>
      <c r="D1026" t="s">
        <v>34</v>
      </c>
      <c r="E1026">
        <v>58.445945945945937</v>
      </c>
    </row>
    <row r="1027" spans="1:5" x14ac:dyDescent="0.3">
      <c r="A1027" t="s">
        <v>65</v>
      </c>
      <c r="B1027" t="s">
        <v>0</v>
      </c>
      <c r="C1027" t="s">
        <v>102</v>
      </c>
      <c r="D1027" t="s">
        <v>34</v>
      </c>
      <c r="E1027">
        <v>45.089295650124789</v>
      </c>
    </row>
    <row r="1028" spans="1:5" x14ac:dyDescent="0.3">
      <c r="A1028" t="s">
        <v>65</v>
      </c>
      <c r="B1028" t="s">
        <v>0</v>
      </c>
      <c r="C1028" t="s">
        <v>103</v>
      </c>
      <c r="D1028" t="s">
        <v>34</v>
      </c>
      <c r="E1028">
        <v>58.690183748665248</v>
      </c>
    </row>
    <row r="1029" spans="1:5" x14ac:dyDescent="0.3">
      <c r="A1029" t="s">
        <v>65</v>
      </c>
      <c r="B1029" t="s">
        <v>0</v>
      </c>
      <c r="C1029" t="s">
        <v>104</v>
      </c>
      <c r="D1029" t="s">
        <v>34</v>
      </c>
      <c r="E1029">
        <v>50.976361767728683</v>
      </c>
    </row>
    <row r="1030" spans="1:5" x14ac:dyDescent="0.3">
      <c r="A1030" t="s">
        <v>65</v>
      </c>
      <c r="B1030" t="s">
        <v>0</v>
      </c>
      <c r="C1030" t="s">
        <v>105</v>
      </c>
      <c r="D1030" t="s">
        <v>34</v>
      </c>
      <c r="E1030">
        <v>38.402613940268772</v>
      </c>
    </row>
    <row r="1031" spans="1:5" x14ac:dyDescent="0.3">
      <c r="A1031" t="s">
        <v>65</v>
      </c>
      <c r="B1031" t="s">
        <v>0</v>
      </c>
      <c r="C1031" t="s">
        <v>106</v>
      </c>
      <c r="D1031" t="s">
        <v>34</v>
      </c>
      <c r="E1031">
        <v>44.675324675324667</v>
      </c>
    </row>
    <row r="1032" spans="1:5" x14ac:dyDescent="0.3">
      <c r="A1032" t="s">
        <v>65</v>
      </c>
      <c r="B1032" t="s">
        <v>0</v>
      </c>
      <c r="C1032" t="s">
        <v>107</v>
      </c>
      <c r="D1032" t="s">
        <v>34</v>
      </c>
      <c r="E1032">
        <v>58.176398549215733</v>
      </c>
    </row>
    <row r="1033" spans="1:5" x14ac:dyDescent="0.3">
      <c r="A1033" t="s">
        <v>65</v>
      </c>
      <c r="B1033" t="s">
        <v>0</v>
      </c>
      <c r="C1033" t="s">
        <v>108</v>
      </c>
      <c r="D1033" t="s">
        <v>34</v>
      </c>
      <c r="E1033">
        <v>51.226774112703858</v>
      </c>
    </row>
    <row r="1034" spans="1:5" x14ac:dyDescent="0.3">
      <c r="A1034" t="s">
        <v>65</v>
      </c>
      <c r="B1034" t="s">
        <v>0</v>
      </c>
      <c r="C1034" t="s">
        <v>109</v>
      </c>
      <c r="D1034" t="s">
        <v>34</v>
      </c>
      <c r="E1034">
        <v>61.373390557939913</v>
      </c>
    </row>
    <row r="1035" spans="1:5" x14ac:dyDescent="0.3">
      <c r="A1035" t="s">
        <v>65</v>
      </c>
      <c r="B1035" t="s">
        <v>0</v>
      </c>
      <c r="C1035" t="s">
        <v>110</v>
      </c>
      <c r="D1035" t="s">
        <v>34</v>
      </c>
      <c r="E1035">
        <v>62.039304593112263</v>
      </c>
    </row>
    <row r="1036" spans="1:5" x14ac:dyDescent="0.3">
      <c r="A1036" t="s">
        <v>65</v>
      </c>
      <c r="B1036" t="s">
        <v>0</v>
      </c>
      <c r="C1036" t="s">
        <v>111</v>
      </c>
      <c r="D1036" t="s">
        <v>34</v>
      </c>
      <c r="E1036">
        <v>50.520833333333343</v>
      </c>
    </row>
    <row r="1037" spans="1:5" x14ac:dyDescent="0.3">
      <c r="A1037" t="s">
        <v>65</v>
      </c>
      <c r="B1037" t="s">
        <v>0</v>
      </c>
      <c r="C1037" t="s">
        <v>112</v>
      </c>
      <c r="D1037" t="s">
        <v>34</v>
      </c>
      <c r="E1037">
        <v>62.347826086956523</v>
      </c>
    </row>
    <row r="1038" spans="1:5" x14ac:dyDescent="0.3">
      <c r="A1038" t="s">
        <v>65</v>
      </c>
      <c r="B1038" t="s">
        <v>0</v>
      </c>
      <c r="C1038" t="s">
        <v>113</v>
      </c>
      <c r="D1038" t="s">
        <v>34</v>
      </c>
      <c r="E1038">
        <v>55.649902024820392</v>
      </c>
    </row>
    <row r="1039" spans="1:5" x14ac:dyDescent="0.3">
      <c r="A1039" t="s">
        <v>65</v>
      </c>
      <c r="B1039" t="s">
        <v>0</v>
      </c>
      <c r="C1039" t="s">
        <v>114</v>
      </c>
      <c r="D1039" t="s">
        <v>34</v>
      </c>
      <c r="E1039">
        <v>54.414959753236523</v>
      </c>
    </row>
    <row r="1040" spans="1:5" x14ac:dyDescent="0.3">
      <c r="A1040" t="s">
        <v>65</v>
      </c>
      <c r="B1040" t="s">
        <v>0</v>
      </c>
      <c r="C1040" t="s">
        <v>115</v>
      </c>
      <c r="D1040" t="s">
        <v>34</v>
      </c>
      <c r="E1040">
        <v>60.392506690454951</v>
      </c>
    </row>
    <row r="1041" spans="1:5" x14ac:dyDescent="0.3">
      <c r="A1041" t="s">
        <v>65</v>
      </c>
      <c r="B1041" t="s">
        <v>0</v>
      </c>
      <c r="C1041" t="s">
        <v>116</v>
      </c>
      <c r="D1041" t="s">
        <v>34</v>
      </c>
      <c r="E1041">
        <v>50.146958928015707</v>
      </c>
    </row>
    <row r="1042" spans="1:5" x14ac:dyDescent="0.3">
      <c r="A1042" t="s">
        <v>65</v>
      </c>
      <c r="B1042" t="s">
        <v>69</v>
      </c>
      <c r="C1042" t="s">
        <v>69</v>
      </c>
      <c r="D1042" t="s">
        <v>35</v>
      </c>
      <c r="E1042">
        <v>18.15936313116255</v>
      </c>
    </row>
    <row r="1043" spans="1:5" x14ac:dyDescent="0.3">
      <c r="A1043" t="s">
        <v>65</v>
      </c>
      <c r="B1043" t="s">
        <v>70</v>
      </c>
      <c r="C1043" t="s">
        <v>78</v>
      </c>
      <c r="D1043" t="s">
        <v>35</v>
      </c>
      <c r="E1043">
        <v>15.55514717497036</v>
      </c>
    </row>
    <row r="1044" spans="1:5" x14ac:dyDescent="0.3">
      <c r="A1044" t="s">
        <v>65</v>
      </c>
      <c r="B1044" t="s">
        <v>70</v>
      </c>
      <c r="C1044" t="s">
        <v>79</v>
      </c>
      <c r="D1044" t="s">
        <v>35</v>
      </c>
      <c r="E1044">
        <v>19.780433650330739</v>
      </c>
    </row>
    <row r="1045" spans="1:5" x14ac:dyDescent="0.3">
      <c r="A1045" t="s">
        <v>65</v>
      </c>
      <c r="B1045" t="s">
        <v>70</v>
      </c>
      <c r="C1045" t="s">
        <v>80</v>
      </c>
      <c r="D1045" t="s">
        <v>35</v>
      </c>
      <c r="E1045">
        <v>19.653561714558911</v>
      </c>
    </row>
    <row r="1046" spans="1:5" x14ac:dyDescent="0.3">
      <c r="A1046" t="s">
        <v>65</v>
      </c>
      <c r="B1046" t="s">
        <v>70</v>
      </c>
      <c r="C1046" t="s">
        <v>81</v>
      </c>
      <c r="D1046" t="s">
        <v>35</v>
      </c>
      <c r="E1046">
        <v>14.35178891501938</v>
      </c>
    </row>
    <row r="1047" spans="1:5" x14ac:dyDescent="0.3">
      <c r="A1047" t="s">
        <v>65</v>
      </c>
      <c r="B1047" t="s">
        <v>71</v>
      </c>
      <c r="C1047" t="s">
        <v>82</v>
      </c>
      <c r="D1047" t="s">
        <v>35</v>
      </c>
      <c r="E1047">
        <v>21.355511677240571</v>
      </c>
    </row>
    <row r="1048" spans="1:5" x14ac:dyDescent="0.3">
      <c r="A1048" t="s">
        <v>65</v>
      </c>
      <c r="B1048" t="s">
        <v>71</v>
      </c>
      <c r="C1048" t="s">
        <v>83</v>
      </c>
      <c r="D1048" t="s">
        <v>35</v>
      </c>
      <c r="E1048">
        <v>17.766968208575751</v>
      </c>
    </row>
    <row r="1049" spans="1:5" x14ac:dyDescent="0.3">
      <c r="A1049" t="s">
        <v>65</v>
      </c>
      <c r="B1049" t="s">
        <v>71</v>
      </c>
      <c r="C1049" t="s">
        <v>84</v>
      </c>
      <c r="D1049" t="s">
        <v>35</v>
      </c>
      <c r="E1049">
        <v>16.45452310748556</v>
      </c>
    </row>
    <row r="1050" spans="1:5" x14ac:dyDescent="0.3">
      <c r="A1050" t="s">
        <v>65</v>
      </c>
      <c r="B1050" t="s">
        <v>71</v>
      </c>
      <c r="C1050" t="s">
        <v>85</v>
      </c>
      <c r="D1050" t="s">
        <v>35</v>
      </c>
      <c r="E1050">
        <v>18.751474652793409</v>
      </c>
    </row>
    <row r="1051" spans="1:5" x14ac:dyDescent="0.3">
      <c r="A1051" t="s">
        <v>65</v>
      </c>
      <c r="B1051" t="s">
        <v>72</v>
      </c>
      <c r="C1051" t="s">
        <v>86</v>
      </c>
      <c r="D1051" t="s">
        <v>35</v>
      </c>
      <c r="E1051">
        <v>17.084039093849309</v>
      </c>
    </row>
    <row r="1052" spans="1:5" x14ac:dyDescent="0.3">
      <c r="A1052" t="s">
        <v>65</v>
      </c>
      <c r="B1052" t="s">
        <v>72</v>
      </c>
      <c r="C1052" t="s">
        <v>87</v>
      </c>
      <c r="D1052" t="s">
        <v>35</v>
      </c>
      <c r="E1052">
        <v>19.289374381470299</v>
      </c>
    </row>
    <row r="1053" spans="1:5" x14ac:dyDescent="0.3">
      <c r="A1053" t="s">
        <v>65</v>
      </c>
      <c r="B1053" t="s">
        <v>73</v>
      </c>
      <c r="C1053" t="s">
        <v>88</v>
      </c>
      <c r="D1053" t="s">
        <v>35</v>
      </c>
      <c r="E1053">
        <v>19.046497161849921</v>
      </c>
    </row>
    <row r="1054" spans="1:5" x14ac:dyDescent="0.3">
      <c r="A1054" t="s">
        <v>65</v>
      </c>
      <c r="B1054" t="s">
        <v>73</v>
      </c>
      <c r="C1054" t="s">
        <v>89</v>
      </c>
      <c r="D1054" t="s">
        <v>35</v>
      </c>
      <c r="E1054">
        <v>17.479397936208631</v>
      </c>
    </row>
    <row r="1055" spans="1:5" x14ac:dyDescent="0.3">
      <c r="A1055" t="s">
        <v>65</v>
      </c>
      <c r="B1055" t="s">
        <v>74</v>
      </c>
      <c r="C1055" t="s">
        <v>90</v>
      </c>
      <c r="D1055" t="s">
        <v>35</v>
      </c>
      <c r="E1055">
        <v>17.202033425745029</v>
      </c>
    </row>
    <row r="1056" spans="1:5" x14ac:dyDescent="0.3">
      <c r="A1056" t="s">
        <v>65</v>
      </c>
      <c r="B1056" t="s">
        <v>74</v>
      </c>
      <c r="C1056" t="s">
        <v>91</v>
      </c>
      <c r="D1056" t="s">
        <v>35</v>
      </c>
      <c r="E1056">
        <v>18.592794015570799</v>
      </c>
    </row>
    <row r="1057" spans="1:5" x14ac:dyDescent="0.3">
      <c r="A1057" t="s">
        <v>65</v>
      </c>
      <c r="B1057" t="s">
        <v>75</v>
      </c>
      <c r="C1057" t="s">
        <v>92</v>
      </c>
      <c r="D1057" t="s">
        <v>35</v>
      </c>
      <c r="E1057">
        <v>19.48276465217479</v>
      </c>
    </row>
    <row r="1058" spans="1:5" x14ac:dyDescent="0.3">
      <c r="A1058" t="s">
        <v>65</v>
      </c>
      <c r="B1058" t="s">
        <v>75</v>
      </c>
      <c r="C1058" t="s">
        <v>93</v>
      </c>
      <c r="D1058" t="s">
        <v>35</v>
      </c>
      <c r="E1058">
        <v>18.75923638350617</v>
      </c>
    </row>
    <row r="1059" spans="1:5" x14ac:dyDescent="0.3">
      <c r="A1059" t="s">
        <v>65</v>
      </c>
      <c r="B1059" t="s">
        <v>75</v>
      </c>
      <c r="C1059" t="s">
        <v>94</v>
      </c>
      <c r="D1059" t="s">
        <v>35</v>
      </c>
      <c r="E1059">
        <v>18.53852535563469</v>
      </c>
    </row>
    <row r="1060" spans="1:5" x14ac:dyDescent="0.3">
      <c r="A1060" t="s">
        <v>65</v>
      </c>
      <c r="B1060" t="s">
        <v>75</v>
      </c>
      <c r="C1060" t="s">
        <v>95</v>
      </c>
      <c r="D1060" t="s">
        <v>35</v>
      </c>
      <c r="E1060">
        <v>15.09430624824417</v>
      </c>
    </row>
    <row r="1061" spans="1:5" x14ac:dyDescent="0.3">
      <c r="A1061" t="s">
        <v>65</v>
      </c>
      <c r="B1061" t="s">
        <v>76</v>
      </c>
      <c r="C1061" t="s">
        <v>96</v>
      </c>
      <c r="D1061" t="s">
        <v>35</v>
      </c>
      <c r="E1061">
        <v>18.514967349530991</v>
      </c>
    </row>
    <row r="1062" spans="1:5" x14ac:dyDescent="0.3">
      <c r="A1062" t="s">
        <v>65</v>
      </c>
      <c r="B1062" t="s">
        <v>76</v>
      </c>
      <c r="C1062" t="s">
        <v>97</v>
      </c>
      <c r="D1062" t="s">
        <v>35</v>
      </c>
      <c r="E1062">
        <v>18.67078710050577</v>
      </c>
    </row>
    <row r="1063" spans="1:5" x14ac:dyDescent="0.3">
      <c r="A1063" t="s">
        <v>65</v>
      </c>
      <c r="B1063" t="s">
        <v>76</v>
      </c>
      <c r="C1063" t="s">
        <v>98</v>
      </c>
      <c r="D1063" t="s">
        <v>35</v>
      </c>
      <c r="E1063">
        <v>17.698616492430229</v>
      </c>
    </row>
    <row r="1064" spans="1:5" x14ac:dyDescent="0.3">
      <c r="A1064" t="s">
        <v>65</v>
      </c>
      <c r="B1064" t="s">
        <v>0</v>
      </c>
      <c r="C1064" t="s">
        <v>99</v>
      </c>
      <c r="D1064" t="s">
        <v>35</v>
      </c>
      <c r="E1064">
        <v>15.851943580927269</v>
      </c>
    </row>
    <row r="1065" spans="1:5" x14ac:dyDescent="0.3">
      <c r="A1065" t="s">
        <v>65</v>
      </c>
      <c r="B1065" t="s">
        <v>0</v>
      </c>
      <c r="C1065" t="s">
        <v>100</v>
      </c>
      <c r="D1065" t="s">
        <v>35</v>
      </c>
      <c r="E1065">
        <v>20.656028368794331</v>
      </c>
    </row>
    <row r="1066" spans="1:5" x14ac:dyDescent="0.3">
      <c r="A1066" t="s">
        <v>65</v>
      </c>
      <c r="B1066" t="s">
        <v>0</v>
      </c>
      <c r="C1066" t="s">
        <v>101</v>
      </c>
      <c r="D1066" t="s">
        <v>35</v>
      </c>
      <c r="E1066">
        <v>14.10472972972973</v>
      </c>
    </row>
    <row r="1067" spans="1:5" x14ac:dyDescent="0.3">
      <c r="A1067" t="s">
        <v>65</v>
      </c>
      <c r="B1067" t="s">
        <v>0</v>
      </c>
      <c r="C1067" t="s">
        <v>102</v>
      </c>
      <c r="D1067" t="s">
        <v>35</v>
      </c>
      <c r="E1067">
        <v>5.3194548438443112</v>
      </c>
    </row>
    <row r="1068" spans="1:5" x14ac:dyDescent="0.3">
      <c r="A1068" t="s">
        <v>65</v>
      </c>
      <c r="B1068" t="s">
        <v>0</v>
      </c>
      <c r="C1068" t="s">
        <v>103</v>
      </c>
      <c r="D1068" t="s">
        <v>35</v>
      </c>
      <c r="E1068">
        <v>9.9695757240167762</v>
      </c>
    </row>
    <row r="1069" spans="1:5" x14ac:dyDescent="0.3">
      <c r="A1069" t="s">
        <v>65</v>
      </c>
      <c r="B1069" t="s">
        <v>0</v>
      </c>
      <c r="C1069" t="s">
        <v>104</v>
      </c>
      <c r="D1069" t="s">
        <v>35</v>
      </c>
      <c r="E1069">
        <v>22.096608427543678</v>
      </c>
    </row>
    <row r="1070" spans="1:5" x14ac:dyDescent="0.3">
      <c r="A1070" t="s">
        <v>65</v>
      </c>
      <c r="B1070" t="s">
        <v>0</v>
      </c>
      <c r="C1070" t="s">
        <v>105</v>
      </c>
      <c r="D1070" t="s">
        <v>35</v>
      </c>
      <c r="E1070">
        <v>5.2663775486440993</v>
      </c>
    </row>
    <row r="1071" spans="1:5" x14ac:dyDescent="0.3">
      <c r="A1071" t="s">
        <v>65</v>
      </c>
      <c r="B1071" t="s">
        <v>0</v>
      </c>
      <c r="C1071" t="s">
        <v>106</v>
      </c>
      <c r="D1071" t="s">
        <v>35</v>
      </c>
      <c r="E1071">
        <v>40.865800865800857</v>
      </c>
    </row>
    <row r="1072" spans="1:5" x14ac:dyDescent="0.3">
      <c r="A1072" t="s">
        <v>65</v>
      </c>
      <c r="B1072" t="s">
        <v>0</v>
      </c>
      <c r="C1072" t="s">
        <v>107</v>
      </c>
      <c r="D1072" t="s">
        <v>35</v>
      </c>
      <c r="E1072">
        <v>14.98015997941642</v>
      </c>
    </row>
    <row r="1073" spans="1:5" x14ac:dyDescent="0.3">
      <c r="A1073" t="s">
        <v>65</v>
      </c>
      <c r="B1073" t="s">
        <v>0</v>
      </c>
      <c r="C1073" t="s">
        <v>108</v>
      </c>
      <c r="D1073" t="s">
        <v>35</v>
      </c>
      <c r="E1073">
        <v>8.971274482722583</v>
      </c>
    </row>
    <row r="1074" spans="1:5" x14ac:dyDescent="0.3">
      <c r="A1074" t="s">
        <v>65</v>
      </c>
      <c r="B1074" t="s">
        <v>0</v>
      </c>
      <c r="C1074" t="s">
        <v>109</v>
      </c>
      <c r="D1074" t="s">
        <v>35</v>
      </c>
      <c r="E1074">
        <v>13.39055793991416</v>
      </c>
    </row>
    <row r="1075" spans="1:5" x14ac:dyDescent="0.3">
      <c r="A1075" t="s">
        <v>65</v>
      </c>
      <c r="B1075" t="s">
        <v>0</v>
      </c>
      <c r="C1075" t="s">
        <v>110</v>
      </c>
      <c r="D1075" t="s">
        <v>35</v>
      </c>
      <c r="E1075">
        <v>23.048920926286229</v>
      </c>
    </row>
    <row r="1076" spans="1:5" x14ac:dyDescent="0.3">
      <c r="A1076" t="s">
        <v>65</v>
      </c>
      <c r="B1076" t="s">
        <v>0</v>
      </c>
      <c r="C1076" t="s">
        <v>111</v>
      </c>
      <c r="D1076" t="s">
        <v>35</v>
      </c>
      <c r="E1076">
        <v>27.1875</v>
      </c>
    </row>
    <row r="1077" spans="1:5" x14ac:dyDescent="0.3">
      <c r="A1077" t="s">
        <v>65</v>
      </c>
      <c r="B1077" t="s">
        <v>0</v>
      </c>
      <c r="C1077" t="s">
        <v>112</v>
      </c>
      <c r="D1077" t="s">
        <v>35</v>
      </c>
      <c r="E1077">
        <v>13.04347826086957</v>
      </c>
    </row>
    <row r="1078" spans="1:5" x14ac:dyDescent="0.3">
      <c r="A1078" t="s">
        <v>65</v>
      </c>
      <c r="B1078" t="s">
        <v>0</v>
      </c>
      <c r="C1078" t="s">
        <v>113</v>
      </c>
      <c r="D1078" t="s">
        <v>35</v>
      </c>
      <c r="E1078">
        <v>20.748965817548449</v>
      </c>
    </row>
    <row r="1079" spans="1:5" x14ac:dyDescent="0.3">
      <c r="A1079" t="s">
        <v>65</v>
      </c>
      <c r="B1079" t="s">
        <v>0</v>
      </c>
      <c r="C1079" t="s">
        <v>114</v>
      </c>
      <c r="D1079" t="s">
        <v>35</v>
      </c>
      <c r="E1079">
        <v>15.183306420945261</v>
      </c>
    </row>
    <row r="1080" spans="1:5" x14ac:dyDescent="0.3">
      <c r="A1080" t="s">
        <v>65</v>
      </c>
      <c r="B1080" t="s">
        <v>0</v>
      </c>
      <c r="C1080" t="s">
        <v>115</v>
      </c>
      <c r="D1080" t="s">
        <v>35</v>
      </c>
      <c r="E1080">
        <v>27.564674397859061</v>
      </c>
    </row>
    <row r="1081" spans="1:5" x14ac:dyDescent="0.3">
      <c r="A1081" t="s">
        <v>65</v>
      </c>
      <c r="B1081" t="s">
        <v>0</v>
      </c>
      <c r="C1081" t="s">
        <v>116</v>
      </c>
      <c r="D1081" t="s">
        <v>35</v>
      </c>
      <c r="E1081">
        <v>28.883142268545939</v>
      </c>
    </row>
    <row r="1082" spans="1:5" x14ac:dyDescent="0.3">
      <c r="A1082" t="s">
        <v>65</v>
      </c>
      <c r="B1082" t="s">
        <v>69</v>
      </c>
      <c r="C1082" t="s">
        <v>69</v>
      </c>
      <c r="D1082" t="s">
        <v>36</v>
      </c>
      <c r="E1082">
        <v>2.2791213330895839</v>
      </c>
    </row>
    <row r="1083" spans="1:5" x14ac:dyDescent="0.3">
      <c r="A1083" t="s">
        <v>65</v>
      </c>
      <c r="B1083" t="s">
        <v>70</v>
      </c>
      <c r="C1083" t="s">
        <v>78</v>
      </c>
      <c r="D1083" t="s">
        <v>36</v>
      </c>
      <c r="E1083">
        <v>2.3660234998096579</v>
      </c>
    </row>
    <row r="1084" spans="1:5" x14ac:dyDescent="0.3">
      <c r="A1084" t="s">
        <v>65</v>
      </c>
      <c r="B1084" t="s">
        <v>70</v>
      </c>
      <c r="C1084" t="s">
        <v>79</v>
      </c>
      <c r="D1084" t="s">
        <v>36</v>
      </c>
      <c r="E1084">
        <v>2.3963549694917341</v>
      </c>
    </row>
    <row r="1085" spans="1:5" x14ac:dyDescent="0.3">
      <c r="A1085" t="s">
        <v>65</v>
      </c>
      <c r="B1085" t="s">
        <v>70</v>
      </c>
      <c r="C1085" t="s">
        <v>80</v>
      </c>
      <c r="D1085" t="s">
        <v>36</v>
      </c>
      <c r="E1085">
        <v>1.872010936354648</v>
      </c>
    </row>
    <row r="1086" spans="1:5" x14ac:dyDescent="0.3">
      <c r="A1086" t="s">
        <v>65</v>
      </c>
      <c r="B1086" t="s">
        <v>70</v>
      </c>
      <c r="C1086" t="s">
        <v>81</v>
      </c>
      <c r="D1086" t="s">
        <v>36</v>
      </c>
      <c r="E1086">
        <v>2.4185551057844039</v>
      </c>
    </row>
    <row r="1087" spans="1:5" x14ac:dyDescent="0.3">
      <c r="A1087" t="s">
        <v>65</v>
      </c>
      <c r="B1087" t="s">
        <v>71</v>
      </c>
      <c r="C1087" t="s">
        <v>82</v>
      </c>
      <c r="D1087" t="s">
        <v>36</v>
      </c>
      <c r="E1087">
        <v>2.474518589618937</v>
      </c>
    </row>
    <row r="1088" spans="1:5" x14ac:dyDescent="0.3">
      <c r="A1088" t="s">
        <v>65</v>
      </c>
      <c r="B1088" t="s">
        <v>71</v>
      </c>
      <c r="C1088" t="s">
        <v>83</v>
      </c>
      <c r="D1088" t="s">
        <v>36</v>
      </c>
      <c r="E1088">
        <v>2.1271017607164779</v>
      </c>
    </row>
    <row r="1089" spans="1:5" x14ac:dyDescent="0.3">
      <c r="A1089" t="s">
        <v>65</v>
      </c>
      <c r="B1089" t="s">
        <v>71</v>
      </c>
      <c r="C1089" t="s">
        <v>84</v>
      </c>
      <c r="D1089" t="s">
        <v>36</v>
      </c>
      <c r="E1089">
        <v>2.5087092854637478</v>
      </c>
    </row>
    <row r="1090" spans="1:5" x14ac:dyDescent="0.3">
      <c r="A1090" t="s">
        <v>65</v>
      </c>
      <c r="B1090" t="s">
        <v>71</v>
      </c>
      <c r="C1090" t="s">
        <v>85</v>
      </c>
      <c r="D1090" t="s">
        <v>36</v>
      </c>
      <c r="E1090">
        <v>1.659659144975866</v>
      </c>
    </row>
    <row r="1091" spans="1:5" x14ac:dyDescent="0.3">
      <c r="A1091" t="s">
        <v>65</v>
      </c>
      <c r="B1091" t="s">
        <v>72</v>
      </c>
      <c r="C1091" t="s">
        <v>86</v>
      </c>
      <c r="D1091" t="s">
        <v>36</v>
      </c>
      <c r="E1091">
        <v>2.1483782774837881</v>
      </c>
    </row>
    <row r="1092" spans="1:5" x14ac:dyDescent="0.3">
      <c r="A1092" t="s">
        <v>65</v>
      </c>
      <c r="B1092" t="s">
        <v>72</v>
      </c>
      <c r="C1092" t="s">
        <v>87</v>
      </c>
      <c r="D1092" t="s">
        <v>36</v>
      </c>
      <c r="E1092">
        <v>2.4165135224275089</v>
      </c>
    </row>
    <row r="1093" spans="1:5" x14ac:dyDescent="0.3">
      <c r="A1093" t="s">
        <v>65</v>
      </c>
      <c r="B1093" t="s">
        <v>73</v>
      </c>
      <c r="C1093" t="s">
        <v>88</v>
      </c>
      <c r="D1093" t="s">
        <v>36</v>
      </c>
      <c r="E1093">
        <v>2.4105087810474282</v>
      </c>
    </row>
    <row r="1094" spans="1:5" x14ac:dyDescent="0.3">
      <c r="A1094" t="s">
        <v>65</v>
      </c>
      <c r="B1094" t="s">
        <v>73</v>
      </c>
      <c r="C1094" t="s">
        <v>89</v>
      </c>
      <c r="D1094" t="s">
        <v>36</v>
      </c>
      <c r="E1094">
        <v>2.19586868418236</v>
      </c>
    </row>
    <row r="1095" spans="1:5" x14ac:dyDescent="0.3">
      <c r="A1095" t="s">
        <v>65</v>
      </c>
      <c r="B1095" t="s">
        <v>74</v>
      </c>
      <c r="C1095" t="s">
        <v>90</v>
      </c>
      <c r="D1095" t="s">
        <v>36</v>
      </c>
      <c r="E1095">
        <v>2.3523602918115358</v>
      </c>
    </row>
    <row r="1096" spans="1:5" x14ac:dyDescent="0.3">
      <c r="A1096" t="s">
        <v>65</v>
      </c>
      <c r="B1096" t="s">
        <v>74</v>
      </c>
      <c r="C1096" t="s">
        <v>91</v>
      </c>
      <c r="D1096" t="s">
        <v>36</v>
      </c>
      <c r="E1096">
        <v>2.2379108378275272</v>
      </c>
    </row>
    <row r="1097" spans="1:5" x14ac:dyDescent="0.3">
      <c r="A1097" t="s">
        <v>65</v>
      </c>
      <c r="B1097" t="s">
        <v>75</v>
      </c>
      <c r="C1097" t="s">
        <v>92</v>
      </c>
      <c r="D1097" t="s">
        <v>36</v>
      </c>
      <c r="E1097">
        <v>2.2493977378879411</v>
      </c>
    </row>
    <row r="1098" spans="1:5" x14ac:dyDescent="0.3">
      <c r="A1098" t="s">
        <v>65</v>
      </c>
      <c r="B1098" t="s">
        <v>75</v>
      </c>
      <c r="C1098" t="s">
        <v>93</v>
      </c>
      <c r="D1098" t="s">
        <v>36</v>
      </c>
      <c r="E1098">
        <v>2.2498393428553078</v>
      </c>
    </row>
    <row r="1099" spans="1:5" x14ac:dyDescent="0.3">
      <c r="A1099" t="s">
        <v>65</v>
      </c>
      <c r="B1099" t="s">
        <v>75</v>
      </c>
      <c r="C1099" t="s">
        <v>94</v>
      </c>
      <c r="D1099" t="s">
        <v>36</v>
      </c>
      <c r="E1099">
        <v>2.7350730115231889</v>
      </c>
    </row>
    <row r="1100" spans="1:5" x14ac:dyDescent="0.3">
      <c r="A1100" t="s">
        <v>65</v>
      </c>
      <c r="B1100" t="s">
        <v>75</v>
      </c>
      <c r="C1100" t="s">
        <v>95</v>
      </c>
      <c r="D1100" t="s">
        <v>36</v>
      </c>
      <c r="E1100">
        <v>2.2998248925261731</v>
      </c>
    </row>
    <row r="1101" spans="1:5" x14ac:dyDescent="0.3">
      <c r="A1101" t="s">
        <v>65</v>
      </c>
      <c r="B1101" t="s">
        <v>76</v>
      </c>
      <c r="C1101" t="s">
        <v>96</v>
      </c>
      <c r="D1101" t="s">
        <v>36</v>
      </c>
      <c r="E1101">
        <v>2.3220118857121328</v>
      </c>
    </row>
    <row r="1102" spans="1:5" x14ac:dyDescent="0.3">
      <c r="A1102" t="s">
        <v>65</v>
      </c>
      <c r="B1102" t="s">
        <v>76</v>
      </c>
      <c r="C1102" t="s">
        <v>97</v>
      </c>
      <c r="D1102" t="s">
        <v>36</v>
      </c>
      <c r="E1102">
        <v>2.0979523688792621</v>
      </c>
    </row>
    <row r="1103" spans="1:5" x14ac:dyDescent="0.3">
      <c r="A1103" t="s">
        <v>65</v>
      </c>
      <c r="B1103" t="s">
        <v>76</v>
      </c>
      <c r="C1103" t="s">
        <v>98</v>
      </c>
      <c r="D1103" t="s">
        <v>36</v>
      </c>
      <c r="E1103">
        <v>2.370453271143087</v>
      </c>
    </row>
    <row r="1104" spans="1:5" x14ac:dyDescent="0.3">
      <c r="A1104" t="s">
        <v>65</v>
      </c>
      <c r="B1104" t="s">
        <v>0</v>
      </c>
      <c r="C1104" t="s">
        <v>99</v>
      </c>
      <c r="D1104" t="s">
        <v>36</v>
      </c>
      <c r="E1104">
        <v>0.48595155245092542</v>
      </c>
    </row>
    <row r="1105" spans="1:5" x14ac:dyDescent="0.3">
      <c r="A1105" t="s">
        <v>65</v>
      </c>
      <c r="B1105" t="s">
        <v>0</v>
      </c>
      <c r="C1105" t="s">
        <v>100</v>
      </c>
      <c r="D1105" t="s">
        <v>36</v>
      </c>
      <c r="E1105">
        <v>1.24113475177305</v>
      </c>
    </row>
    <row r="1106" spans="1:5" x14ac:dyDescent="0.3">
      <c r="A1106" t="s">
        <v>65</v>
      </c>
      <c r="B1106" t="s">
        <v>0</v>
      </c>
      <c r="C1106" t="s">
        <v>101</v>
      </c>
      <c r="D1106" t="s">
        <v>36</v>
      </c>
      <c r="E1106">
        <v>0.7601351351351352</v>
      </c>
    </row>
    <row r="1107" spans="1:5" x14ac:dyDescent="0.3">
      <c r="A1107" t="s">
        <v>65</v>
      </c>
      <c r="B1107" t="s">
        <v>0</v>
      </c>
      <c r="C1107" t="s">
        <v>102</v>
      </c>
      <c r="D1107" t="s">
        <v>36</v>
      </c>
      <c r="E1107">
        <v>0.5944431634822529</v>
      </c>
    </row>
    <row r="1108" spans="1:5" x14ac:dyDescent="0.3">
      <c r="A1108" t="s">
        <v>65</v>
      </c>
      <c r="B1108" t="s">
        <v>0</v>
      </c>
      <c r="C1108" t="s">
        <v>103</v>
      </c>
      <c r="D1108" t="s">
        <v>36</v>
      </c>
      <c r="E1108">
        <v>2.2084371281896269</v>
      </c>
    </row>
    <row r="1109" spans="1:5" x14ac:dyDescent="0.3">
      <c r="A1109" t="s">
        <v>65</v>
      </c>
      <c r="B1109" t="s">
        <v>0</v>
      </c>
      <c r="C1109" t="s">
        <v>104</v>
      </c>
      <c r="D1109" t="s">
        <v>36</v>
      </c>
      <c r="E1109">
        <v>2.4665981500513872</v>
      </c>
    </row>
    <row r="1110" spans="1:5" x14ac:dyDescent="0.3">
      <c r="A1110" t="s">
        <v>65</v>
      </c>
      <c r="B1110" t="s">
        <v>0</v>
      </c>
      <c r="C1110" t="s">
        <v>105</v>
      </c>
      <c r="D1110" t="s">
        <v>36</v>
      </c>
      <c r="E1110">
        <v>2.3153225593775582</v>
      </c>
    </row>
    <row r="1111" spans="1:5" x14ac:dyDescent="0.3">
      <c r="A1111" t="s">
        <v>65</v>
      </c>
      <c r="B1111" t="s">
        <v>0</v>
      </c>
      <c r="C1111" t="s">
        <v>106</v>
      </c>
      <c r="D1111" t="s">
        <v>36</v>
      </c>
      <c r="E1111">
        <v>3.5497835497835499</v>
      </c>
    </row>
    <row r="1112" spans="1:5" x14ac:dyDescent="0.3">
      <c r="A1112" t="s">
        <v>65</v>
      </c>
      <c r="B1112" t="s">
        <v>0</v>
      </c>
      <c r="C1112" t="s">
        <v>107</v>
      </c>
      <c r="D1112" t="s">
        <v>36</v>
      </c>
      <c r="E1112">
        <v>1.8423692697615439</v>
      </c>
    </row>
    <row r="1113" spans="1:5" x14ac:dyDescent="0.3">
      <c r="A1113" t="s">
        <v>65</v>
      </c>
      <c r="B1113" t="s">
        <v>0</v>
      </c>
      <c r="C1113" t="s">
        <v>108</v>
      </c>
      <c r="D1113" t="s">
        <v>36</v>
      </c>
      <c r="E1113">
        <v>3.3867640804427608</v>
      </c>
    </row>
    <row r="1114" spans="1:5" x14ac:dyDescent="0.3">
      <c r="A1114" t="s">
        <v>65</v>
      </c>
      <c r="B1114" t="s">
        <v>0</v>
      </c>
      <c r="C1114" t="s">
        <v>109</v>
      </c>
      <c r="D1114" t="s">
        <v>36</v>
      </c>
      <c r="E1114">
        <v>1.8884120171673819</v>
      </c>
    </row>
    <row r="1115" spans="1:5" x14ac:dyDescent="0.3">
      <c r="A1115" t="s">
        <v>65</v>
      </c>
      <c r="B1115" t="s">
        <v>0</v>
      </c>
      <c r="C1115" t="s">
        <v>110</v>
      </c>
      <c r="D1115" t="s">
        <v>36</v>
      </c>
      <c r="E1115">
        <v>4.2479526924566819</v>
      </c>
    </row>
    <row r="1116" spans="1:5" x14ac:dyDescent="0.3">
      <c r="A1116" t="s">
        <v>65</v>
      </c>
      <c r="B1116" t="s">
        <v>0</v>
      </c>
      <c r="C1116" t="s">
        <v>111</v>
      </c>
      <c r="D1116" t="s">
        <v>36</v>
      </c>
      <c r="E1116">
        <v>6.666666666666667</v>
      </c>
    </row>
    <row r="1117" spans="1:5" x14ac:dyDescent="0.3">
      <c r="A1117" t="s">
        <v>65</v>
      </c>
      <c r="B1117" t="s">
        <v>0</v>
      </c>
      <c r="C1117" t="s">
        <v>112</v>
      </c>
      <c r="D1117" t="s">
        <v>36</v>
      </c>
      <c r="E1117">
        <v>1.130434782608696</v>
      </c>
    </row>
    <row r="1118" spans="1:5" x14ac:dyDescent="0.3">
      <c r="A1118" t="s">
        <v>65</v>
      </c>
      <c r="B1118" t="s">
        <v>0</v>
      </c>
      <c r="C1118" t="s">
        <v>113</v>
      </c>
      <c r="D1118" t="s">
        <v>36</v>
      </c>
      <c r="E1118">
        <v>2.003048116699325</v>
      </c>
    </row>
    <row r="1119" spans="1:5" x14ac:dyDescent="0.3">
      <c r="A1119" t="s">
        <v>65</v>
      </c>
      <c r="B1119" t="s">
        <v>0</v>
      </c>
      <c r="C1119" t="s">
        <v>114</v>
      </c>
      <c r="D1119" t="s">
        <v>36</v>
      </c>
      <c r="E1119">
        <v>3.2302663166412779</v>
      </c>
    </row>
    <row r="1120" spans="1:5" x14ac:dyDescent="0.3">
      <c r="A1120" t="s">
        <v>65</v>
      </c>
      <c r="B1120" t="s">
        <v>0</v>
      </c>
      <c r="C1120" t="s">
        <v>115</v>
      </c>
      <c r="D1120" t="s">
        <v>36</v>
      </c>
      <c r="E1120">
        <v>0.89206066012488849</v>
      </c>
    </row>
    <row r="1121" spans="1:5" x14ac:dyDescent="0.3">
      <c r="A1121" t="s">
        <v>65</v>
      </c>
      <c r="B1121" t="s">
        <v>0</v>
      </c>
      <c r="C1121" t="s">
        <v>116</v>
      </c>
      <c r="D1121" t="s">
        <v>36</v>
      </c>
      <c r="E1121">
        <v>3.7664635271691091</v>
      </c>
    </row>
    <row r="1122" spans="1:5" x14ac:dyDescent="0.3">
      <c r="A1122" t="s">
        <v>66</v>
      </c>
      <c r="B1122" t="s">
        <v>69</v>
      </c>
      <c r="C1122" t="s">
        <v>69</v>
      </c>
      <c r="D1122" t="s">
        <v>33</v>
      </c>
      <c r="E1122">
        <v>25.94435917130988</v>
      </c>
    </row>
    <row r="1123" spans="1:5" x14ac:dyDescent="0.3">
      <c r="A1123" t="s">
        <v>66</v>
      </c>
      <c r="B1123" t="s">
        <v>70</v>
      </c>
      <c r="C1123" t="s">
        <v>78</v>
      </c>
      <c r="D1123" t="s">
        <v>33</v>
      </c>
      <c r="E1123">
        <v>25.952903188170019</v>
      </c>
    </row>
    <row r="1124" spans="1:5" x14ac:dyDescent="0.3">
      <c r="A1124" t="s">
        <v>66</v>
      </c>
      <c r="B1124" t="s">
        <v>70</v>
      </c>
      <c r="C1124" t="s">
        <v>79</v>
      </c>
      <c r="D1124" t="s">
        <v>33</v>
      </c>
      <c r="E1124">
        <v>26.747999136248751</v>
      </c>
    </row>
    <row r="1125" spans="1:5" x14ac:dyDescent="0.3">
      <c r="A1125" t="s">
        <v>66</v>
      </c>
      <c r="B1125" t="s">
        <v>70</v>
      </c>
      <c r="C1125" t="s">
        <v>80</v>
      </c>
      <c r="D1125" t="s">
        <v>33</v>
      </c>
      <c r="E1125">
        <v>24.71093808531894</v>
      </c>
    </row>
    <row r="1126" spans="1:5" x14ac:dyDescent="0.3">
      <c r="A1126" t="s">
        <v>66</v>
      </c>
      <c r="B1126" t="s">
        <v>70</v>
      </c>
      <c r="C1126" t="s">
        <v>81</v>
      </c>
      <c r="D1126" t="s">
        <v>33</v>
      </c>
      <c r="E1126">
        <v>25.453031465254661</v>
      </c>
    </row>
    <row r="1127" spans="1:5" x14ac:dyDescent="0.3">
      <c r="A1127" t="s">
        <v>66</v>
      </c>
      <c r="B1127" t="s">
        <v>71</v>
      </c>
      <c r="C1127" t="s">
        <v>82</v>
      </c>
      <c r="D1127" t="s">
        <v>33</v>
      </c>
      <c r="E1127">
        <v>22.92059095285175</v>
      </c>
    </row>
    <row r="1128" spans="1:5" x14ac:dyDescent="0.3">
      <c r="A1128" t="s">
        <v>66</v>
      </c>
      <c r="B1128" t="s">
        <v>71</v>
      </c>
      <c r="C1128" t="s">
        <v>83</v>
      </c>
      <c r="D1128" t="s">
        <v>33</v>
      </c>
      <c r="E1128">
        <v>26.933027199166801</v>
      </c>
    </row>
    <row r="1129" spans="1:5" x14ac:dyDescent="0.3">
      <c r="A1129" t="s">
        <v>66</v>
      </c>
      <c r="B1129" t="s">
        <v>71</v>
      </c>
      <c r="C1129" t="s">
        <v>84</v>
      </c>
      <c r="D1129" t="s">
        <v>33</v>
      </c>
      <c r="E1129">
        <v>26.99923623433914</v>
      </c>
    </row>
    <row r="1130" spans="1:5" x14ac:dyDescent="0.3">
      <c r="A1130" t="s">
        <v>66</v>
      </c>
      <c r="B1130" t="s">
        <v>71</v>
      </c>
      <c r="C1130" t="s">
        <v>85</v>
      </c>
      <c r="D1130" t="s">
        <v>33</v>
      </c>
      <c r="E1130">
        <v>24.939414717606841</v>
      </c>
    </row>
    <row r="1131" spans="1:5" x14ac:dyDescent="0.3">
      <c r="A1131" t="s">
        <v>66</v>
      </c>
      <c r="B1131" t="s">
        <v>72</v>
      </c>
      <c r="C1131" t="s">
        <v>86</v>
      </c>
      <c r="D1131" t="s">
        <v>33</v>
      </c>
      <c r="E1131">
        <v>25.733776778618061</v>
      </c>
    </row>
    <row r="1132" spans="1:5" x14ac:dyDescent="0.3">
      <c r="A1132" t="s">
        <v>66</v>
      </c>
      <c r="B1132" t="s">
        <v>72</v>
      </c>
      <c r="C1132" t="s">
        <v>87</v>
      </c>
      <c r="D1132" t="s">
        <v>33</v>
      </c>
      <c r="E1132">
        <v>26.162979132392831</v>
      </c>
    </row>
    <row r="1133" spans="1:5" x14ac:dyDescent="0.3">
      <c r="A1133" t="s">
        <v>66</v>
      </c>
      <c r="B1133" t="s">
        <v>73</v>
      </c>
      <c r="C1133" t="s">
        <v>88</v>
      </c>
      <c r="D1133" t="s">
        <v>33</v>
      </c>
      <c r="E1133">
        <v>24.927470854822769</v>
      </c>
    </row>
    <row r="1134" spans="1:5" x14ac:dyDescent="0.3">
      <c r="A1134" t="s">
        <v>66</v>
      </c>
      <c r="B1134" t="s">
        <v>73</v>
      </c>
      <c r="C1134" t="s">
        <v>89</v>
      </c>
      <c r="D1134" t="s">
        <v>33</v>
      </c>
      <c r="E1134">
        <v>26.71587789627468</v>
      </c>
    </row>
    <row r="1135" spans="1:5" x14ac:dyDescent="0.3">
      <c r="A1135" t="s">
        <v>66</v>
      </c>
      <c r="B1135" t="s">
        <v>74</v>
      </c>
      <c r="C1135" t="s">
        <v>90</v>
      </c>
      <c r="D1135" t="s">
        <v>33</v>
      </c>
      <c r="E1135">
        <v>26.210394987433361</v>
      </c>
    </row>
    <row r="1136" spans="1:5" x14ac:dyDescent="0.3">
      <c r="A1136" t="s">
        <v>66</v>
      </c>
      <c r="B1136" t="s">
        <v>74</v>
      </c>
      <c r="C1136" t="s">
        <v>91</v>
      </c>
      <c r="D1136" t="s">
        <v>33</v>
      </c>
      <c r="E1136">
        <v>25.883241018265139</v>
      </c>
    </row>
    <row r="1137" spans="1:5" x14ac:dyDescent="0.3">
      <c r="A1137" t="s">
        <v>66</v>
      </c>
      <c r="B1137" t="s">
        <v>75</v>
      </c>
      <c r="C1137" t="s">
        <v>92</v>
      </c>
      <c r="D1137" t="s">
        <v>33</v>
      </c>
      <c r="E1137">
        <v>25.852896621962969</v>
      </c>
    </row>
    <row r="1138" spans="1:5" x14ac:dyDescent="0.3">
      <c r="A1138" t="s">
        <v>66</v>
      </c>
      <c r="B1138" t="s">
        <v>75</v>
      </c>
      <c r="C1138" t="s">
        <v>93</v>
      </c>
      <c r="D1138" t="s">
        <v>33</v>
      </c>
      <c r="E1138">
        <v>26.63297255266265</v>
      </c>
    </row>
    <row r="1139" spans="1:5" x14ac:dyDescent="0.3">
      <c r="A1139" t="s">
        <v>66</v>
      </c>
      <c r="B1139" t="s">
        <v>75</v>
      </c>
      <c r="C1139" t="s">
        <v>94</v>
      </c>
      <c r="D1139" t="s">
        <v>33</v>
      </c>
      <c r="E1139">
        <v>25.78833222259847</v>
      </c>
    </row>
    <row r="1140" spans="1:5" x14ac:dyDescent="0.3">
      <c r="A1140" t="s">
        <v>66</v>
      </c>
      <c r="B1140" t="s">
        <v>75</v>
      </c>
      <c r="C1140" t="s">
        <v>95</v>
      </c>
      <c r="D1140" t="s">
        <v>33</v>
      </c>
      <c r="E1140">
        <v>28.077974345862479</v>
      </c>
    </row>
    <row r="1141" spans="1:5" x14ac:dyDescent="0.3">
      <c r="A1141" t="s">
        <v>66</v>
      </c>
      <c r="B1141" t="s">
        <v>76</v>
      </c>
      <c r="C1141" t="s">
        <v>96</v>
      </c>
      <c r="D1141" t="s">
        <v>33</v>
      </c>
      <c r="E1141">
        <v>26.38788402032856</v>
      </c>
    </row>
    <row r="1142" spans="1:5" x14ac:dyDescent="0.3">
      <c r="A1142" t="s">
        <v>66</v>
      </c>
      <c r="B1142" t="s">
        <v>76</v>
      </c>
      <c r="C1142" t="s">
        <v>97</v>
      </c>
      <c r="D1142" t="s">
        <v>33</v>
      </c>
      <c r="E1142">
        <v>26.293370037775851</v>
      </c>
    </row>
    <row r="1143" spans="1:5" x14ac:dyDescent="0.3">
      <c r="A1143" t="s">
        <v>66</v>
      </c>
      <c r="B1143" t="s">
        <v>76</v>
      </c>
      <c r="C1143" t="s">
        <v>98</v>
      </c>
      <c r="D1143" t="s">
        <v>33</v>
      </c>
      <c r="E1143">
        <v>25.571591781339571</v>
      </c>
    </row>
    <row r="1144" spans="1:5" x14ac:dyDescent="0.3">
      <c r="A1144" t="s">
        <v>66</v>
      </c>
      <c r="B1144" t="s">
        <v>0</v>
      </c>
      <c r="C1144" t="s">
        <v>99</v>
      </c>
      <c r="D1144" t="s">
        <v>33</v>
      </c>
      <c r="E1144">
        <v>19.249293746831562</v>
      </c>
    </row>
    <row r="1145" spans="1:5" x14ac:dyDescent="0.3">
      <c r="A1145" t="s">
        <v>66</v>
      </c>
      <c r="B1145" t="s">
        <v>0</v>
      </c>
      <c r="C1145" t="s">
        <v>100</v>
      </c>
      <c r="D1145" t="s">
        <v>33</v>
      </c>
      <c r="E1145">
        <v>11.753731343283579</v>
      </c>
    </row>
    <row r="1146" spans="1:5" x14ac:dyDescent="0.3">
      <c r="A1146" t="s">
        <v>66</v>
      </c>
      <c r="B1146" t="s">
        <v>0</v>
      </c>
      <c r="C1146" t="s">
        <v>101</v>
      </c>
      <c r="D1146" t="s">
        <v>33</v>
      </c>
      <c r="E1146">
        <v>33.073593073593067</v>
      </c>
    </row>
    <row r="1147" spans="1:5" x14ac:dyDescent="0.3">
      <c r="A1147" t="s">
        <v>66</v>
      </c>
      <c r="B1147" t="s">
        <v>0</v>
      </c>
      <c r="C1147" t="s">
        <v>102</v>
      </c>
      <c r="D1147" t="s">
        <v>33</v>
      </c>
      <c r="E1147">
        <v>53.471696914150478</v>
      </c>
    </row>
    <row r="1148" spans="1:5" x14ac:dyDescent="0.3">
      <c r="A1148" t="s">
        <v>66</v>
      </c>
      <c r="B1148" t="s">
        <v>0</v>
      </c>
      <c r="C1148" t="s">
        <v>103</v>
      </c>
      <c r="D1148" t="s">
        <v>33</v>
      </c>
      <c r="E1148">
        <v>36.083833759630508</v>
      </c>
    </row>
    <row r="1149" spans="1:5" x14ac:dyDescent="0.3">
      <c r="A1149" t="s">
        <v>66</v>
      </c>
      <c r="B1149" t="s">
        <v>0</v>
      </c>
      <c r="C1149" t="s">
        <v>104</v>
      </c>
      <c r="D1149" t="s">
        <v>33</v>
      </c>
      <c r="E1149">
        <v>36.441586280814583</v>
      </c>
    </row>
    <row r="1150" spans="1:5" x14ac:dyDescent="0.3">
      <c r="A1150" t="s">
        <v>66</v>
      </c>
      <c r="B1150" t="s">
        <v>0</v>
      </c>
      <c r="C1150" t="s">
        <v>105</v>
      </c>
      <c r="D1150" t="s">
        <v>33</v>
      </c>
      <c r="E1150">
        <v>24.704918855894679</v>
      </c>
    </row>
    <row r="1151" spans="1:5" x14ac:dyDescent="0.3">
      <c r="A1151" t="s">
        <v>66</v>
      </c>
      <c r="B1151" t="s">
        <v>0</v>
      </c>
      <c r="C1151" t="s">
        <v>106</v>
      </c>
      <c r="D1151" t="s">
        <v>33</v>
      </c>
      <c r="E1151">
        <v>8.2819383259911898</v>
      </c>
    </row>
    <row r="1152" spans="1:5" x14ac:dyDescent="0.3">
      <c r="A1152" t="s">
        <v>66</v>
      </c>
      <c r="B1152" t="s">
        <v>0</v>
      </c>
      <c r="C1152" t="s">
        <v>107</v>
      </c>
      <c r="D1152" t="s">
        <v>33</v>
      </c>
      <c r="E1152">
        <v>28.861827056305408</v>
      </c>
    </row>
    <row r="1153" spans="1:5" x14ac:dyDescent="0.3">
      <c r="A1153" t="s">
        <v>66</v>
      </c>
      <c r="B1153" t="s">
        <v>0</v>
      </c>
      <c r="C1153" t="s">
        <v>108</v>
      </c>
      <c r="D1153" t="s">
        <v>33</v>
      </c>
      <c r="E1153">
        <v>36.787528779608699</v>
      </c>
    </row>
    <row r="1154" spans="1:5" x14ac:dyDescent="0.3">
      <c r="A1154" t="s">
        <v>66</v>
      </c>
      <c r="B1154" t="s">
        <v>0</v>
      </c>
      <c r="C1154" t="s">
        <v>109</v>
      </c>
      <c r="D1154" t="s">
        <v>33</v>
      </c>
      <c r="E1154">
        <v>34.446397188049211</v>
      </c>
    </row>
    <row r="1155" spans="1:5" x14ac:dyDescent="0.3">
      <c r="A1155" t="s">
        <v>66</v>
      </c>
      <c r="B1155" t="s">
        <v>0</v>
      </c>
      <c r="C1155" t="s">
        <v>110</v>
      </c>
      <c r="D1155" t="s">
        <v>33</v>
      </c>
      <c r="E1155">
        <v>9.4173277429325228</v>
      </c>
    </row>
    <row r="1156" spans="1:5" x14ac:dyDescent="0.3">
      <c r="A1156" t="s">
        <v>66</v>
      </c>
      <c r="B1156" t="s">
        <v>0</v>
      </c>
      <c r="C1156" t="s">
        <v>111</v>
      </c>
      <c r="D1156" t="s">
        <v>33</v>
      </c>
      <c r="E1156">
        <v>21.670190274841438</v>
      </c>
    </row>
    <row r="1157" spans="1:5" x14ac:dyDescent="0.3">
      <c r="A1157" t="s">
        <v>66</v>
      </c>
      <c r="B1157" t="s">
        <v>0</v>
      </c>
      <c r="C1157" t="s">
        <v>112</v>
      </c>
      <c r="D1157" t="s">
        <v>33</v>
      </c>
      <c r="E1157">
        <v>18.710832587287381</v>
      </c>
    </row>
    <row r="1158" spans="1:5" x14ac:dyDescent="0.3">
      <c r="A1158" t="s">
        <v>66</v>
      </c>
      <c r="B1158" t="s">
        <v>0</v>
      </c>
      <c r="C1158" t="s">
        <v>113</v>
      </c>
      <c r="D1158" t="s">
        <v>33</v>
      </c>
      <c r="E1158">
        <v>43.138514236780132</v>
      </c>
    </row>
    <row r="1159" spans="1:5" x14ac:dyDescent="0.3">
      <c r="A1159" t="s">
        <v>66</v>
      </c>
      <c r="B1159" t="s">
        <v>0</v>
      </c>
      <c r="C1159" t="s">
        <v>114</v>
      </c>
      <c r="D1159" t="s">
        <v>33</v>
      </c>
      <c r="E1159">
        <v>11.03574342059124</v>
      </c>
    </row>
    <row r="1160" spans="1:5" x14ac:dyDescent="0.3">
      <c r="A1160" t="s">
        <v>66</v>
      </c>
      <c r="B1160" t="s">
        <v>0</v>
      </c>
      <c r="C1160" t="s">
        <v>115</v>
      </c>
      <c r="D1160" t="s">
        <v>33</v>
      </c>
      <c r="E1160">
        <v>11.511423550087869</v>
      </c>
    </row>
    <row r="1161" spans="1:5" x14ac:dyDescent="0.3">
      <c r="A1161" t="s">
        <v>66</v>
      </c>
      <c r="B1161" t="s">
        <v>0</v>
      </c>
      <c r="C1161" t="s">
        <v>116</v>
      </c>
      <c r="D1161" t="s">
        <v>33</v>
      </c>
      <c r="E1161">
        <v>22.832618025751071</v>
      </c>
    </row>
    <row r="1162" spans="1:5" x14ac:dyDescent="0.3">
      <c r="A1162" t="s">
        <v>66</v>
      </c>
      <c r="B1162" t="s">
        <v>69</v>
      </c>
      <c r="C1162" t="s">
        <v>69</v>
      </c>
      <c r="D1162" t="s">
        <v>34</v>
      </c>
      <c r="E1162">
        <v>47.09317075754246</v>
      </c>
    </row>
    <row r="1163" spans="1:5" x14ac:dyDescent="0.3">
      <c r="A1163" t="s">
        <v>66</v>
      </c>
      <c r="B1163" t="s">
        <v>70</v>
      </c>
      <c r="C1163" t="s">
        <v>78</v>
      </c>
      <c r="D1163" t="s">
        <v>34</v>
      </c>
      <c r="E1163">
        <v>47.57156568807995</v>
      </c>
    </row>
    <row r="1164" spans="1:5" x14ac:dyDescent="0.3">
      <c r="A1164" t="s">
        <v>66</v>
      </c>
      <c r="B1164" t="s">
        <v>70</v>
      </c>
      <c r="C1164" t="s">
        <v>79</v>
      </c>
      <c r="D1164" t="s">
        <v>34</v>
      </c>
      <c r="E1164">
        <v>46.050545771135383</v>
      </c>
    </row>
    <row r="1165" spans="1:5" x14ac:dyDescent="0.3">
      <c r="A1165" t="s">
        <v>66</v>
      </c>
      <c r="B1165" t="s">
        <v>70</v>
      </c>
      <c r="C1165" t="s">
        <v>80</v>
      </c>
      <c r="D1165" t="s">
        <v>34</v>
      </c>
      <c r="E1165">
        <v>47.390527775740502</v>
      </c>
    </row>
    <row r="1166" spans="1:5" x14ac:dyDescent="0.3">
      <c r="A1166" t="s">
        <v>66</v>
      </c>
      <c r="B1166" t="s">
        <v>70</v>
      </c>
      <c r="C1166" t="s">
        <v>81</v>
      </c>
      <c r="D1166" t="s">
        <v>34</v>
      </c>
      <c r="E1166">
        <v>49.37038144986716</v>
      </c>
    </row>
    <row r="1167" spans="1:5" x14ac:dyDescent="0.3">
      <c r="A1167" t="s">
        <v>66</v>
      </c>
      <c r="B1167" t="s">
        <v>71</v>
      </c>
      <c r="C1167" t="s">
        <v>82</v>
      </c>
      <c r="D1167" t="s">
        <v>34</v>
      </c>
      <c r="E1167">
        <v>46.818070615609422</v>
      </c>
    </row>
    <row r="1168" spans="1:5" x14ac:dyDescent="0.3">
      <c r="A1168" t="s">
        <v>66</v>
      </c>
      <c r="B1168" t="s">
        <v>71</v>
      </c>
      <c r="C1168" t="s">
        <v>83</v>
      </c>
      <c r="D1168" t="s">
        <v>34</v>
      </c>
      <c r="E1168">
        <v>46.715191410224627</v>
      </c>
    </row>
    <row r="1169" spans="1:5" x14ac:dyDescent="0.3">
      <c r="A1169" t="s">
        <v>66</v>
      </c>
      <c r="B1169" t="s">
        <v>71</v>
      </c>
      <c r="C1169" t="s">
        <v>84</v>
      </c>
      <c r="D1169" t="s">
        <v>34</v>
      </c>
      <c r="E1169">
        <v>47.360471935599612</v>
      </c>
    </row>
    <row r="1170" spans="1:5" x14ac:dyDescent="0.3">
      <c r="A1170" t="s">
        <v>66</v>
      </c>
      <c r="B1170" t="s">
        <v>71</v>
      </c>
      <c r="C1170" t="s">
        <v>85</v>
      </c>
      <c r="D1170" t="s">
        <v>34</v>
      </c>
      <c r="E1170">
        <v>48.231000020525187</v>
      </c>
    </row>
    <row r="1171" spans="1:5" x14ac:dyDescent="0.3">
      <c r="A1171" t="s">
        <v>66</v>
      </c>
      <c r="B1171" t="s">
        <v>72</v>
      </c>
      <c r="C1171" t="s">
        <v>86</v>
      </c>
      <c r="D1171" t="s">
        <v>34</v>
      </c>
      <c r="E1171">
        <v>48.298416144148263</v>
      </c>
    </row>
    <row r="1172" spans="1:5" x14ac:dyDescent="0.3">
      <c r="A1172" t="s">
        <v>66</v>
      </c>
      <c r="B1172" t="s">
        <v>72</v>
      </c>
      <c r="C1172" t="s">
        <v>87</v>
      </c>
      <c r="D1172" t="s">
        <v>34</v>
      </c>
      <c r="E1172">
        <v>45.841923223752822</v>
      </c>
    </row>
    <row r="1173" spans="1:5" x14ac:dyDescent="0.3">
      <c r="A1173" t="s">
        <v>66</v>
      </c>
      <c r="B1173" t="s">
        <v>73</v>
      </c>
      <c r="C1173" t="s">
        <v>88</v>
      </c>
      <c r="D1173" t="s">
        <v>34</v>
      </c>
      <c r="E1173">
        <v>47.744048007077609</v>
      </c>
    </row>
    <row r="1174" spans="1:5" x14ac:dyDescent="0.3">
      <c r="A1174" t="s">
        <v>66</v>
      </c>
      <c r="B1174" t="s">
        <v>73</v>
      </c>
      <c r="C1174" t="s">
        <v>89</v>
      </c>
      <c r="D1174" t="s">
        <v>34</v>
      </c>
      <c r="E1174">
        <v>46.554323856485787</v>
      </c>
    </row>
    <row r="1175" spans="1:5" x14ac:dyDescent="0.3">
      <c r="A1175" t="s">
        <v>66</v>
      </c>
      <c r="B1175" t="s">
        <v>74</v>
      </c>
      <c r="C1175" t="s">
        <v>90</v>
      </c>
      <c r="D1175" t="s">
        <v>34</v>
      </c>
      <c r="E1175">
        <v>47.441602579937793</v>
      </c>
    </row>
    <row r="1176" spans="1:5" x14ac:dyDescent="0.3">
      <c r="A1176" t="s">
        <v>66</v>
      </c>
      <c r="B1176" t="s">
        <v>74</v>
      </c>
      <c r="C1176" t="s">
        <v>91</v>
      </c>
      <c r="D1176" t="s">
        <v>34</v>
      </c>
      <c r="E1176">
        <v>46.853106742425943</v>
      </c>
    </row>
    <row r="1177" spans="1:5" x14ac:dyDescent="0.3">
      <c r="A1177" t="s">
        <v>66</v>
      </c>
      <c r="B1177" t="s">
        <v>75</v>
      </c>
      <c r="C1177" t="s">
        <v>92</v>
      </c>
      <c r="D1177" t="s">
        <v>34</v>
      </c>
      <c r="E1177">
        <v>47.421404030044783</v>
      </c>
    </row>
    <row r="1178" spans="1:5" x14ac:dyDescent="0.3">
      <c r="A1178" t="s">
        <v>66</v>
      </c>
      <c r="B1178" t="s">
        <v>75</v>
      </c>
      <c r="C1178" t="s">
        <v>93</v>
      </c>
      <c r="D1178" t="s">
        <v>34</v>
      </c>
      <c r="E1178">
        <v>46.08525894772005</v>
      </c>
    </row>
    <row r="1179" spans="1:5" x14ac:dyDescent="0.3">
      <c r="A1179" t="s">
        <v>66</v>
      </c>
      <c r="B1179" t="s">
        <v>75</v>
      </c>
      <c r="C1179" t="s">
        <v>94</v>
      </c>
      <c r="D1179" t="s">
        <v>34</v>
      </c>
      <c r="E1179">
        <v>47.005044126938131</v>
      </c>
    </row>
    <row r="1180" spans="1:5" x14ac:dyDescent="0.3">
      <c r="A1180" t="s">
        <v>66</v>
      </c>
      <c r="B1180" t="s">
        <v>75</v>
      </c>
      <c r="C1180" t="s">
        <v>95</v>
      </c>
      <c r="D1180" t="s">
        <v>34</v>
      </c>
      <c r="E1180">
        <v>47.006877206776963</v>
      </c>
    </row>
    <row r="1181" spans="1:5" x14ac:dyDescent="0.3">
      <c r="A1181" t="s">
        <v>66</v>
      </c>
      <c r="B1181" t="s">
        <v>76</v>
      </c>
      <c r="C1181" t="s">
        <v>96</v>
      </c>
      <c r="D1181" t="s">
        <v>34</v>
      </c>
      <c r="E1181">
        <v>50.222431734622617</v>
      </c>
    </row>
    <row r="1182" spans="1:5" x14ac:dyDescent="0.3">
      <c r="A1182" t="s">
        <v>66</v>
      </c>
      <c r="B1182" t="s">
        <v>76</v>
      </c>
      <c r="C1182" t="s">
        <v>97</v>
      </c>
      <c r="D1182" t="s">
        <v>34</v>
      </c>
      <c r="E1182">
        <v>46.645853928826227</v>
      </c>
    </row>
    <row r="1183" spans="1:5" x14ac:dyDescent="0.3">
      <c r="A1183" t="s">
        <v>66</v>
      </c>
      <c r="B1183" t="s">
        <v>76</v>
      </c>
      <c r="C1183" t="s">
        <v>98</v>
      </c>
      <c r="D1183" t="s">
        <v>34</v>
      </c>
      <c r="E1183">
        <v>46.215413380405899</v>
      </c>
    </row>
    <row r="1184" spans="1:5" x14ac:dyDescent="0.3">
      <c r="A1184" t="s">
        <v>66</v>
      </c>
      <c r="B1184" t="s">
        <v>0</v>
      </c>
      <c r="C1184" t="s">
        <v>99</v>
      </c>
      <c r="D1184" t="s">
        <v>34</v>
      </c>
      <c r="E1184">
        <v>55.790150160367411</v>
      </c>
    </row>
    <row r="1185" spans="1:5" x14ac:dyDescent="0.3">
      <c r="A1185" t="s">
        <v>66</v>
      </c>
      <c r="B1185" t="s">
        <v>0</v>
      </c>
      <c r="C1185" t="s">
        <v>100</v>
      </c>
      <c r="D1185" t="s">
        <v>34</v>
      </c>
      <c r="E1185">
        <v>51.679104477611943</v>
      </c>
    </row>
    <row r="1186" spans="1:5" x14ac:dyDescent="0.3">
      <c r="A1186" t="s">
        <v>66</v>
      </c>
      <c r="B1186" t="s">
        <v>0</v>
      </c>
      <c r="C1186" t="s">
        <v>101</v>
      </c>
      <c r="D1186" t="s">
        <v>34</v>
      </c>
      <c r="E1186">
        <v>47.878787878787882</v>
      </c>
    </row>
    <row r="1187" spans="1:5" x14ac:dyDescent="0.3">
      <c r="A1187" t="s">
        <v>66</v>
      </c>
      <c r="B1187" t="s">
        <v>0</v>
      </c>
      <c r="C1187" t="s">
        <v>102</v>
      </c>
      <c r="D1187" t="s">
        <v>34</v>
      </c>
      <c r="E1187">
        <v>36.036512952372362</v>
      </c>
    </row>
    <row r="1188" spans="1:5" x14ac:dyDescent="0.3">
      <c r="A1188" t="s">
        <v>66</v>
      </c>
      <c r="B1188" t="s">
        <v>0</v>
      </c>
      <c r="C1188" t="s">
        <v>103</v>
      </c>
      <c r="D1188" t="s">
        <v>34</v>
      </c>
      <c r="E1188">
        <v>49.300062486614081</v>
      </c>
    </row>
    <row r="1189" spans="1:5" x14ac:dyDescent="0.3">
      <c r="A1189" t="s">
        <v>66</v>
      </c>
      <c r="B1189" t="s">
        <v>0</v>
      </c>
      <c r="C1189" t="s">
        <v>104</v>
      </c>
      <c r="D1189" t="s">
        <v>34</v>
      </c>
      <c r="E1189">
        <v>47.69560557341908</v>
      </c>
    </row>
    <row r="1190" spans="1:5" x14ac:dyDescent="0.3">
      <c r="A1190" t="s">
        <v>66</v>
      </c>
      <c r="B1190" t="s">
        <v>0</v>
      </c>
      <c r="C1190" t="s">
        <v>105</v>
      </c>
      <c r="D1190" t="s">
        <v>34</v>
      </c>
      <c r="E1190">
        <v>47.90654209895137</v>
      </c>
    </row>
    <row r="1191" spans="1:5" x14ac:dyDescent="0.3">
      <c r="A1191" t="s">
        <v>66</v>
      </c>
      <c r="B1191" t="s">
        <v>0</v>
      </c>
      <c r="C1191" t="s">
        <v>106</v>
      </c>
      <c r="D1191" t="s">
        <v>34</v>
      </c>
      <c r="E1191">
        <v>30.396475770925111</v>
      </c>
    </row>
    <row r="1192" spans="1:5" x14ac:dyDescent="0.3">
      <c r="A1192" t="s">
        <v>66</v>
      </c>
      <c r="B1192" t="s">
        <v>0</v>
      </c>
      <c r="C1192" t="s">
        <v>107</v>
      </c>
      <c r="D1192" t="s">
        <v>34</v>
      </c>
      <c r="E1192">
        <v>47.39205973892534</v>
      </c>
    </row>
    <row r="1193" spans="1:5" x14ac:dyDescent="0.3">
      <c r="A1193" t="s">
        <v>66</v>
      </c>
      <c r="B1193" t="s">
        <v>0</v>
      </c>
      <c r="C1193" t="s">
        <v>108</v>
      </c>
      <c r="D1193" t="s">
        <v>34</v>
      </c>
      <c r="E1193">
        <v>50.264284781823761</v>
      </c>
    </row>
    <row r="1194" spans="1:5" x14ac:dyDescent="0.3">
      <c r="A1194" t="s">
        <v>66</v>
      </c>
      <c r="B1194" t="s">
        <v>0</v>
      </c>
      <c r="C1194" t="s">
        <v>109</v>
      </c>
      <c r="D1194" t="s">
        <v>34</v>
      </c>
      <c r="E1194">
        <v>45.518453427065033</v>
      </c>
    </row>
    <row r="1195" spans="1:5" x14ac:dyDescent="0.3">
      <c r="A1195" t="s">
        <v>66</v>
      </c>
      <c r="B1195" t="s">
        <v>0</v>
      </c>
      <c r="C1195" t="s">
        <v>110</v>
      </c>
      <c r="D1195" t="s">
        <v>34</v>
      </c>
      <c r="E1195">
        <v>45.532375815321693</v>
      </c>
    </row>
    <row r="1196" spans="1:5" x14ac:dyDescent="0.3">
      <c r="A1196" t="s">
        <v>66</v>
      </c>
      <c r="B1196" t="s">
        <v>0</v>
      </c>
      <c r="C1196" t="s">
        <v>111</v>
      </c>
      <c r="D1196" t="s">
        <v>34</v>
      </c>
      <c r="E1196">
        <v>41.543340380549679</v>
      </c>
    </row>
    <row r="1197" spans="1:5" x14ac:dyDescent="0.3">
      <c r="A1197" t="s">
        <v>66</v>
      </c>
      <c r="B1197" t="s">
        <v>0</v>
      </c>
      <c r="C1197" t="s">
        <v>112</v>
      </c>
      <c r="D1197" t="s">
        <v>34</v>
      </c>
      <c r="E1197">
        <v>63.294538943598923</v>
      </c>
    </row>
    <row r="1198" spans="1:5" x14ac:dyDescent="0.3">
      <c r="A1198" t="s">
        <v>66</v>
      </c>
      <c r="B1198" t="s">
        <v>0</v>
      </c>
      <c r="C1198" t="s">
        <v>113</v>
      </c>
      <c r="D1198" t="s">
        <v>34</v>
      </c>
      <c r="E1198">
        <v>47.07771355170199</v>
      </c>
    </row>
    <row r="1199" spans="1:5" x14ac:dyDescent="0.3">
      <c r="A1199" t="s">
        <v>66</v>
      </c>
      <c r="B1199" t="s">
        <v>0</v>
      </c>
      <c r="C1199" t="s">
        <v>114</v>
      </c>
      <c r="D1199" t="s">
        <v>34</v>
      </c>
      <c r="E1199">
        <v>58.877137890108322</v>
      </c>
    </row>
    <row r="1200" spans="1:5" x14ac:dyDescent="0.3">
      <c r="A1200" t="s">
        <v>66</v>
      </c>
      <c r="B1200" t="s">
        <v>0</v>
      </c>
      <c r="C1200" t="s">
        <v>115</v>
      </c>
      <c r="D1200" t="s">
        <v>34</v>
      </c>
      <c r="E1200">
        <v>51.933216168717053</v>
      </c>
    </row>
    <row r="1201" spans="1:5" x14ac:dyDescent="0.3">
      <c r="A1201" t="s">
        <v>66</v>
      </c>
      <c r="B1201" t="s">
        <v>0</v>
      </c>
      <c r="C1201" t="s">
        <v>116</v>
      </c>
      <c r="D1201" t="s">
        <v>34</v>
      </c>
      <c r="E1201">
        <v>32.789699570815451</v>
      </c>
    </row>
    <row r="1202" spans="1:5" x14ac:dyDescent="0.3">
      <c r="A1202" t="s">
        <v>66</v>
      </c>
      <c r="B1202" t="s">
        <v>69</v>
      </c>
      <c r="C1202" t="s">
        <v>69</v>
      </c>
      <c r="D1202" t="s">
        <v>35</v>
      </c>
      <c r="E1202">
        <v>23.61248939653284</v>
      </c>
    </row>
    <row r="1203" spans="1:5" x14ac:dyDescent="0.3">
      <c r="A1203" t="s">
        <v>66</v>
      </c>
      <c r="B1203" t="s">
        <v>70</v>
      </c>
      <c r="C1203" t="s">
        <v>78</v>
      </c>
      <c r="D1203" t="s">
        <v>35</v>
      </c>
      <c r="E1203">
        <v>23.262875160180851</v>
      </c>
    </row>
    <row r="1204" spans="1:5" x14ac:dyDescent="0.3">
      <c r="A1204" t="s">
        <v>66</v>
      </c>
      <c r="B1204" t="s">
        <v>70</v>
      </c>
      <c r="C1204" t="s">
        <v>79</v>
      </c>
      <c r="D1204" t="s">
        <v>35</v>
      </c>
      <c r="E1204">
        <v>23.75924715339168</v>
      </c>
    </row>
    <row r="1205" spans="1:5" x14ac:dyDescent="0.3">
      <c r="A1205" t="s">
        <v>66</v>
      </c>
      <c r="B1205" t="s">
        <v>70</v>
      </c>
      <c r="C1205" t="s">
        <v>80</v>
      </c>
      <c r="D1205" t="s">
        <v>35</v>
      </c>
      <c r="E1205">
        <v>24.610567912233339</v>
      </c>
    </row>
    <row r="1206" spans="1:5" x14ac:dyDescent="0.3">
      <c r="A1206" t="s">
        <v>66</v>
      </c>
      <c r="B1206" t="s">
        <v>70</v>
      </c>
      <c r="C1206" t="s">
        <v>81</v>
      </c>
      <c r="D1206" t="s">
        <v>35</v>
      </c>
      <c r="E1206">
        <v>21.770272304663891</v>
      </c>
    </row>
    <row r="1207" spans="1:5" x14ac:dyDescent="0.3">
      <c r="A1207" t="s">
        <v>66</v>
      </c>
      <c r="B1207" t="s">
        <v>71</v>
      </c>
      <c r="C1207" t="s">
        <v>82</v>
      </c>
      <c r="D1207" t="s">
        <v>35</v>
      </c>
      <c r="E1207">
        <v>27.052202506450641</v>
      </c>
    </row>
    <row r="1208" spans="1:5" x14ac:dyDescent="0.3">
      <c r="A1208" t="s">
        <v>66</v>
      </c>
      <c r="B1208" t="s">
        <v>71</v>
      </c>
      <c r="C1208" t="s">
        <v>83</v>
      </c>
      <c r="D1208" t="s">
        <v>35</v>
      </c>
      <c r="E1208">
        <v>22.827107068108941</v>
      </c>
    </row>
    <row r="1209" spans="1:5" x14ac:dyDescent="0.3">
      <c r="A1209" t="s">
        <v>66</v>
      </c>
      <c r="B1209" t="s">
        <v>71</v>
      </c>
      <c r="C1209" t="s">
        <v>84</v>
      </c>
      <c r="D1209" t="s">
        <v>35</v>
      </c>
      <c r="E1209">
        <v>22.417003687310739</v>
      </c>
    </row>
    <row r="1210" spans="1:5" x14ac:dyDescent="0.3">
      <c r="A1210" t="s">
        <v>66</v>
      </c>
      <c r="B1210" t="s">
        <v>71</v>
      </c>
      <c r="C1210" t="s">
        <v>85</v>
      </c>
      <c r="D1210" t="s">
        <v>35</v>
      </c>
      <c r="E1210">
        <v>23.42042548000865</v>
      </c>
    </row>
    <row r="1211" spans="1:5" x14ac:dyDescent="0.3">
      <c r="A1211" t="s">
        <v>66</v>
      </c>
      <c r="B1211" t="s">
        <v>72</v>
      </c>
      <c r="C1211" t="s">
        <v>86</v>
      </c>
      <c r="D1211" t="s">
        <v>35</v>
      </c>
      <c r="E1211">
        <v>22.801179358173169</v>
      </c>
    </row>
    <row r="1212" spans="1:5" x14ac:dyDescent="0.3">
      <c r="A1212" t="s">
        <v>66</v>
      </c>
      <c r="B1212" t="s">
        <v>72</v>
      </c>
      <c r="C1212" t="s">
        <v>87</v>
      </c>
      <c r="D1212" t="s">
        <v>35</v>
      </c>
      <c r="E1212">
        <v>24.45476574616081</v>
      </c>
    </row>
    <row r="1213" spans="1:5" x14ac:dyDescent="0.3">
      <c r="A1213" t="s">
        <v>66</v>
      </c>
      <c r="B1213" t="s">
        <v>73</v>
      </c>
      <c r="C1213" t="s">
        <v>88</v>
      </c>
      <c r="D1213" t="s">
        <v>35</v>
      </c>
      <c r="E1213">
        <v>23.866973179916929</v>
      </c>
    </row>
    <row r="1214" spans="1:5" x14ac:dyDescent="0.3">
      <c r="A1214" t="s">
        <v>66</v>
      </c>
      <c r="B1214" t="s">
        <v>73</v>
      </c>
      <c r="C1214" t="s">
        <v>89</v>
      </c>
      <c r="D1214" t="s">
        <v>35</v>
      </c>
      <c r="E1214">
        <v>23.45446993752876</v>
      </c>
    </row>
    <row r="1215" spans="1:5" x14ac:dyDescent="0.3">
      <c r="A1215" t="s">
        <v>66</v>
      </c>
      <c r="B1215" t="s">
        <v>74</v>
      </c>
      <c r="C1215" t="s">
        <v>90</v>
      </c>
      <c r="D1215" t="s">
        <v>35</v>
      </c>
      <c r="E1215">
        <v>23.316004880737939</v>
      </c>
    </row>
    <row r="1216" spans="1:5" x14ac:dyDescent="0.3">
      <c r="A1216" t="s">
        <v>66</v>
      </c>
      <c r="B1216" t="s">
        <v>74</v>
      </c>
      <c r="C1216" t="s">
        <v>91</v>
      </c>
      <c r="D1216" t="s">
        <v>35</v>
      </c>
      <c r="E1216">
        <v>23.763822779372589</v>
      </c>
    </row>
    <row r="1217" spans="1:5" x14ac:dyDescent="0.3">
      <c r="A1217" t="s">
        <v>66</v>
      </c>
      <c r="B1217" t="s">
        <v>75</v>
      </c>
      <c r="C1217" t="s">
        <v>92</v>
      </c>
      <c r="D1217" t="s">
        <v>35</v>
      </c>
      <c r="E1217">
        <v>23.893192854019969</v>
      </c>
    </row>
    <row r="1218" spans="1:5" x14ac:dyDescent="0.3">
      <c r="A1218" t="s">
        <v>66</v>
      </c>
      <c r="B1218" t="s">
        <v>75</v>
      </c>
      <c r="C1218" t="s">
        <v>93</v>
      </c>
      <c r="D1218" t="s">
        <v>35</v>
      </c>
      <c r="E1218">
        <v>23.6814791319586</v>
      </c>
    </row>
    <row r="1219" spans="1:5" x14ac:dyDescent="0.3">
      <c r="A1219" t="s">
        <v>66</v>
      </c>
      <c r="B1219" t="s">
        <v>75</v>
      </c>
      <c r="C1219" t="s">
        <v>94</v>
      </c>
      <c r="D1219" t="s">
        <v>35</v>
      </c>
      <c r="E1219">
        <v>23.739538450143382</v>
      </c>
    </row>
    <row r="1220" spans="1:5" x14ac:dyDescent="0.3">
      <c r="A1220" t="s">
        <v>66</v>
      </c>
      <c r="B1220" t="s">
        <v>75</v>
      </c>
      <c r="C1220" t="s">
        <v>95</v>
      </c>
      <c r="D1220" t="s">
        <v>35</v>
      </c>
      <c r="E1220">
        <v>21.584899885971861</v>
      </c>
    </row>
    <row r="1221" spans="1:5" x14ac:dyDescent="0.3">
      <c r="A1221" t="s">
        <v>66</v>
      </c>
      <c r="B1221" t="s">
        <v>76</v>
      </c>
      <c r="C1221" t="s">
        <v>96</v>
      </c>
      <c r="D1221" t="s">
        <v>35</v>
      </c>
      <c r="E1221">
        <v>20.905700182739452</v>
      </c>
    </row>
    <row r="1222" spans="1:5" x14ac:dyDescent="0.3">
      <c r="A1222" t="s">
        <v>66</v>
      </c>
      <c r="B1222" t="s">
        <v>76</v>
      </c>
      <c r="C1222" t="s">
        <v>97</v>
      </c>
      <c r="D1222" t="s">
        <v>35</v>
      </c>
      <c r="E1222">
        <v>23.52273369676643</v>
      </c>
    </row>
    <row r="1223" spans="1:5" x14ac:dyDescent="0.3">
      <c r="A1223" t="s">
        <v>66</v>
      </c>
      <c r="B1223" t="s">
        <v>76</v>
      </c>
      <c r="C1223" t="s">
        <v>98</v>
      </c>
      <c r="D1223" t="s">
        <v>35</v>
      </c>
      <c r="E1223">
        <v>24.65880663132128</v>
      </c>
    </row>
    <row r="1224" spans="1:5" x14ac:dyDescent="0.3">
      <c r="A1224" t="s">
        <v>66</v>
      </c>
      <c r="B1224" t="s">
        <v>0</v>
      </c>
      <c r="C1224" t="s">
        <v>99</v>
      </c>
      <c r="D1224" t="s">
        <v>35</v>
      </c>
      <c r="E1224">
        <v>23.468386353712969</v>
      </c>
    </row>
    <row r="1225" spans="1:5" x14ac:dyDescent="0.3">
      <c r="A1225" t="s">
        <v>66</v>
      </c>
      <c r="B1225" t="s">
        <v>0</v>
      </c>
      <c r="C1225" t="s">
        <v>100</v>
      </c>
      <c r="D1225" t="s">
        <v>35</v>
      </c>
      <c r="E1225">
        <v>33.768656716417908</v>
      </c>
    </row>
    <row r="1226" spans="1:5" x14ac:dyDescent="0.3">
      <c r="A1226" t="s">
        <v>66</v>
      </c>
      <c r="B1226" t="s">
        <v>0</v>
      </c>
      <c r="C1226" t="s">
        <v>101</v>
      </c>
      <c r="D1226" t="s">
        <v>35</v>
      </c>
      <c r="E1226">
        <v>16.88311688311688</v>
      </c>
    </row>
    <row r="1227" spans="1:5" x14ac:dyDescent="0.3">
      <c r="A1227" t="s">
        <v>66</v>
      </c>
      <c r="B1227" t="s">
        <v>0</v>
      </c>
      <c r="C1227" t="s">
        <v>102</v>
      </c>
      <c r="D1227" t="s">
        <v>35</v>
      </c>
      <c r="E1227">
        <v>8.8218985970990786</v>
      </c>
    </row>
    <row r="1228" spans="1:5" x14ac:dyDescent="0.3">
      <c r="A1228" t="s">
        <v>66</v>
      </c>
      <c r="B1228" t="s">
        <v>0</v>
      </c>
      <c r="C1228" t="s">
        <v>103</v>
      </c>
      <c r="D1228" t="s">
        <v>35</v>
      </c>
      <c r="E1228">
        <v>13.740815779257989</v>
      </c>
    </row>
    <row r="1229" spans="1:5" x14ac:dyDescent="0.3">
      <c r="A1229" t="s">
        <v>66</v>
      </c>
      <c r="B1229" t="s">
        <v>0</v>
      </c>
      <c r="C1229" t="s">
        <v>104</v>
      </c>
      <c r="D1229" t="s">
        <v>35</v>
      </c>
      <c r="E1229">
        <v>13.5048231511254</v>
      </c>
    </row>
    <row r="1230" spans="1:5" x14ac:dyDescent="0.3">
      <c r="A1230" t="s">
        <v>66</v>
      </c>
      <c r="B1230" t="s">
        <v>0</v>
      </c>
      <c r="C1230" t="s">
        <v>105</v>
      </c>
      <c r="D1230" t="s">
        <v>35</v>
      </c>
      <c r="E1230">
        <v>24.421941525037852</v>
      </c>
    </row>
    <row r="1231" spans="1:5" x14ac:dyDescent="0.3">
      <c r="A1231" t="s">
        <v>66</v>
      </c>
      <c r="B1231" t="s">
        <v>0</v>
      </c>
      <c r="C1231" t="s">
        <v>106</v>
      </c>
      <c r="D1231" t="s">
        <v>35</v>
      </c>
      <c r="E1231">
        <v>53.480176211453752</v>
      </c>
    </row>
    <row r="1232" spans="1:5" x14ac:dyDescent="0.3">
      <c r="A1232" t="s">
        <v>66</v>
      </c>
      <c r="B1232" t="s">
        <v>0</v>
      </c>
      <c r="C1232" t="s">
        <v>107</v>
      </c>
      <c r="D1232" t="s">
        <v>35</v>
      </c>
      <c r="E1232">
        <v>20.530226135244011</v>
      </c>
    </row>
    <row r="1233" spans="1:5" x14ac:dyDescent="0.3">
      <c r="A1233" t="s">
        <v>66</v>
      </c>
      <c r="B1233" t="s">
        <v>0</v>
      </c>
      <c r="C1233" t="s">
        <v>108</v>
      </c>
      <c r="D1233" t="s">
        <v>35</v>
      </c>
      <c r="E1233">
        <v>10.611508152048209</v>
      </c>
    </row>
    <row r="1234" spans="1:5" x14ac:dyDescent="0.3">
      <c r="A1234" t="s">
        <v>66</v>
      </c>
      <c r="B1234" t="s">
        <v>0</v>
      </c>
      <c r="C1234" t="s">
        <v>109</v>
      </c>
      <c r="D1234" t="s">
        <v>35</v>
      </c>
      <c r="E1234">
        <v>17.135325131810198</v>
      </c>
    </row>
    <row r="1235" spans="1:5" x14ac:dyDescent="0.3">
      <c r="A1235" t="s">
        <v>66</v>
      </c>
      <c r="B1235" t="s">
        <v>0</v>
      </c>
      <c r="C1235" t="s">
        <v>110</v>
      </c>
      <c r="D1235" t="s">
        <v>35</v>
      </c>
      <c r="E1235">
        <v>39.511922646686529</v>
      </c>
    </row>
    <row r="1236" spans="1:5" x14ac:dyDescent="0.3">
      <c r="A1236" t="s">
        <v>66</v>
      </c>
      <c r="B1236" t="s">
        <v>0</v>
      </c>
      <c r="C1236" t="s">
        <v>111</v>
      </c>
      <c r="D1236" t="s">
        <v>35</v>
      </c>
      <c r="E1236">
        <v>29.70401691331924</v>
      </c>
    </row>
    <row r="1237" spans="1:5" x14ac:dyDescent="0.3">
      <c r="A1237" t="s">
        <v>66</v>
      </c>
      <c r="B1237" t="s">
        <v>0</v>
      </c>
      <c r="C1237" t="s">
        <v>112</v>
      </c>
      <c r="D1237" t="s">
        <v>35</v>
      </c>
      <c r="E1237">
        <v>16.830796777081471</v>
      </c>
    </row>
    <row r="1238" spans="1:5" x14ac:dyDescent="0.3">
      <c r="A1238" t="s">
        <v>66</v>
      </c>
      <c r="B1238" t="s">
        <v>0</v>
      </c>
      <c r="C1238" t="s">
        <v>113</v>
      </c>
      <c r="D1238" t="s">
        <v>35</v>
      </c>
      <c r="E1238">
        <v>8.8417897666452578</v>
      </c>
    </row>
    <row r="1239" spans="1:5" x14ac:dyDescent="0.3">
      <c r="A1239" t="s">
        <v>66</v>
      </c>
      <c r="B1239" t="s">
        <v>0</v>
      </c>
      <c r="C1239" t="s">
        <v>114</v>
      </c>
      <c r="D1239" t="s">
        <v>35</v>
      </c>
      <c r="E1239">
        <v>26.95663272799456</v>
      </c>
    </row>
    <row r="1240" spans="1:5" x14ac:dyDescent="0.3">
      <c r="A1240" t="s">
        <v>66</v>
      </c>
      <c r="B1240" t="s">
        <v>0</v>
      </c>
      <c r="C1240" t="s">
        <v>115</v>
      </c>
      <c r="D1240" t="s">
        <v>35</v>
      </c>
      <c r="E1240">
        <v>33.743409490333917</v>
      </c>
    </row>
    <row r="1241" spans="1:5" x14ac:dyDescent="0.3">
      <c r="A1241" t="s">
        <v>66</v>
      </c>
      <c r="B1241" t="s">
        <v>0</v>
      </c>
      <c r="C1241" t="s">
        <v>116</v>
      </c>
      <c r="D1241" t="s">
        <v>35</v>
      </c>
      <c r="E1241">
        <v>34.849785407725321</v>
      </c>
    </row>
    <row r="1242" spans="1:5" x14ac:dyDescent="0.3">
      <c r="A1242" t="s">
        <v>66</v>
      </c>
      <c r="B1242" t="s">
        <v>69</v>
      </c>
      <c r="C1242" t="s">
        <v>69</v>
      </c>
      <c r="D1242" t="s">
        <v>36</v>
      </c>
      <c r="E1242">
        <v>3.3499806746148351</v>
      </c>
    </row>
    <row r="1243" spans="1:5" x14ac:dyDescent="0.3">
      <c r="A1243" t="s">
        <v>66</v>
      </c>
      <c r="B1243" t="s">
        <v>70</v>
      </c>
      <c r="C1243" t="s">
        <v>78</v>
      </c>
      <c r="D1243" t="s">
        <v>36</v>
      </c>
      <c r="E1243">
        <v>3.2126559635691931</v>
      </c>
    </row>
    <row r="1244" spans="1:5" x14ac:dyDescent="0.3">
      <c r="A1244" t="s">
        <v>66</v>
      </c>
      <c r="B1244" t="s">
        <v>70</v>
      </c>
      <c r="C1244" t="s">
        <v>79</v>
      </c>
      <c r="D1244" t="s">
        <v>36</v>
      </c>
      <c r="E1244">
        <v>3.4422079392242009</v>
      </c>
    </row>
    <row r="1245" spans="1:5" x14ac:dyDescent="0.3">
      <c r="A1245" t="s">
        <v>66</v>
      </c>
      <c r="B1245" t="s">
        <v>70</v>
      </c>
      <c r="C1245" t="s">
        <v>80</v>
      </c>
      <c r="D1245" t="s">
        <v>36</v>
      </c>
      <c r="E1245">
        <v>3.2879662267072169</v>
      </c>
    </row>
    <row r="1246" spans="1:5" x14ac:dyDescent="0.3">
      <c r="A1246" t="s">
        <v>66</v>
      </c>
      <c r="B1246" t="s">
        <v>70</v>
      </c>
      <c r="C1246" t="s">
        <v>81</v>
      </c>
      <c r="D1246" t="s">
        <v>36</v>
      </c>
      <c r="E1246">
        <v>3.4063147802143039</v>
      </c>
    </row>
    <row r="1247" spans="1:5" x14ac:dyDescent="0.3">
      <c r="A1247" t="s">
        <v>66</v>
      </c>
      <c r="B1247" t="s">
        <v>71</v>
      </c>
      <c r="C1247" t="s">
        <v>82</v>
      </c>
      <c r="D1247" t="s">
        <v>36</v>
      </c>
      <c r="E1247">
        <v>3.209135925088185</v>
      </c>
    </row>
    <row r="1248" spans="1:5" x14ac:dyDescent="0.3">
      <c r="A1248" t="s">
        <v>66</v>
      </c>
      <c r="B1248" t="s">
        <v>71</v>
      </c>
      <c r="C1248" t="s">
        <v>83</v>
      </c>
      <c r="D1248" t="s">
        <v>36</v>
      </c>
      <c r="E1248">
        <v>3.5246743224996151</v>
      </c>
    </row>
    <row r="1249" spans="1:5" x14ac:dyDescent="0.3">
      <c r="A1249" t="s">
        <v>66</v>
      </c>
      <c r="B1249" t="s">
        <v>71</v>
      </c>
      <c r="C1249" t="s">
        <v>84</v>
      </c>
      <c r="D1249" t="s">
        <v>36</v>
      </c>
      <c r="E1249">
        <v>3.223288142750516</v>
      </c>
    </row>
    <row r="1250" spans="1:5" x14ac:dyDescent="0.3">
      <c r="A1250" t="s">
        <v>66</v>
      </c>
      <c r="B1250" t="s">
        <v>71</v>
      </c>
      <c r="C1250" t="s">
        <v>85</v>
      </c>
      <c r="D1250" t="s">
        <v>36</v>
      </c>
      <c r="E1250">
        <v>3.4091597818593291</v>
      </c>
    </row>
    <row r="1251" spans="1:5" x14ac:dyDescent="0.3">
      <c r="A1251" t="s">
        <v>66</v>
      </c>
      <c r="B1251" t="s">
        <v>72</v>
      </c>
      <c r="C1251" t="s">
        <v>86</v>
      </c>
      <c r="D1251" t="s">
        <v>36</v>
      </c>
      <c r="E1251">
        <v>3.166627719060505</v>
      </c>
    </row>
    <row r="1252" spans="1:5" x14ac:dyDescent="0.3">
      <c r="A1252" t="s">
        <v>66</v>
      </c>
      <c r="B1252" t="s">
        <v>72</v>
      </c>
      <c r="C1252" t="s">
        <v>87</v>
      </c>
      <c r="D1252" t="s">
        <v>36</v>
      </c>
      <c r="E1252">
        <v>3.5403318976935498</v>
      </c>
    </row>
    <row r="1253" spans="1:5" x14ac:dyDescent="0.3">
      <c r="A1253" t="s">
        <v>66</v>
      </c>
      <c r="B1253" t="s">
        <v>73</v>
      </c>
      <c r="C1253" t="s">
        <v>88</v>
      </c>
      <c r="D1253" t="s">
        <v>36</v>
      </c>
      <c r="E1253">
        <v>3.4615079581826871</v>
      </c>
    </row>
    <row r="1254" spans="1:5" x14ac:dyDescent="0.3">
      <c r="A1254" t="s">
        <v>66</v>
      </c>
      <c r="B1254" t="s">
        <v>73</v>
      </c>
      <c r="C1254" t="s">
        <v>89</v>
      </c>
      <c r="D1254" t="s">
        <v>36</v>
      </c>
      <c r="E1254">
        <v>3.2753283097108041</v>
      </c>
    </row>
    <row r="1255" spans="1:5" x14ac:dyDescent="0.3">
      <c r="A1255" t="s">
        <v>66</v>
      </c>
      <c r="B1255" t="s">
        <v>74</v>
      </c>
      <c r="C1255" t="s">
        <v>90</v>
      </c>
      <c r="D1255" t="s">
        <v>36</v>
      </c>
      <c r="E1255">
        <v>3.0319975518909148</v>
      </c>
    </row>
    <row r="1256" spans="1:5" x14ac:dyDescent="0.3">
      <c r="A1256" t="s">
        <v>66</v>
      </c>
      <c r="B1256" t="s">
        <v>74</v>
      </c>
      <c r="C1256" t="s">
        <v>91</v>
      </c>
      <c r="D1256" t="s">
        <v>36</v>
      </c>
      <c r="E1256">
        <v>3.499829459936338</v>
      </c>
    </row>
    <row r="1257" spans="1:5" x14ac:dyDescent="0.3">
      <c r="A1257" t="s">
        <v>66</v>
      </c>
      <c r="B1257" t="s">
        <v>75</v>
      </c>
      <c r="C1257" t="s">
        <v>92</v>
      </c>
      <c r="D1257" t="s">
        <v>36</v>
      </c>
      <c r="E1257">
        <v>2.83250649397226</v>
      </c>
    </row>
    <row r="1258" spans="1:5" x14ac:dyDescent="0.3">
      <c r="A1258" t="s">
        <v>66</v>
      </c>
      <c r="B1258" t="s">
        <v>75</v>
      </c>
      <c r="C1258" t="s">
        <v>93</v>
      </c>
      <c r="D1258" t="s">
        <v>36</v>
      </c>
      <c r="E1258">
        <v>3.6002893676587</v>
      </c>
    </row>
    <row r="1259" spans="1:5" x14ac:dyDescent="0.3">
      <c r="A1259" t="s">
        <v>66</v>
      </c>
      <c r="B1259" t="s">
        <v>75</v>
      </c>
      <c r="C1259" t="s">
        <v>94</v>
      </c>
      <c r="D1259" t="s">
        <v>36</v>
      </c>
      <c r="E1259">
        <v>3.4670852003200041</v>
      </c>
    </row>
    <row r="1260" spans="1:5" x14ac:dyDescent="0.3">
      <c r="A1260" t="s">
        <v>66</v>
      </c>
      <c r="B1260" t="s">
        <v>75</v>
      </c>
      <c r="C1260" t="s">
        <v>95</v>
      </c>
      <c r="D1260" t="s">
        <v>36</v>
      </c>
      <c r="E1260">
        <v>3.3302485613887178</v>
      </c>
    </row>
    <row r="1261" spans="1:5" x14ac:dyDescent="0.3">
      <c r="A1261" t="s">
        <v>66</v>
      </c>
      <c r="B1261" t="s">
        <v>76</v>
      </c>
      <c r="C1261" t="s">
        <v>96</v>
      </c>
      <c r="D1261" t="s">
        <v>36</v>
      </c>
      <c r="E1261">
        <v>2.4839840623093852</v>
      </c>
    </row>
    <row r="1262" spans="1:5" x14ac:dyDescent="0.3">
      <c r="A1262" t="s">
        <v>66</v>
      </c>
      <c r="B1262" t="s">
        <v>76</v>
      </c>
      <c r="C1262" t="s">
        <v>97</v>
      </c>
      <c r="D1262" t="s">
        <v>36</v>
      </c>
      <c r="E1262">
        <v>3.5380423366314928</v>
      </c>
    </row>
    <row r="1263" spans="1:5" x14ac:dyDescent="0.3">
      <c r="A1263" t="s">
        <v>66</v>
      </c>
      <c r="B1263" t="s">
        <v>76</v>
      </c>
      <c r="C1263" t="s">
        <v>98</v>
      </c>
      <c r="D1263" t="s">
        <v>36</v>
      </c>
      <c r="E1263">
        <v>3.5541882069332482</v>
      </c>
    </row>
    <row r="1264" spans="1:5" x14ac:dyDescent="0.3">
      <c r="A1264" t="s">
        <v>66</v>
      </c>
      <c r="B1264" t="s">
        <v>0</v>
      </c>
      <c r="C1264" t="s">
        <v>99</v>
      </c>
      <c r="D1264" t="s">
        <v>36</v>
      </c>
      <c r="E1264">
        <v>1.492169739088028</v>
      </c>
    </row>
    <row r="1265" spans="1:5" x14ac:dyDescent="0.3">
      <c r="A1265" t="s">
        <v>66</v>
      </c>
      <c r="B1265" t="s">
        <v>0</v>
      </c>
      <c r="C1265" t="s">
        <v>100</v>
      </c>
      <c r="D1265" t="s">
        <v>36</v>
      </c>
      <c r="E1265">
        <v>2.7985074626865671</v>
      </c>
    </row>
    <row r="1266" spans="1:5" x14ac:dyDescent="0.3">
      <c r="A1266" t="s">
        <v>66</v>
      </c>
      <c r="B1266" t="s">
        <v>0</v>
      </c>
      <c r="C1266" t="s">
        <v>101</v>
      </c>
      <c r="D1266" t="s">
        <v>36</v>
      </c>
      <c r="E1266">
        <v>2.1645021645021649</v>
      </c>
    </row>
    <row r="1267" spans="1:5" x14ac:dyDescent="0.3">
      <c r="A1267" t="s">
        <v>66</v>
      </c>
      <c r="B1267" t="s">
        <v>0</v>
      </c>
      <c r="C1267" t="s">
        <v>102</v>
      </c>
      <c r="D1267" t="s">
        <v>36</v>
      </c>
      <c r="E1267">
        <v>1.669891536378094</v>
      </c>
    </row>
    <row r="1268" spans="1:5" x14ac:dyDescent="0.3">
      <c r="A1268" t="s">
        <v>66</v>
      </c>
      <c r="B1268" t="s">
        <v>0</v>
      </c>
      <c r="C1268" t="s">
        <v>103</v>
      </c>
      <c r="D1268" t="s">
        <v>36</v>
      </c>
      <c r="E1268">
        <v>0.87528797449737961</v>
      </c>
    </row>
    <row r="1269" spans="1:5" x14ac:dyDescent="0.3">
      <c r="A1269" t="s">
        <v>66</v>
      </c>
      <c r="B1269" t="s">
        <v>0</v>
      </c>
      <c r="C1269" t="s">
        <v>104</v>
      </c>
      <c r="D1269" t="s">
        <v>36</v>
      </c>
      <c r="E1269">
        <v>2.3579849946409439</v>
      </c>
    </row>
    <row r="1270" spans="1:5" x14ac:dyDescent="0.3">
      <c r="A1270" t="s">
        <v>66</v>
      </c>
      <c r="B1270" t="s">
        <v>0</v>
      </c>
      <c r="C1270" t="s">
        <v>105</v>
      </c>
      <c r="D1270" t="s">
        <v>36</v>
      </c>
      <c r="E1270">
        <v>2.9665975201160948</v>
      </c>
    </row>
    <row r="1271" spans="1:5" x14ac:dyDescent="0.3">
      <c r="A1271" t="s">
        <v>66</v>
      </c>
      <c r="B1271" t="s">
        <v>0</v>
      </c>
      <c r="C1271" t="s">
        <v>106</v>
      </c>
      <c r="D1271" t="s">
        <v>36</v>
      </c>
      <c r="E1271">
        <v>7.8414096916299556</v>
      </c>
    </row>
    <row r="1272" spans="1:5" x14ac:dyDescent="0.3">
      <c r="A1272" t="s">
        <v>66</v>
      </c>
      <c r="B1272" t="s">
        <v>0</v>
      </c>
      <c r="C1272" t="s">
        <v>107</v>
      </c>
      <c r="D1272" t="s">
        <v>36</v>
      </c>
      <c r="E1272">
        <v>3.2158870695252411</v>
      </c>
    </row>
    <row r="1273" spans="1:5" x14ac:dyDescent="0.3">
      <c r="A1273" t="s">
        <v>66</v>
      </c>
      <c r="B1273" t="s">
        <v>0</v>
      </c>
      <c r="C1273" t="s">
        <v>108</v>
      </c>
      <c r="D1273" t="s">
        <v>36</v>
      </c>
      <c r="E1273">
        <v>2.3366782865193341</v>
      </c>
    </row>
    <row r="1274" spans="1:5" x14ac:dyDescent="0.3">
      <c r="A1274" t="s">
        <v>66</v>
      </c>
      <c r="B1274" t="s">
        <v>0</v>
      </c>
      <c r="C1274" t="s">
        <v>109</v>
      </c>
      <c r="D1274" t="s">
        <v>36</v>
      </c>
      <c r="E1274">
        <v>2.8998242530755709</v>
      </c>
    </row>
    <row r="1275" spans="1:5" x14ac:dyDescent="0.3">
      <c r="A1275" t="s">
        <v>66</v>
      </c>
      <c r="B1275" t="s">
        <v>0</v>
      </c>
      <c r="C1275" t="s">
        <v>110</v>
      </c>
      <c r="D1275" t="s">
        <v>36</v>
      </c>
      <c r="E1275">
        <v>5.5383737950592504</v>
      </c>
    </row>
    <row r="1276" spans="1:5" x14ac:dyDescent="0.3">
      <c r="A1276" t="s">
        <v>66</v>
      </c>
      <c r="B1276" t="s">
        <v>0</v>
      </c>
      <c r="C1276" t="s">
        <v>111</v>
      </c>
      <c r="D1276" t="s">
        <v>36</v>
      </c>
      <c r="E1276">
        <v>7.0824524312896404</v>
      </c>
    </row>
    <row r="1277" spans="1:5" x14ac:dyDescent="0.3">
      <c r="A1277" t="s">
        <v>66</v>
      </c>
      <c r="B1277" t="s">
        <v>0</v>
      </c>
      <c r="C1277" t="s">
        <v>112</v>
      </c>
      <c r="D1277" t="s">
        <v>36</v>
      </c>
      <c r="E1277">
        <v>1.1638316920322289</v>
      </c>
    </row>
    <row r="1278" spans="1:5" x14ac:dyDescent="0.3">
      <c r="A1278" t="s">
        <v>66</v>
      </c>
      <c r="B1278" t="s">
        <v>0</v>
      </c>
      <c r="C1278" t="s">
        <v>113</v>
      </c>
      <c r="D1278" t="s">
        <v>36</v>
      </c>
      <c r="E1278">
        <v>0.94198244487261829</v>
      </c>
    </row>
    <row r="1279" spans="1:5" x14ac:dyDescent="0.3">
      <c r="A1279" t="s">
        <v>66</v>
      </c>
      <c r="B1279" t="s">
        <v>0</v>
      </c>
      <c r="C1279" t="s">
        <v>114</v>
      </c>
      <c r="D1279" t="s">
        <v>36</v>
      </c>
      <c r="E1279">
        <v>3.1304859613058889</v>
      </c>
    </row>
    <row r="1280" spans="1:5" x14ac:dyDescent="0.3">
      <c r="A1280" t="s">
        <v>66</v>
      </c>
      <c r="B1280" t="s">
        <v>0</v>
      </c>
      <c r="C1280" t="s">
        <v>115</v>
      </c>
      <c r="D1280" t="s">
        <v>36</v>
      </c>
      <c r="E1280">
        <v>2.8119507908611601</v>
      </c>
    </row>
    <row r="1281" spans="1:5" x14ac:dyDescent="0.3">
      <c r="A1281" t="s">
        <v>66</v>
      </c>
      <c r="B1281" t="s">
        <v>0</v>
      </c>
      <c r="C1281" t="s">
        <v>116</v>
      </c>
      <c r="D1281" t="s">
        <v>36</v>
      </c>
      <c r="E1281">
        <v>9.5278969957081543</v>
      </c>
    </row>
    <row r="1282" spans="1:5" x14ac:dyDescent="0.3">
      <c r="A1282" t="s">
        <v>67</v>
      </c>
      <c r="B1282" t="s">
        <v>69</v>
      </c>
      <c r="C1282" t="s">
        <v>69</v>
      </c>
      <c r="D1282" t="s">
        <v>33</v>
      </c>
      <c r="E1282">
        <v>26.252865003911321</v>
      </c>
    </row>
    <row r="1283" spans="1:5" x14ac:dyDescent="0.3">
      <c r="A1283" t="s">
        <v>67</v>
      </c>
      <c r="B1283" t="s">
        <v>70</v>
      </c>
      <c r="C1283" t="s">
        <v>78</v>
      </c>
      <c r="D1283" t="s">
        <v>33</v>
      </c>
      <c r="E1283">
        <v>27.210549255459728</v>
      </c>
    </row>
    <row r="1284" spans="1:5" x14ac:dyDescent="0.3">
      <c r="A1284" t="s">
        <v>67</v>
      </c>
      <c r="B1284" t="s">
        <v>70</v>
      </c>
      <c r="C1284" t="s">
        <v>79</v>
      </c>
      <c r="D1284" t="s">
        <v>33</v>
      </c>
      <c r="E1284">
        <v>25.205729872360131</v>
      </c>
    </row>
    <row r="1285" spans="1:5" x14ac:dyDescent="0.3">
      <c r="A1285" t="s">
        <v>67</v>
      </c>
      <c r="B1285" t="s">
        <v>70</v>
      </c>
      <c r="C1285" t="s">
        <v>80</v>
      </c>
      <c r="D1285" t="s">
        <v>33</v>
      </c>
      <c r="E1285">
        <v>24.757245307138952</v>
      </c>
    </row>
    <row r="1286" spans="1:5" x14ac:dyDescent="0.3">
      <c r="A1286" t="s">
        <v>67</v>
      </c>
      <c r="B1286" t="s">
        <v>70</v>
      </c>
      <c r="C1286" t="s">
        <v>81</v>
      </c>
      <c r="D1286" t="s">
        <v>33</v>
      </c>
      <c r="E1286">
        <v>30.89063403342232</v>
      </c>
    </row>
    <row r="1287" spans="1:5" x14ac:dyDescent="0.3">
      <c r="A1287" t="s">
        <v>67</v>
      </c>
      <c r="B1287" t="s">
        <v>71</v>
      </c>
      <c r="C1287" t="s">
        <v>82</v>
      </c>
      <c r="D1287" t="s">
        <v>33</v>
      </c>
      <c r="E1287">
        <v>23.888878047254831</v>
      </c>
    </row>
    <row r="1288" spans="1:5" x14ac:dyDescent="0.3">
      <c r="A1288" t="s">
        <v>67</v>
      </c>
      <c r="B1288" t="s">
        <v>71</v>
      </c>
      <c r="C1288" t="s">
        <v>83</v>
      </c>
      <c r="D1288" t="s">
        <v>33</v>
      </c>
      <c r="E1288">
        <v>26.881083993597588</v>
      </c>
    </row>
    <row r="1289" spans="1:5" x14ac:dyDescent="0.3">
      <c r="A1289" t="s">
        <v>67</v>
      </c>
      <c r="B1289" t="s">
        <v>71</v>
      </c>
      <c r="C1289" t="s">
        <v>84</v>
      </c>
      <c r="D1289" t="s">
        <v>33</v>
      </c>
      <c r="E1289">
        <v>27.055838280344901</v>
      </c>
    </row>
    <row r="1290" spans="1:5" x14ac:dyDescent="0.3">
      <c r="A1290" t="s">
        <v>67</v>
      </c>
      <c r="B1290" t="s">
        <v>71</v>
      </c>
      <c r="C1290" t="s">
        <v>85</v>
      </c>
      <c r="D1290" t="s">
        <v>33</v>
      </c>
      <c r="E1290">
        <v>25.85240860390395</v>
      </c>
    </row>
    <row r="1291" spans="1:5" x14ac:dyDescent="0.3">
      <c r="A1291" t="s">
        <v>67</v>
      </c>
      <c r="B1291" t="s">
        <v>72</v>
      </c>
      <c r="C1291" t="s">
        <v>86</v>
      </c>
      <c r="D1291" t="s">
        <v>33</v>
      </c>
      <c r="E1291">
        <v>26.071373238644071</v>
      </c>
    </row>
    <row r="1292" spans="1:5" x14ac:dyDescent="0.3">
      <c r="A1292" t="s">
        <v>67</v>
      </c>
      <c r="B1292" t="s">
        <v>72</v>
      </c>
      <c r="C1292" t="s">
        <v>87</v>
      </c>
      <c r="D1292" t="s">
        <v>33</v>
      </c>
      <c r="E1292">
        <v>26.44266929378594</v>
      </c>
    </row>
    <row r="1293" spans="1:5" x14ac:dyDescent="0.3">
      <c r="A1293" t="s">
        <v>67</v>
      </c>
      <c r="B1293" t="s">
        <v>73</v>
      </c>
      <c r="C1293" t="s">
        <v>88</v>
      </c>
      <c r="D1293" t="s">
        <v>33</v>
      </c>
      <c r="E1293">
        <v>26.796137908025351</v>
      </c>
    </row>
    <row r="1294" spans="1:5" x14ac:dyDescent="0.3">
      <c r="A1294" t="s">
        <v>67</v>
      </c>
      <c r="B1294" t="s">
        <v>73</v>
      </c>
      <c r="C1294" t="s">
        <v>89</v>
      </c>
      <c r="D1294" t="s">
        <v>33</v>
      </c>
      <c r="E1294">
        <v>25.882147289677039</v>
      </c>
    </row>
    <row r="1295" spans="1:5" x14ac:dyDescent="0.3">
      <c r="A1295" t="s">
        <v>67</v>
      </c>
      <c r="B1295" t="s">
        <v>74</v>
      </c>
      <c r="C1295" t="s">
        <v>90</v>
      </c>
      <c r="D1295" t="s">
        <v>33</v>
      </c>
      <c r="E1295">
        <v>25.97167206450759</v>
      </c>
    </row>
    <row r="1296" spans="1:5" x14ac:dyDescent="0.3">
      <c r="A1296" t="s">
        <v>67</v>
      </c>
      <c r="B1296" t="s">
        <v>74</v>
      </c>
      <c r="C1296" t="s">
        <v>91</v>
      </c>
      <c r="D1296" t="s">
        <v>33</v>
      </c>
      <c r="E1296">
        <v>26.43011151193469</v>
      </c>
    </row>
    <row r="1297" spans="1:5" x14ac:dyDescent="0.3">
      <c r="A1297" t="s">
        <v>67</v>
      </c>
      <c r="B1297" t="s">
        <v>75</v>
      </c>
      <c r="C1297" t="s">
        <v>92</v>
      </c>
      <c r="D1297" t="s">
        <v>33</v>
      </c>
      <c r="E1297">
        <v>25.682135454978621</v>
      </c>
    </row>
    <row r="1298" spans="1:5" x14ac:dyDescent="0.3">
      <c r="A1298" t="s">
        <v>67</v>
      </c>
      <c r="B1298" t="s">
        <v>75</v>
      </c>
      <c r="C1298" t="s">
        <v>93</v>
      </c>
      <c r="D1298" t="s">
        <v>33</v>
      </c>
      <c r="E1298">
        <v>27.149611203648622</v>
      </c>
    </row>
    <row r="1299" spans="1:5" x14ac:dyDescent="0.3">
      <c r="A1299" t="s">
        <v>67</v>
      </c>
      <c r="B1299" t="s">
        <v>75</v>
      </c>
      <c r="C1299" t="s">
        <v>94</v>
      </c>
      <c r="D1299" t="s">
        <v>33</v>
      </c>
      <c r="E1299">
        <v>25.988176027094521</v>
      </c>
    </row>
    <row r="1300" spans="1:5" x14ac:dyDescent="0.3">
      <c r="A1300" t="s">
        <v>67</v>
      </c>
      <c r="B1300" t="s">
        <v>75</v>
      </c>
      <c r="C1300" t="s">
        <v>95</v>
      </c>
      <c r="D1300" t="s">
        <v>33</v>
      </c>
      <c r="E1300">
        <v>27.577277377313099</v>
      </c>
    </row>
    <row r="1301" spans="1:5" x14ac:dyDescent="0.3">
      <c r="A1301" t="s">
        <v>67</v>
      </c>
      <c r="B1301" t="s">
        <v>76</v>
      </c>
      <c r="C1301" t="s">
        <v>96</v>
      </c>
      <c r="D1301" t="s">
        <v>33</v>
      </c>
      <c r="E1301">
        <v>24.315267312144179</v>
      </c>
    </row>
    <row r="1302" spans="1:5" x14ac:dyDescent="0.3">
      <c r="A1302" t="s">
        <v>67</v>
      </c>
      <c r="B1302" t="s">
        <v>76</v>
      </c>
      <c r="C1302" t="s">
        <v>97</v>
      </c>
      <c r="D1302" t="s">
        <v>33</v>
      </c>
      <c r="E1302">
        <v>26.104850160781179</v>
      </c>
    </row>
    <row r="1303" spans="1:5" x14ac:dyDescent="0.3">
      <c r="A1303" t="s">
        <v>67</v>
      </c>
      <c r="B1303" t="s">
        <v>76</v>
      </c>
      <c r="C1303" t="s">
        <v>98</v>
      </c>
      <c r="D1303" t="s">
        <v>33</v>
      </c>
      <c r="E1303">
        <v>27.095661868214879</v>
      </c>
    </row>
    <row r="1304" spans="1:5" x14ac:dyDescent="0.3">
      <c r="A1304" t="s">
        <v>67</v>
      </c>
      <c r="B1304" t="s">
        <v>0</v>
      </c>
      <c r="C1304" t="s">
        <v>99</v>
      </c>
      <c r="D1304" t="s">
        <v>33</v>
      </c>
      <c r="E1304">
        <v>19.246361262038771</v>
      </c>
    </row>
    <row r="1305" spans="1:5" x14ac:dyDescent="0.3">
      <c r="A1305" t="s">
        <v>67</v>
      </c>
      <c r="B1305" t="s">
        <v>0</v>
      </c>
      <c r="C1305" t="s">
        <v>100</v>
      </c>
      <c r="D1305" t="s">
        <v>33</v>
      </c>
      <c r="E1305">
        <v>10.18691588785047</v>
      </c>
    </row>
    <row r="1306" spans="1:5" x14ac:dyDescent="0.3">
      <c r="A1306" t="s">
        <v>67</v>
      </c>
      <c r="B1306" t="s">
        <v>0</v>
      </c>
      <c r="C1306" t="s">
        <v>101</v>
      </c>
      <c r="D1306" t="s">
        <v>33</v>
      </c>
      <c r="E1306">
        <v>45.877551020408163</v>
      </c>
    </row>
    <row r="1307" spans="1:5" x14ac:dyDescent="0.3">
      <c r="A1307" t="s">
        <v>67</v>
      </c>
      <c r="B1307" t="s">
        <v>0</v>
      </c>
      <c r="C1307" t="s">
        <v>102</v>
      </c>
      <c r="D1307" t="s">
        <v>33</v>
      </c>
      <c r="E1307">
        <v>46.469114781692618</v>
      </c>
    </row>
    <row r="1308" spans="1:5" x14ac:dyDescent="0.3">
      <c r="A1308" t="s">
        <v>67</v>
      </c>
      <c r="B1308" t="s">
        <v>0</v>
      </c>
      <c r="C1308" t="s">
        <v>103</v>
      </c>
      <c r="D1308" t="s">
        <v>33</v>
      </c>
      <c r="E1308">
        <v>35.171315651034043</v>
      </c>
    </row>
    <row r="1309" spans="1:5" x14ac:dyDescent="0.3">
      <c r="A1309" t="s">
        <v>67</v>
      </c>
      <c r="B1309" t="s">
        <v>0</v>
      </c>
      <c r="C1309" t="s">
        <v>104</v>
      </c>
      <c r="D1309" t="s">
        <v>33</v>
      </c>
      <c r="E1309">
        <v>29.804727646454261</v>
      </c>
    </row>
    <row r="1310" spans="1:5" x14ac:dyDescent="0.3">
      <c r="A1310" t="s">
        <v>67</v>
      </c>
      <c r="B1310" t="s">
        <v>0</v>
      </c>
      <c r="C1310" t="s">
        <v>105</v>
      </c>
      <c r="D1310" t="s">
        <v>33</v>
      </c>
      <c r="E1310">
        <v>22.398562291416599</v>
      </c>
    </row>
    <row r="1311" spans="1:5" x14ac:dyDescent="0.3">
      <c r="A1311" t="s">
        <v>67</v>
      </c>
      <c r="B1311" t="s">
        <v>0</v>
      </c>
      <c r="C1311" t="s">
        <v>106</v>
      </c>
      <c r="D1311" t="s">
        <v>33</v>
      </c>
      <c r="E1311">
        <v>12.69406392694064</v>
      </c>
    </row>
    <row r="1312" spans="1:5" x14ac:dyDescent="0.3">
      <c r="A1312" t="s">
        <v>67</v>
      </c>
      <c r="B1312" t="s">
        <v>0</v>
      </c>
      <c r="C1312" t="s">
        <v>107</v>
      </c>
      <c r="D1312" t="s">
        <v>33</v>
      </c>
      <c r="E1312">
        <v>30.019269995630371</v>
      </c>
    </row>
    <row r="1313" spans="1:5" x14ac:dyDescent="0.3">
      <c r="A1313" t="s">
        <v>67</v>
      </c>
      <c r="B1313" t="s">
        <v>0</v>
      </c>
      <c r="C1313" t="s">
        <v>108</v>
      </c>
      <c r="D1313" t="s">
        <v>33</v>
      </c>
      <c r="E1313">
        <v>30.363511291947979</v>
      </c>
    </row>
    <row r="1314" spans="1:5" x14ac:dyDescent="0.3">
      <c r="A1314" t="s">
        <v>67</v>
      </c>
      <c r="B1314" t="s">
        <v>0</v>
      </c>
      <c r="C1314" t="s">
        <v>109</v>
      </c>
      <c r="D1314" t="s">
        <v>33</v>
      </c>
      <c r="E1314">
        <v>34.641638225255967</v>
      </c>
    </row>
    <row r="1315" spans="1:5" x14ac:dyDescent="0.3">
      <c r="A1315" t="s">
        <v>67</v>
      </c>
      <c r="B1315" t="s">
        <v>0</v>
      </c>
      <c r="C1315" t="s">
        <v>110</v>
      </c>
      <c r="D1315" t="s">
        <v>33</v>
      </c>
      <c r="E1315">
        <v>11.47955457544656</v>
      </c>
    </row>
    <row r="1316" spans="1:5" x14ac:dyDescent="0.3">
      <c r="A1316" t="s">
        <v>67</v>
      </c>
      <c r="B1316" t="s">
        <v>0</v>
      </c>
      <c r="C1316" t="s">
        <v>111</v>
      </c>
      <c r="D1316" t="s">
        <v>33</v>
      </c>
      <c r="E1316">
        <v>18.997912317327771</v>
      </c>
    </row>
    <row r="1317" spans="1:5" x14ac:dyDescent="0.3">
      <c r="A1317" t="s">
        <v>67</v>
      </c>
      <c r="B1317" t="s">
        <v>0</v>
      </c>
      <c r="C1317" t="s">
        <v>112</v>
      </c>
      <c r="D1317" t="s">
        <v>33</v>
      </c>
      <c r="E1317">
        <v>21.038495971351839</v>
      </c>
    </row>
    <row r="1318" spans="1:5" x14ac:dyDescent="0.3">
      <c r="A1318" t="s">
        <v>67</v>
      </c>
      <c r="B1318" t="s">
        <v>0</v>
      </c>
      <c r="C1318" t="s">
        <v>113</v>
      </c>
      <c r="D1318" t="s">
        <v>33</v>
      </c>
      <c r="E1318">
        <v>33.464216522653579</v>
      </c>
    </row>
    <row r="1319" spans="1:5" x14ac:dyDescent="0.3">
      <c r="A1319" t="s">
        <v>67</v>
      </c>
      <c r="B1319" t="s">
        <v>0</v>
      </c>
      <c r="C1319" t="s">
        <v>114</v>
      </c>
      <c r="D1319" t="s">
        <v>33</v>
      </c>
      <c r="E1319">
        <v>20.097871516757412</v>
      </c>
    </row>
    <row r="1320" spans="1:5" x14ac:dyDescent="0.3">
      <c r="A1320" t="s">
        <v>67</v>
      </c>
      <c r="B1320" t="s">
        <v>0</v>
      </c>
      <c r="C1320" t="s">
        <v>115</v>
      </c>
      <c r="D1320" t="s">
        <v>33</v>
      </c>
      <c r="E1320">
        <v>9.5113438045375212</v>
      </c>
    </row>
    <row r="1321" spans="1:5" x14ac:dyDescent="0.3">
      <c r="A1321" t="s">
        <v>67</v>
      </c>
      <c r="B1321" t="s">
        <v>0</v>
      </c>
      <c r="C1321" t="s">
        <v>116</v>
      </c>
      <c r="D1321" t="s">
        <v>33</v>
      </c>
      <c r="E1321">
        <v>33.447979363714531</v>
      </c>
    </row>
    <row r="1322" spans="1:5" x14ac:dyDescent="0.3">
      <c r="A1322" t="s">
        <v>67</v>
      </c>
      <c r="B1322" t="s">
        <v>69</v>
      </c>
      <c r="C1322" t="s">
        <v>69</v>
      </c>
      <c r="D1322" t="s">
        <v>34</v>
      </c>
      <c r="E1322">
        <v>49.261629221520273</v>
      </c>
    </row>
    <row r="1323" spans="1:5" x14ac:dyDescent="0.3">
      <c r="A1323" t="s">
        <v>67</v>
      </c>
      <c r="B1323" t="s">
        <v>70</v>
      </c>
      <c r="C1323" t="s">
        <v>78</v>
      </c>
      <c r="D1323" t="s">
        <v>34</v>
      </c>
      <c r="E1323">
        <v>49.16807340402692</v>
      </c>
    </row>
    <row r="1324" spans="1:5" x14ac:dyDescent="0.3">
      <c r="A1324" t="s">
        <v>67</v>
      </c>
      <c r="B1324" t="s">
        <v>70</v>
      </c>
      <c r="C1324" t="s">
        <v>79</v>
      </c>
      <c r="D1324" t="s">
        <v>34</v>
      </c>
      <c r="E1324">
        <v>50.222036599138121</v>
      </c>
    </row>
    <row r="1325" spans="1:5" x14ac:dyDescent="0.3">
      <c r="A1325" t="s">
        <v>67</v>
      </c>
      <c r="B1325" t="s">
        <v>70</v>
      </c>
      <c r="C1325" t="s">
        <v>80</v>
      </c>
      <c r="D1325" t="s">
        <v>34</v>
      </c>
      <c r="E1325">
        <v>48.148069599776619</v>
      </c>
    </row>
    <row r="1326" spans="1:5" x14ac:dyDescent="0.3">
      <c r="A1326" t="s">
        <v>67</v>
      </c>
      <c r="B1326" t="s">
        <v>70</v>
      </c>
      <c r="C1326" t="s">
        <v>81</v>
      </c>
      <c r="D1326" t="s">
        <v>34</v>
      </c>
      <c r="E1326">
        <v>48.349567021266417</v>
      </c>
    </row>
    <row r="1327" spans="1:5" x14ac:dyDescent="0.3">
      <c r="A1327" t="s">
        <v>67</v>
      </c>
      <c r="B1327" t="s">
        <v>71</v>
      </c>
      <c r="C1327" t="s">
        <v>82</v>
      </c>
      <c r="D1327" t="s">
        <v>34</v>
      </c>
      <c r="E1327">
        <v>48.224406132023567</v>
      </c>
    </row>
    <row r="1328" spans="1:5" x14ac:dyDescent="0.3">
      <c r="A1328" t="s">
        <v>67</v>
      </c>
      <c r="B1328" t="s">
        <v>71</v>
      </c>
      <c r="C1328" t="s">
        <v>83</v>
      </c>
      <c r="D1328" t="s">
        <v>34</v>
      </c>
      <c r="E1328">
        <v>48.054544656775768</v>
      </c>
    </row>
    <row r="1329" spans="1:5" x14ac:dyDescent="0.3">
      <c r="A1329" t="s">
        <v>67</v>
      </c>
      <c r="B1329" t="s">
        <v>71</v>
      </c>
      <c r="C1329" t="s">
        <v>84</v>
      </c>
      <c r="D1329" t="s">
        <v>34</v>
      </c>
      <c r="E1329">
        <v>51.059575694807648</v>
      </c>
    </row>
    <row r="1330" spans="1:5" x14ac:dyDescent="0.3">
      <c r="A1330" t="s">
        <v>67</v>
      </c>
      <c r="B1330" t="s">
        <v>71</v>
      </c>
      <c r="C1330" t="s">
        <v>85</v>
      </c>
      <c r="D1330" t="s">
        <v>34</v>
      </c>
      <c r="E1330">
        <v>49.88673104668468</v>
      </c>
    </row>
    <row r="1331" spans="1:5" x14ac:dyDescent="0.3">
      <c r="A1331" t="s">
        <v>67</v>
      </c>
      <c r="B1331" t="s">
        <v>72</v>
      </c>
      <c r="C1331" t="s">
        <v>86</v>
      </c>
      <c r="D1331" t="s">
        <v>34</v>
      </c>
      <c r="E1331">
        <v>50.315152705891983</v>
      </c>
    </row>
    <row r="1332" spans="1:5" x14ac:dyDescent="0.3">
      <c r="A1332" t="s">
        <v>67</v>
      </c>
      <c r="B1332" t="s">
        <v>72</v>
      </c>
      <c r="C1332" t="s">
        <v>87</v>
      </c>
      <c r="D1332" t="s">
        <v>34</v>
      </c>
      <c r="E1332">
        <v>48.159853190398707</v>
      </c>
    </row>
    <row r="1333" spans="1:5" x14ac:dyDescent="0.3">
      <c r="A1333" t="s">
        <v>67</v>
      </c>
      <c r="B1333" t="s">
        <v>73</v>
      </c>
      <c r="C1333" t="s">
        <v>88</v>
      </c>
      <c r="D1333" t="s">
        <v>34</v>
      </c>
      <c r="E1333">
        <v>48.435691676558363</v>
      </c>
    </row>
    <row r="1334" spans="1:5" x14ac:dyDescent="0.3">
      <c r="A1334" t="s">
        <v>67</v>
      </c>
      <c r="B1334" t="s">
        <v>73</v>
      </c>
      <c r="C1334" t="s">
        <v>89</v>
      </c>
      <c r="D1334" t="s">
        <v>34</v>
      </c>
      <c r="E1334">
        <v>49.863740554318007</v>
      </c>
    </row>
    <row r="1335" spans="1:5" x14ac:dyDescent="0.3">
      <c r="A1335" t="s">
        <v>67</v>
      </c>
      <c r="B1335" t="s">
        <v>74</v>
      </c>
      <c r="C1335" t="s">
        <v>90</v>
      </c>
      <c r="D1335" t="s">
        <v>34</v>
      </c>
      <c r="E1335">
        <v>50.029861257267697</v>
      </c>
    </row>
    <row r="1336" spans="1:5" x14ac:dyDescent="0.3">
      <c r="A1336" t="s">
        <v>67</v>
      </c>
      <c r="B1336" t="s">
        <v>74</v>
      </c>
      <c r="C1336" t="s">
        <v>91</v>
      </c>
      <c r="D1336" t="s">
        <v>34</v>
      </c>
      <c r="E1336">
        <v>48.860450736699583</v>
      </c>
    </row>
    <row r="1337" spans="1:5" x14ac:dyDescent="0.3">
      <c r="A1337" t="s">
        <v>67</v>
      </c>
      <c r="B1337" t="s">
        <v>75</v>
      </c>
      <c r="C1337" t="s">
        <v>92</v>
      </c>
      <c r="D1337" t="s">
        <v>34</v>
      </c>
      <c r="E1337">
        <v>49.137810202238022</v>
      </c>
    </row>
    <row r="1338" spans="1:5" x14ac:dyDescent="0.3">
      <c r="A1338" t="s">
        <v>67</v>
      </c>
      <c r="B1338" t="s">
        <v>75</v>
      </c>
      <c r="C1338" t="s">
        <v>93</v>
      </c>
      <c r="D1338" t="s">
        <v>34</v>
      </c>
      <c r="E1338">
        <v>48.849217435197133</v>
      </c>
    </row>
    <row r="1339" spans="1:5" x14ac:dyDescent="0.3">
      <c r="A1339" t="s">
        <v>67</v>
      </c>
      <c r="B1339" t="s">
        <v>75</v>
      </c>
      <c r="C1339" t="s">
        <v>94</v>
      </c>
      <c r="D1339" t="s">
        <v>34</v>
      </c>
      <c r="E1339">
        <v>49.908211581552138</v>
      </c>
    </row>
    <row r="1340" spans="1:5" x14ac:dyDescent="0.3">
      <c r="A1340" t="s">
        <v>67</v>
      </c>
      <c r="B1340" t="s">
        <v>75</v>
      </c>
      <c r="C1340" t="s">
        <v>95</v>
      </c>
      <c r="D1340" t="s">
        <v>34</v>
      </c>
      <c r="E1340">
        <v>49.238255614599822</v>
      </c>
    </row>
    <row r="1341" spans="1:5" x14ac:dyDescent="0.3">
      <c r="A1341" t="s">
        <v>67</v>
      </c>
      <c r="B1341" t="s">
        <v>76</v>
      </c>
      <c r="C1341" t="s">
        <v>96</v>
      </c>
      <c r="D1341" t="s">
        <v>34</v>
      </c>
      <c r="E1341">
        <v>51.862411790383888</v>
      </c>
    </row>
    <row r="1342" spans="1:5" x14ac:dyDescent="0.3">
      <c r="A1342" t="s">
        <v>67</v>
      </c>
      <c r="B1342" t="s">
        <v>76</v>
      </c>
      <c r="C1342" t="s">
        <v>97</v>
      </c>
      <c r="D1342" t="s">
        <v>34</v>
      </c>
      <c r="E1342">
        <v>47.355461406642881</v>
      </c>
    </row>
    <row r="1343" spans="1:5" x14ac:dyDescent="0.3">
      <c r="A1343" t="s">
        <v>67</v>
      </c>
      <c r="B1343" t="s">
        <v>76</v>
      </c>
      <c r="C1343" t="s">
        <v>98</v>
      </c>
      <c r="D1343" t="s">
        <v>34</v>
      </c>
      <c r="E1343">
        <v>49.24715551041588</v>
      </c>
    </row>
    <row r="1344" spans="1:5" x14ac:dyDescent="0.3">
      <c r="A1344" t="s">
        <v>67</v>
      </c>
      <c r="B1344" t="s">
        <v>0</v>
      </c>
      <c r="C1344" t="s">
        <v>99</v>
      </c>
      <c r="D1344" t="s">
        <v>34</v>
      </c>
      <c r="E1344">
        <v>59.286804746971292</v>
      </c>
    </row>
    <row r="1345" spans="1:5" x14ac:dyDescent="0.3">
      <c r="A1345" t="s">
        <v>67</v>
      </c>
      <c r="B1345" t="s">
        <v>0</v>
      </c>
      <c r="C1345" t="s">
        <v>100</v>
      </c>
      <c r="D1345" t="s">
        <v>34</v>
      </c>
      <c r="E1345">
        <v>42.803738317757009</v>
      </c>
    </row>
    <row r="1346" spans="1:5" x14ac:dyDescent="0.3">
      <c r="A1346" t="s">
        <v>67</v>
      </c>
      <c r="B1346" t="s">
        <v>0</v>
      </c>
      <c r="C1346" t="s">
        <v>101</v>
      </c>
      <c r="D1346" t="s">
        <v>34</v>
      </c>
      <c r="E1346">
        <v>46.448979591836739</v>
      </c>
    </row>
    <row r="1347" spans="1:5" x14ac:dyDescent="0.3">
      <c r="A1347" t="s">
        <v>67</v>
      </c>
      <c r="B1347" t="s">
        <v>0</v>
      </c>
      <c r="C1347" t="s">
        <v>102</v>
      </c>
      <c r="D1347" t="s">
        <v>34</v>
      </c>
      <c r="E1347">
        <v>48.472453257004339</v>
      </c>
    </row>
    <row r="1348" spans="1:5" x14ac:dyDescent="0.3">
      <c r="A1348" t="s">
        <v>67</v>
      </c>
      <c r="B1348" t="s">
        <v>0</v>
      </c>
      <c r="C1348" t="s">
        <v>103</v>
      </c>
      <c r="D1348" t="s">
        <v>34</v>
      </c>
      <c r="E1348">
        <v>50.418058575273619</v>
      </c>
    </row>
    <row r="1349" spans="1:5" x14ac:dyDescent="0.3">
      <c r="A1349" t="s">
        <v>67</v>
      </c>
      <c r="B1349" t="s">
        <v>0</v>
      </c>
      <c r="C1349" t="s">
        <v>104</v>
      </c>
      <c r="D1349" t="s">
        <v>34</v>
      </c>
      <c r="E1349">
        <v>51.49023638232272</v>
      </c>
    </row>
    <row r="1350" spans="1:5" x14ac:dyDescent="0.3">
      <c r="A1350" t="s">
        <v>67</v>
      </c>
      <c r="B1350" t="s">
        <v>0</v>
      </c>
      <c r="C1350" t="s">
        <v>105</v>
      </c>
      <c r="D1350" t="s">
        <v>34</v>
      </c>
      <c r="E1350">
        <v>52.008187489919237</v>
      </c>
    </row>
    <row r="1351" spans="1:5" x14ac:dyDescent="0.3">
      <c r="A1351" t="s">
        <v>67</v>
      </c>
      <c r="B1351" t="s">
        <v>0</v>
      </c>
      <c r="C1351" t="s">
        <v>106</v>
      </c>
      <c r="D1351" t="s">
        <v>34</v>
      </c>
      <c r="E1351">
        <v>33.515981735159819</v>
      </c>
    </row>
    <row r="1352" spans="1:5" x14ac:dyDescent="0.3">
      <c r="A1352" t="s">
        <v>67</v>
      </c>
      <c r="B1352" t="s">
        <v>0</v>
      </c>
      <c r="C1352" t="s">
        <v>107</v>
      </c>
      <c r="D1352" t="s">
        <v>34</v>
      </c>
      <c r="E1352">
        <v>48.586154974725652</v>
      </c>
    </row>
    <row r="1353" spans="1:5" x14ac:dyDescent="0.3">
      <c r="A1353" t="s">
        <v>67</v>
      </c>
      <c r="B1353" t="s">
        <v>0</v>
      </c>
      <c r="C1353" t="s">
        <v>108</v>
      </c>
      <c r="D1353" t="s">
        <v>34</v>
      </c>
      <c r="E1353">
        <v>49.472823772633021</v>
      </c>
    </row>
    <row r="1354" spans="1:5" x14ac:dyDescent="0.3">
      <c r="A1354" t="s">
        <v>67</v>
      </c>
      <c r="B1354" t="s">
        <v>0</v>
      </c>
      <c r="C1354" t="s">
        <v>109</v>
      </c>
      <c r="D1354" t="s">
        <v>34</v>
      </c>
      <c r="E1354">
        <v>47.781569965870297</v>
      </c>
    </row>
    <row r="1355" spans="1:5" x14ac:dyDescent="0.3">
      <c r="A1355" t="s">
        <v>67</v>
      </c>
      <c r="B1355" t="s">
        <v>0</v>
      </c>
      <c r="C1355" t="s">
        <v>110</v>
      </c>
      <c r="D1355" t="s">
        <v>34</v>
      </c>
      <c r="E1355">
        <v>46.344520908913019</v>
      </c>
    </row>
    <row r="1356" spans="1:5" x14ac:dyDescent="0.3">
      <c r="A1356" t="s">
        <v>67</v>
      </c>
      <c r="B1356" t="s">
        <v>0</v>
      </c>
      <c r="C1356" t="s">
        <v>111</v>
      </c>
      <c r="D1356" t="s">
        <v>34</v>
      </c>
      <c r="E1356">
        <v>43.110647181628387</v>
      </c>
    </row>
    <row r="1357" spans="1:5" x14ac:dyDescent="0.3">
      <c r="A1357" t="s">
        <v>67</v>
      </c>
      <c r="B1357" t="s">
        <v>0</v>
      </c>
      <c r="C1357" t="s">
        <v>112</v>
      </c>
      <c r="D1357" t="s">
        <v>34</v>
      </c>
      <c r="E1357">
        <v>61.235452103849603</v>
      </c>
    </row>
    <row r="1358" spans="1:5" x14ac:dyDescent="0.3">
      <c r="A1358" t="s">
        <v>67</v>
      </c>
      <c r="B1358" t="s">
        <v>0</v>
      </c>
      <c r="C1358" t="s">
        <v>113</v>
      </c>
      <c r="D1358" t="s">
        <v>34</v>
      </c>
      <c r="E1358">
        <v>52.214106657359629</v>
      </c>
    </row>
    <row r="1359" spans="1:5" x14ac:dyDescent="0.3">
      <c r="A1359" t="s">
        <v>67</v>
      </c>
      <c r="B1359" t="s">
        <v>0</v>
      </c>
      <c r="C1359" t="s">
        <v>114</v>
      </c>
      <c r="D1359" t="s">
        <v>34</v>
      </c>
      <c r="E1359">
        <v>56.643070096008643</v>
      </c>
    </row>
    <row r="1360" spans="1:5" x14ac:dyDescent="0.3">
      <c r="A1360" t="s">
        <v>67</v>
      </c>
      <c r="B1360" t="s">
        <v>0</v>
      </c>
      <c r="C1360" t="s">
        <v>115</v>
      </c>
      <c r="D1360" t="s">
        <v>34</v>
      </c>
      <c r="E1360">
        <v>56.195462478184993</v>
      </c>
    </row>
    <row r="1361" spans="1:5" x14ac:dyDescent="0.3">
      <c r="A1361" t="s">
        <v>67</v>
      </c>
      <c r="B1361" t="s">
        <v>0</v>
      </c>
      <c r="C1361" t="s">
        <v>116</v>
      </c>
      <c r="D1361" t="s">
        <v>34</v>
      </c>
      <c r="E1361">
        <v>40.58469475494411</v>
      </c>
    </row>
    <row r="1362" spans="1:5" x14ac:dyDescent="0.3">
      <c r="A1362" t="s">
        <v>67</v>
      </c>
      <c r="B1362" t="s">
        <v>69</v>
      </c>
      <c r="C1362" t="s">
        <v>69</v>
      </c>
      <c r="D1362" t="s">
        <v>35</v>
      </c>
      <c r="E1362">
        <v>22.29214369512685</v>
      </c>
    </row>
    <row r="1363" spans="1:5" x14ac:dyDescent="0.3">
      <c r="A1363" t="s">
        <v>67</v>
      </c>
      <c r="B1363" t="s">
        <v>70</v>
      </c>
      <c r="C1363" t="s">
        <v>78</v>
      </c>
      <c r="D1363" t="s">
        <v>35</v>
      </c>
      <c r="E1363">
        <v>21.09732378099979</v>
      </c>
    </row>
    <row r="1364" spans="1:5" x14ac:dyDescent="0.3">
      <c r="A1364" t="s">
        <v>67</v>
      </c>
      <c r="B1364" t="s">
        <v>70</v>
      </c>
      <c r="C1364" t="s">
        <v>79</v>
      </c>
      <c r="D1364" t="s">
        <v>35</v>
      </c>
      <c r="E1364">
        <v>22.22794591229037</v>
      </c>
    </row>
    <row r="1365" spans="1:5" x14ac:dyDescent="0.3">
      <c r="A1365" t="s">
        <v>67</v>
      </c>
      <c r="B1365" t="s">
        <v>70</v>
      </c>
      <c r="C1365" t="s">
        <v>80</v>
      </c>
      <c r="D1365" t="s">
        <v>35</v>
      </c>
      <c r="E1365">
        <v>25.148338861543799</v>
      </c>
    </row>
    <row r="1366" spans="1:5" x14ac:dyDescent="0.3">
      <c r="A1366" t="s">
        <v>67</v>
      </c>
      <c r="B1366" t="s">
        <v>70</v>
      </c>
      <c r="C1366" t="s">
        <v>81</v>
      </c>
      <c r="D1366" t="s">
        <v>35</v>
      </c>
      <c r="E1366">
        <v>19.157785148807669</v>
      </c>
    </row>
    <row r="1367" spans="1:5" x14ac:dyDescent="0.3">
      <c r="A1367" t="s">
        <v>67</v>
      </c>
      <c r="B1367" t="s">
        <v>71</v>
      </c>
      <c r="C1367" t="s">
        <v>82</v>
      </c>
      <c r="D1367" t="s">
        <v>35</v>
      </c>
      <c r="E1367">
        <v>25.688792237653988</v>
      </c>
    </row>
    <row r="1368" spans="1:5" x14ac:dyDescent="0.3">
      <c r="A1368" t="s">
        <v>67</v>
      </c>
      <c r="B1368" t="s">
        <v>71</v>
      </c>
      <c r="C1368" t="s">
        <v>83</v>
      </c>
      <c r="D1368" t="s">
        <v>35</v>
      </c>
      <c r="E1368">
        <v>22.944050789741571</v>
      </c>
    </row>
    <row r="1369" spans="1:5" x14ac:dyDescent="0.3">
      <c r="A1369" t="s">
        <v>67</v>
      </c>
      <c r="B1369" t="s">
        <v>71</v>
      </c>
      <c r="C1369" t="s">
        <v>84</v>
      </c>
      <c r="D1369" t="s">
        <v>35</v>
      </c>
      <c r="E1369">
        <v>19.604342326318381</v>
      </c>
    </row>
    <row r="1370" spans="1:5" x14ac:dyDescent="0.3">
      <c r="A1370" t="s">
        <v>67</v>
      </c>
      <c r="B1370" t="s">
        <v>71</v>
      </c>
      <c r="C1370" t="s">
        <v>85</v>
      </c>
      <c r="D1370" t="s">
        <v>35</v>
      </c>
      <c r="E1370">
        <v>22.091455736372829</v>
      </c>
    </row>
    <row r="1371" spans="1:5" x14ac:dyDescent="0.3">
      <c r="A1371" t="s">
        <v>67</v>
      </c>
      <c r="B1371" t="s">
        <v>72</v>
      </c>
      <c r="C1371" t="s">
        <v>86</v>
      </c>
      <c r="D1371" t="s">
        <v>35</v>
      </c>
      <c r="E1371">
        <v>21.547271183290299</v>
      </c>
    </row>
    <row r="1372" spans="1:5" x14ac:dyDescent="0.3">
      <c r="A1372" t="s">
        <v>67</v>
      </c>
      <c r="B1372" t="s">
        <v>72</v>
      </c>
      <c r="C1372" t="s">
        <v>87</v>
      </c>
      <c r="D1372" t="s">
        <v>35</v>
      </c>
      <c r="E1372">
        <v>23.071132196054538</v>
      </c>
    </row>
    <row r="1373" spans="1:5" x14ac:dyDescent="0.3">
      <c r="A1373" t="s">
        <v>67</v>
      </c>
      <c r="B1373" t="s">
        <v>73</v>
      </c>
      <c r="C1373" t="s">
        <v>88</v>
      </c>
      <c r="D1373" t="s">
        <v>35</v>
      </c>
      <c r="E1373">
        <v>22.66430290683769</v>
      </c>
    </row>
    <row r="1374" spans="1:5" x14ac:dyDescent="0.3">
      <c r="A1374" t="s">
        <v>67</v>
      </c>
      <c r="B1374" t="s">
        <v>73</v>
      </c>
      <c r="C1374" t="s">
        <v>89</v>
      </c>
      <c r="D1374" t="s">
        <v>35</v>
      </c>
      <c r="E1374">
        <v>22.00385390151737</v>
      </c>
    </row>
    <row r="1375" spans="1:5" x14ac:dyDescent="0.3">
      <c r="A1375" t="s">
        <v>67</v>
      </c>
      <c r="B1375" t="s">
        <v>74</v>
      </c>
      <c r="C1375" t="s">
        <v>90</v>
      </c>
      <c r="D1375" t="s">
        <v>35</v>
      </c>
      <c r="E1375">
        <v>21.638868458566201</v>
      </c>
    </row>
    <row r="1376" spans="1:5" x14ac:dyDescent="0.3">
      <c r="A1376" t="s">
        <v>67</v>
      </c>
      <c r="B1376" t="s">
        <v>74</v>
      </c>
      <c r="C1376" t="s">
        <v>91</v>
      </c>
      <c r="D1376" t="s">
        <v>35</v>
      </c>
      <c r="E1376">
        <v>22.62655223040996</v>
      </c>
    </row>
    <row r="1377" spans="1:5" x14ac:dyDescent="0.3">
      <c r="A1377" t="s">
        <v>67</v>
      </c>
      <c r="B1377" t="s">
        <v>75</v>
      </c>
      <c r="C1377" t="s">
        <v>92</v>
      </c>
      <c r="D1377" t="s">
        <v>35</v>
      </c>
      <c r="E1377">
        <v>22.73448457899282</v>
      </c>
    </row>
    <row r="1378" spans="1:5" x14ac:dyDescent="0.3">
      <c r="A1378" t="s">
        <v>67</v>
      </c>
      <c r="B1378" t="s">
        <v>75</v>
      </c>
      <c r="C1378" t="s">
        <v>93</v>
      </c>
      <c r="D1378" t="s">
        <v>35</v>
      </c>
      <c r="E1378">
        <v>22.02470806450717</v>
      </c>
    </row>
    <row r="1379" spans="1:5" x14ac:dyDescent="0.3">
      <c r="A1379" t="s">
        <v>67</v>
      </c>
      <c r="B1379" t="s">
        <v>75</v>
      </c>
      <c r="C1379" t="s">
        <v>94</v>
      </c>
      <c r="D1379" t="s">
        <v>35</v>
      </c>
      <c r="E1379">
        <v>21.754812541033321</v>
      </c>
    </row>
    <row r="1380" spans="1:5" x14ac:dyDescent="0.3">
      <c r="A1380" t="s">
        <v>67</v>
      </c>
      <c r="B1380" t="s">
        <v>75</v>
      </c>
      <c r="C1380" t="s">
        <v>95</v>
      </c>
      <c r="D1380" t="s">
        <v>35</v>
      </c>
      <c r="E1380">
        <v>20.676868269893269</v>
      </c>
    </row>
    <row r="1381" spans="1:5" x14ac:dyDescent="0.3">
      <c r="A1381" t="s">
        <v>67</v>
      </c>
      <c r="B1381" t="s">
        <v>76</v>
      </c>
      <c r="C1381" t="s">
        <v>96</v>
      </c>
      <c r="D1381" t="s">
        <v>35</v>
      </c>
      <c r="E1381">
        <v>21.74271302108594</v>
      </c>
    </row>
    <row r="1382" spans="1:5" x14ac:dyDescent="0.3">
      <c r="A1382" t="s">
        <v>67</v>
      </c>
      <c r="B1382" t="s">
        <v>76</v>
      </c>
      <c r="C1382" t="s">
        <v>97</v>
      </c>
      <c r="D1382" t="s">
        <v>35</v>
      </c>
      <c r="E1382">
        <v>23.997997539249329</v>
      </c>
    </row>
    <row r="1383" spans="1:5" x14ac:dyDescent="0.3">
      <c r="A1383" t="s">
        <v>67</v>
      </c>
      <c r="B1383" t="s">
        <v>76</v>
      </c>
      <c r="C1383" t="s">
        <v>98</v>
      </c>
      <c r="D1383" t="s">
        <v>35</v>
      </c>
      <c r="E1383">
        <v>21.603767902877909</v>
      </c>
    </row>
    <row r="1384" spans="1:5" x14ac:dyDescent="0.3">
      <c r="A1384" t="s">
        <v>67</v>
      </c>
      <c r="B1384" t="s">
        <v>0</v>
      </c>
      <c r="C1384" t="s">
        <v>99</v>
      </c>
      <c r="D1384" t="s">
        <v>35</v>
      </c>
      <c r="E1384">
        <v>20.28209417828052</v>
      </c>
    </row>
    <row r="1385" spans="1:5" x14ac:dyDescent="0.3">
      <c r="A1385" t="s">
        <v>67</v>
      </c>
      <c r="B1385" t="s">
        <v>0</v>
      </c>
      <c r="C1385" t="s">
        <v>100</v>
      </c>
      <c r="D1385" t="s">
        <v>35</v>
      </c>
      <c r="E1385">
        <v>43.271028037383182</v>
      </c>
    </row>
    <row r="1386" spans="1:5" x14ac:dyDescent="0.3">
      <c r="A1386" t="s">
        <v>67</v>
      </c>
      <c r="B1386" t="s">
        <v>0</v>
      </c>
      <c r="C1386" t="s">
        <v>101</v>
      </c>
      <c r="D1386" t="s">
        <v>35</v>
      </c>
      <c r="E1386">
        <v>6.7755102040816322</v>
      </c>
    </row>
    <row r="1387" spans="1:5" x14ac:dyDescent="0.3">
      <c r="A1387" t="s">
        <v>67</v>
      </c>
      <c r="B1387" t="s">
        <v>0</v>
      </c>
      <c r="C1387" t="s">
        <v>102</v>
      </c>
      <c r="D1387" t="s">
        <v>35</v>
      </c>
      <c r="E1387">
        <v>4.3216903648422216</v>
      </c>
    </row>
    <row r="1388" spans="1:5" x14ac:dyDescent="0.3">
      <c r="A1388" t="s">
        <v>67</v>
      </c>
      <c r="B1388" t="s">
        <v>0</v>
      </c>
      <c r="C1388" t="s">
        <v>103</v>
      </c>
      <c r="D1388" t="s">
        <v>35</v>
      </c>
      <c r="E1388">
        <v>13.404645446933889</v>
      </c>
    </row>
    <row r="1389" spans="1:5" x14ac:dyDescent="0.3">
      <c r="A1389" t="s">
        <v>67</v>
      </c>
      <c r="B1389" t="s">
        <v>0</v>
      </c>
      <c r="C1389" t="s">
        <v>104</v>
      </c>
      <c r="D1389" t="s">
        <v>35</v>
      </c>
      <c r="E1389">
        <v>16.855087358684479</v>
      </c>
    </row>
    <row r="1390" spans="1:5" x14ac:dyDescent="0.3">
      <c r="A1390" t="s">
        <v>67</v>
      </c>
      <c r="B1390" t="s">
        <v>0</v>
      </c>
      <c r="C1390" t="s">
        <v>105</v>
      </c>
      <c r="D1390" t="s">
        <v>35</v>
      </c>
      <c r="E1390">
        <v>23.605629384785239</v>
      </c>
    </row>
    <row r="1391" spans="1:5" x14ac:dyDescent="0.3">
      <c r="A1391" t="s">
        <v>67</v>
      </c>
      <c r="B1391" t="s">
        <v>0</v>
      </c>
      <c r="C1391" t="s">
        <v>106</v>
      </c>
      <c r="D1391" t="s">
        <v>35</v>
      </c>
      <c r="E1391">
        <v>49.315068493150683</v>
      </c>
    </row>
    <row r="1392" spans="1:5" x14ac:dyDescent="0.3">
      <c r="A1392" t="s">
        <v>67</v>
      </c>
      <c r="B1392" t="s">
        <v>0</v>
      </c>
      <c r="C1392" t="s">
        <v>107</v>
      </c>
      <c r="D1392" t="s">
        <v>35</v>
      </c>
      <c r="E1392">
        <v>18.52380179986433</v>
      </c>
    </row>
    <row r="1393" spans="1:5" x14ac:dyDescent="0.3">
      <c r="A1393" t="s">
        <v>67</v>
      </c>
      <c r="B1393" t="s">
        <v>0</v>
      </c>
      <c r="C1393" t="s">
        <v>108</v>
      </c>
      <c r="D1393" t="s">
        <v>35</v>
      </c>
      <c r="E1393">
        <v>17.914599914181998</v>
      </c>
    </row>
    <row r="1394" spans="1:5" x14ac:dyDescent="0.3">
      <c r="A1394" t="s">
        <v>67</v>
      </c>
      <c r="B1394" t="s">
        <v>0</v>
      </c>
      <c r="C1394" t="s">
        <v>109</v>
      </c>
      <c r="D1394" t="s">
        <v>35</v>
      </c>
      <c r="E1394">
        <v>15.61433447098976</v>
      </c>
    </row>
    <row r="1395" spans="1:5" x14ac:dyDescent="0.3">
      <c r="A1395" t="s">
        <v>67</v>
      </c>
      <c r="B1395" t="s">
        <v>0</v>
      </c>
      <c r="C1395" t="s">
        <v>110</v>
      </c>
      <c r="D1395" t="s">
        <v>35</v>
      </c>
      <c r="E1395">
        <v>36.13004970440673</v>
      </c>
    </row>
    <row r="1396" spans="1:5" x14ac:dyDescent="0.3">
      <c r="A1396" t="s">
        <v>67</v>
      </c>
      <c r="B1396" t="s">
        <v>0</v>
      </c>
      <c r="C1396" t="s">
        <v>111</v>
      </c>
      <c r="D1396" t="s">
        <v>35</v>
      </c>
      <c r="E1396">
        <v>34.759916492693108</v>
      </c>
    </row>
    <row r="1397" spans="1:5" x14ac:dyDescent="0.3">
      <c r="A1397" t="s">
        <v>67</v>
      </c>
      <c r="B1397" t="s">
        <v>0</v>
      </c>
      <c r="C1397" t="s">
        <v>112</v>
      </c>
      <c r="D1397" t="s">
        <v>35</v>
      </c>
      <c r="E1397">
        <v>17.00984780662489</v>
      </c>
    </row>
    <row r="1398" spans="1:5" x14ac:dyDescent="0.3">
      <c r="A1398" t="s">
        <v>67</v>
      </c>
      <c r="B1398" t="s">
        <v>0</v>
      </c>
      <c r="C1398" t="s">
        <v>113</v>
      </c>
      <c r="D1398" t="s">
        <v>35</v>
      </c>
      <c r="E1398">
        <v>13.73054977900969</v>
      </c>
    </row>
    <row r="1399" spans="1:5" x14ac:dyDescent="0.3">
      <c r="A1399" t="s">
        <v>67</v>
      </c>
      <c r="B1399" t="s">
        <v>0</v>
      </c>
      <c r="C1399" t="s">
        <v>114</v>
      </c>
      <c r="D1399" t="s">
        <v>35</v>
      </c>
      <c r="E1399">
        <v>21.84276670472412</v>
      </c>
    </row>
    <row r="1400" spans="1:5" x14ac:dyDescent="0.3">
      <c r="A1400" t="s">
        <v>67</v>
      </c>
      <c r="B1400" t="s">
        <v>0</v>
      </c>
      <c r="C1400" t="s">
        <v>115</v>
      </c>
      <c r="D1400" t="s">
        <v>35</v>
      </c>
      <c r="E1400">
        <v>32.809773123909252</v>
      </c>
    </row>
    <row r="1401" spans="1:5" x14ac:dyDescent="0.3">
      <c r="A1401" t="s">
        <v>67</v>
      </c>
      <c r="B1401" t="s">
        <v>0</v>
      </c>
      <c r="C1401" t="s">
        <v>116</v>
      </c>
      <c r="D1401" t="s">
        <v>35</v>
      </c>
      <c r="E1401">
        <v>21.668099742046429</v>
      </c>
    </row>
    <row r="1402" spans="1:5" x14ac:dyDescent="0.3">
      <c r="A1402" t="s">
        <v>67</v>
      </c>
      <c r="B1402" t="s">
        <v>69</v>
      </c>
      <c r="C1402" t="s">
        <v>69</v>
      </c>
      <c r="D1402" t="s">
        <v>36</v>
      </c>
      <c r="E1402">
        <v>2.1933620794415538</v>
      </c>
    </row>
    <row r="1403" spans="1:5" x14ac:dyDescent="0.3">
      <c r="A1403" t="s">
        <v>67</v>
      </c>
      <c r="B1403" t="s">
        <v>70</v>
      </c>
      <c r="C1403" t="s">
        <v>78</v>
      </c>
      <c r="D1403" t="s">
        <v>36</v>
      </c>
      <c r="E1403">
        <v>2.5240535595135629</v>
      </c>
    </row>
    <row r="1404" spans="1:5" x14ac:dyDescent="0.3">
      <c r="A1404" t="s">
        <v>67</v>
      </c>
      <c r="B1404" t="s">
        <v>70</v>
      </c>
      <c r="C1404" t="s">
        <v>79</v>
      </c>
      <c r="D1404" t="s">
        <v>36</v>
      </c>
      <c r="E1404">
        <v>2.344287616211385</v>
      </c>
    </row>
    <row r="1405" spans="1:5" x14ac:dyDescent="0.3">
      <c r="A1405" t="s">
        <v>67</v>
      </c>
      <c r="B1405" t="s">
        <v>70</v>
      </c>
      <c r="C1405" t="s">
        <v>80</v>
      </c>
      <c r="D1405" t="s">
        <v>36</v>
      </c>
      <c r="E1405">
        <v>1.9463462315406299</v>
      </c>
    </row>
    <row r="1406" spans="1:5" x14ac:dyDescent="0.3">
      <c r="A1406" t="s">
        <v>67</v>
      </c>
      <c r="B1406" t="s">
        <v>70</v>
      </c>
      <c r="C1406" t="s">
        <v>81</v>
      </c>
      <c r="D1406" t="s">
        <v>36</v>
      </c>
      <c r="E1406">
        <v>1.602013796503611</v>
      </c>
    </row>
    <row r="1407" spans="1:5" x14ac:dyDescent="0.3">
      <c r="A1407" t="s">
        <v>67</v>
      </c>
      <c r="B1407" t="s">
        <v>71</v>
      </c>
      <c r="C1407" t="s">
        <v>82</v>
      </c>
      <c r="D1407" t="s">
        <v>36</v>
      </c>
      <c r="E1407">
        <v>2.1979235830676069</v>
      </c>
    </row>
    <row r="1408" spans="1:5" x14ac:dyDescent="0.3">
      <c r="A1408" t="s">
        <v>67</v>
      </c>
      <c r="B1408" t="s">
        <v>71</v>
      </c>
      <c r="C1408" t="s">
        <v>83</v>
      </c>
      <c r="D1408" t="s">
        <v>36</v>
      </c>
      <c r="E1408">
        <v>2.1203205598850889</v>
      </c>
    </row>
    <row r="1409" spans="1:5" x14ac:dyDescent="0.3">
      <c r="A1409" t="s">
        <v>67</v>
      </c>
      <c r="B1409" t="s">
        <v>71</v>
      </c>
      <c r="C1409" t="s">
        <v>84</v>
      </c>
      <c r="D1409" t="s">
        <v>36</v>
      </c>
      <c r="E1409">
        <v>2.2802436985290679</v>
      </c>
    </row>
    <row r="1410" spans="1:5" x14ac:dyDescent="0.3">
      <c r="A1410" t="s">
        <v>67</v>
      </c>
      <c r="B1410" t="s">
        <v>71</v>
      </c>
      <c r="C1410" t="s">
        <v>85</v>
      </c>
      <c r="D1410" t="s">
        <v>36</v>
      </c>
      <c r="E1410">
        <v>2.1694046130385298</v>
      </c>
    </row>
    <row r="1411" spans="1:5" x14ac:dyDescent="0.3">
      <c r="A1411" t="s">
        <v>67</v>
      </c>
      <c r="B1411" t="s">
        <v>72</v>
      </c>
      <c r="C1411" t="s">
        <v>86</v>
      </c>
      <c r="D1411" t="s">
        <v>36</v>
      </c>
      <c r="E1411">
        <v>2.0662028721736529</v>
      </c>
    </row>
    <row r="1412" spans="1:5" x14ac:dyDescent="0.3">
      <c r="A1412" t="s">
        <v>67</v>
      </c>
      <c r="B1412" t="s">
        <v>72</v>
      </c>
      <c r="C1412" t="s">
        <v>87</v>
      </c>
      <c r="D1412" t="s">
        <v>36</v>
      </c>
      <c r="E1412">
        <v>2.326345319760823</v>
      </c>
    </row>
    <row r="1413" spans="1:5" x14ac:dyDescent="0.3">
      <c r="A1413" t="s">
        <v>67</v>
      </c>
      <c r="B1413" t="s">
        <v>73</v>
      </c>
      <c r="C1413" t="s">
        <v>88</v>
      </c>
      <c r="D1413" t="s">
        <v>36</v>
      </c>
      <c r="E1413">
        <v>2.1038675085785941</v>
      </c>
    </row>
    <row r="1414" spans="1:5" x14ac:dyDescent="0.3">
      <c r="A1414" t="s">
        <v>67</v>
      </c>
      <c r="B1414" t="s">
        <v>73</v>
      </c>
      <c r="C1414" t="s">
        <v>89</v>
      </c>
      <c r="D1414" t="s">
        <v>36</v>
      </c>
      <c r="E1414">
        <v>2.2502582544876089</v>
      </c>
    </row>
    <row r="1415" spans="1:5" x14ac:dyDescent="0.3">
      <c r="A1415" t="s">
        <v>67</v>
      </c>
      <c r="B1415" t="s">
        <v>74</v>
      </c>
      <c r="C1415" t="s">
        <v>90</v>
      </c>
      <c r="D1415" t="s">
        <v>36</v>
      </c>
      <c r="E1415">
        <v>2.359598219658519</v>
      </c>
    </row>
    <row r="1416" spans="1:5" x14ac:dyDescent="0.3">
      <c r="A1416" t="s">
        <v>67</v>
      </c>
      <c r="B1416" t="s">
        <v>74</v>
      </c>
      <c r="C1416" t="s">
        <v>91</v>
      </c>
      <c r="D1416" t="s">
        <v>36</v>
      </c>
      <c r="E1416">
        <v>2.082885520955791</v>
      </c>
    </row>
    <row r="1417" spans="1:5" x14ac:dyDescent="0.3">
      <c r="A1417" t="s">
        <v>67</v>
      </c>
      <c r="B1417" t="s">
        <v>75</v>
      </c>
      <c r="C1417" t="s">
        <v>92</v>
      </c>
      <c r="D1417" t="s">
        <v>36</v>
      </c>
      <c r="E1417">
        <v>2.4455697637905018</v>
      </c>
    </row>
    <row r="1418" spans="1:5" x14ac:dyDescent="0.3">
      <c r="A1418" t="s">
        <v>67</v>
      </c>
      <c r="B1418" t="s">
        <v>75</v>
      </c>
      <c r="C1418" t="s">
        <v>93</v>
      </c>
      <c r="D1418" t="s">
        <v>36</v>
      </c>
      <c r="E1418">
        <v>1.976463296647097</v>
      </c>
    </row>
    <row r="1419" spans="1:5" x14ac:dyDescent="0.3">
      <c r="A1419" t="s">
        <v>67</v>
      </c>
      <c r="B1419" t="s">
        <v>75</v>
      </c>
      <c r="C1419" t="s">
        <v>94</v>
      </c>
      <c r="D1419" t="s">
        <v>36</v>
      </c>
      <c r="E1419">
        <v>2.3487998503200278</v>
      </c>
    </row>
    <row r="1420" spans="1:5" x14ac:dyDescent="0.3">
      <c r="A1420" t="s">
        <v>67</v>
      </c>
      <c r="B1420" t="s">
        <v>75</v>
      </c>
      <c r="C1420" t="s">
        <v>95</v>
      </c>
      <c r="D1420" t="s">
        <v>36</v>
      </c>
      <c r="E1420">
        <v>2.5075987381938298</v>
      </c>
    </row>
    <row r="1421" spans="1:5" x14ac:dyDescent="0.3">
      <c r="A1421" t="s">
        <v>67</v>
      </c>
      <c r="B1421" t="s">
        <v>76</v>
      </c>
      <c r="C1421" t="s">
        <v>96</v>
      </c>
      <c r="D1421" t="s">
        <v>36</v>
      </c>
      <c r="E1421">
        <v>2.0796078763859782</v>
      </c>
    </row>
    <row r="1422" spans="1:5" x14ac:dyDescent="0.3">
      <c r="A1422" t="s">
        <v>67</v>
      </c>
      <c r="B1422" t="s">
        <v>76</v>
      </c>
      <c r="C1422" t="s">
        <v>97</v>
      </c>
      <c r="D1422" t="s">
        <v>36</v>
      </c>
      <c r="E1422">
        <v>2.54169089332661</v>
      </c>
    </row>
    <row r="1423" spans="1:5" x14ac:dyDescent="0.3">
      <c r="A1423" t="s">
        <v>67</v>
      </c>
      <c r="B1423" t="s">
        <v>76</v>
      </c>
      <c r="C1423" t="s">
        <v>98</v>
      </c>
      <c r="D1423" t="s">
        <v>36</v>
      </c>
      <c r="E1423">
        <v>2.0534147184913372</v>
      </c>
    </row>
    <row r="1424" spans="1:5" x14ac:dyDescent="0.3">
      <c r="A1424" t="s">
        <v>67</v>
      </c>
      <c r="B1424" t="s">
        <v>0</v>
      </c>
      <c r="C1424" t="s">
        <v>99</v>
      </c>
      <c r="D1424" t="s">
        <v>36</v>
      </c>
      <c r="E1424">
        <v>1.1847398127093911</v>
      </c>
    </row>
    <row r="1425" spans="1:5" x14ac:dyDescent="0.3">
      <c r="A1425" t="s">
        <v>67</v>
      </c>
      <c r="B1425" t="s">
        <v>0</v>
      </c>
      <c r="C1425" t="s">
        <v>100</v>
      </c>
      <c r="D1425" t="s">
        <v>36</v>
      </c>
      <c r="E1425">
        <v>3.7383177570093449</v>
      </c>
    </row>
    <row r="1426" spans="1:5" x14ac:dyDescent="0.3">
      <c r="A1426" t="s">
        <v>67</v>
      </c>
      <c r="B1426" t="s">
        <v>0</v>
      </c>
      <c r="C1426" t="s">
        <v>101</v>
      </c>
      <c r="D1426" t="s">
        <v>36</v>
      </c>
      <c r="E1426">
        <v>0.89795918367346939</v>
      </c>
    </row>
    <row r="1427" spans="1:5" x14ac:dyDescent="0.3">
      <c r="A1427" t="s">
        <v>67</v>
      </c>
      <c r="B1427" t="s">
        <v>0</v>
      </c>
      <c r="C1427" t="s">
        <v>102</v>
      </c>
      <c r="D1427" t="s">
        <v>36</v>
      </c>
      <c r="E1427">
        <v>0.73674159646080162</v>
      </c>
    </row>
    <row r="1428" spans="1:5" x14ac:dyDescent="0.3">
      <c r="A1428" t="s">
        <v>67</v>
      </c>
      <c r="B1428" t="s">
        <v>0</v>
      </c>
      <c r="C1428" t="s">
        <v>103</v>
      </c>
      <c r="D1428" t="s">
        <v>36</v>
      </c>
      <c r="E1428">
        <v>1.005980326758465</v>
      </c>
    </row>
    <row r="1429" spans="1:5" x14ac:dyDescent="0.3">
      <c r="A1429" t="s">
        <v>67</v>
      </c>
      <c r="B1429" t="s">
        <v>0</v>
      </c>
      <c r="C1429" t="s">
        <v>104</v>
      </c>
      <c r="D1429" t="s">
        <v>36</v>
      </c>
      <c r="E1429">
        <v>1.8499486125385409</v>
      </c>
    </row>
    <row r="1430" spans="1:5" x14ac:dyDescent="0.3">
      <c r="A1430" t="s">
        <v>67</v>
      </c>
      <c r="B1430" t="s">
        <v>0</v>
      </c>
      <c r="C1430" t="s">
        <v>105</v>
      </c>
      <c r="D1430" t="s">
        <v>36</v>
      </c>
      <c r="E1430">
        <v>1.9876208338789161</v>
      </c>
    </row>
    <row r="1431" spans="1:5" x14ac:dyDescent="0.3">
      <c r="A1431" t="s">
        <v>67</v>
      </c>
      <c r="B1431" t="s">
        <v>0</v>
      </c>
      <c r="C1431" t="s">
        <v>106</v>
      </c>
      <c r="D1431" t="s">
        <v>36</v>
      </c>
      <c r="E1431">
        <v>4.474885844748858</v>
      </c>
    </row>
    <row r="1432" spans="1:5" x14ac:dyDescent="0.3">
      <c r="A1432" t="s">
        <v>67</v>
      </c>
      <c r="B1432" t="s">
        <v>0</v>
      </c>
      <c r="C1432" t="s">
        <v>107</v>
      </c>
      <c r="D1432" t="s">
        <v>36</v>
      </c>
      <c r="E1432">
        <v>2.8707732297796378</v>
      </c>
    </row>
    <row r="1433" spans="1:5" x14ac:dyDescent="0.3">
      <c r="A1433" t="s">
        <v>67</v>
      </c>
      <c r="B1433" t="s">
        <v>0</v>
      </c>
      <c r="C1433" t="s">
        <v>108</v>
      </c>
      <c r="D1433" t="s">
        <v>36</v>
      </c>
      <c r="E1433">
        <v>2.2490650212369978</v>
      </c>
    </row>
    <row r="1434" spans="1:5" x14ac:dyDescent="0.3">
      <c r="A1434" t="s">
        <v>67</v>
      </c>
      <c r="B1434" t="s">
        <v>0</v>
      </c>
      <c r="C1434" t="s">
        <v>109</v>
      </c>
      <c r="D1434" t="s">
        <v>36</v>
      </c>
      <c r="E1434">
        <v>1.9624573378839589</v>
      </c>
    </row>
    <row r="1435" spans="1:5" x14ac:dyDescent="0.3">
      <c r="A1435" t="s">
        <v>67</v>
      </c>
      <c r="B1435" t="s">
        <v>0</v>
      </c>
      <c r="C1435" t="s">
        <v>110</v>
      </c>
      <c r="D1435" t="s">
        <v>36</v>
      </c>
      <c r="E1435">
        <v>6.0458748112336806</v>
      </c>
    </row>
    <row r="1436" spans="1:5" x14ac:dyDescent="0.3">
      <c r="A1436" t="s">
        <v>67</v>
      </c>
      <c r="B1436" t="s">
        <v>0</v>
      </c>
      <c r="C1436" t="s">
        <v>111</v>
      </c>
      <c r="D1436" t="s">
        <v>36</v>
      </c>
      <c r="E1436">
        <v>3.131524008350731</v>
      </c>
    </row>
    <row r="1437" spans="1:5" x14ac:dyDescent="0.3">
      <c r="A1437" t="s">
        <v>67</v>
      </c>
      <c r="B1437" t="s">
        <v>0</v>
      </c>
      <c r="C1437" t="s">
        <v>112</v>
      </c>
      <c r="D1437" t="s">
        <v>36</v>
      </c>
      <c r="E1437">
        <v>0.71620411817367946</v>
      </c>
    </row>
    <row r="1438" spans="1:5" x14ac:dyDescent="0.3">
      <c r="A1438" t="s">
        <v>67</v>
      </c>
      <c r="B1438" t="s">
        <v>0</v>
      </c>
      <c r="C1438" t="s">
        <v>113</v>
      </c>
      <c r="D1438" t="s">
        <v>36</v>
      </c>
      <c r="E1438">
        <v>0.59112704097714963</v>
      </c>
    </row>
    <row r="1439" spans="1:5" x14ac:dyDescent="0.3">
      <c r="A1439" t="s">
        <v>67</v>
      </c>
      <c r="B1439" t="s">
        <v>0</v>
      </c>
      <c r="C1439" t="s">
        <v>114</v>
      </c>
      <c r="D1439" t="s">
        <v>36</v>
      </c>
      <c r="E1439">
        <v>1.4162916825098191</v>
      </c>
    </row>
    <row r="1440" spans="1:5" x14ac:dyDescent="0.3">
      <c r="A1440" t="s">
        <v>67</v>
      </c>
      <c r="B1440" t="s">
        <v>0</v>
      </c>
      <c r="C1440" t="s">
        <v>115</v>
      </c>
      <c r="D1440" t="s">
        <v>36</v>
      </c>
      <c r="E1440">
        <v>1.483420593368237</v>
      </c>
    </row>
    <row r="1441" spans="1:5" x14ac:dyDescent="0.3">
      <c r="A1441" t="s">
        <v>67</v>
      </c>
      <c r="B1441" t="s">
        <v>0</v>
      </c>
      <c r="C1441" t="s">
        <v>116</v>
      </c>
      <c r="D1441" t="s">
        <v>36</v>
      </c>
      <c r="E1441">
        <v>4.2992261392949267</v>
      </c>
    </row>
    <row r="1442" spans="1:5" x14ac:dyDescent="0.3">
      <c r="A1442" t="s">
        <v>1</v>
      </c>
      <c r="B1442" t="s">
        <v>69</v>
      </c>
      <c r="C1442" t="s">
        <v>69</v>
      </c>
      <c r="D1442" t="s">
        <v>33</v>
      </c>
      <c r="E1442">
        <v>27.999670881521279</v>
      </c>
    </row>
    <row r="1443" spans="1:5" x14ac:dyDescent="0.3">
      <c r="A1443" t="s">
        <v>1</v>
      </c>
      <c r="B1443" t="s">
        <v>70</v>
      </c>
      <c r="C1443" t="s">
        <v>78</v>
      </c>
      <c r="D1443" t="s">
        <v>33</v>
      </c>
      <c r="E1443">
        <v>28.743027746074539</v>
      </c>
    </row>
    <row r="1444" spans="1:5" x14ac:dyDescent="0.3">
      <c r="A1444" t="s">
        <v>1</v>
      </c>
      <c r="B1444" t="s">
        <v>70</v>
      </c>
      <c r="C1444" t="s">
        <v>79</v>
      </c>
      <c r="D1444" t="s">
        <v>33</v>
      </c>
      <c r="E1444">
        <v>27.575163298603201</v>
      </c>
    </row>
    <row r="1445" spans="1:5" x14ac:dyDescent="0.3">
      <c r="A1445" t="s">
        <v>1</v>
      </c>
      <c r="B1445" t="s">
        <v>70</v>
      </c>
      <c r="C1445" t="s">
        <v>80</v>
      </c>
      <c r="D1445" t="s">
        <v>33</v>
      </c>
      <c r="E1445">
        <v>27.620496745017299</v>
      </c>
    </row>
    <row r="1446" spans="1:5" x14ac:dyDescent="0.3">
      <c r="A1446" t="s">
        <v>1</v>
      </c>
      <c r="B1446" t="s">
        <v>70</v>
      </c>
      <c r="C1446" t="s">
        <v>81</v>
      </c>
      <c r="D1446" t="s">
        <v>33</v>
      </c>
      <c r="E1446">
        <v>28.689698446242399</v>
      </c>
    </row>
    <row r="1447" spans="1:5" x14ac:dyDescent="0.3">
      <c r="A1447" t="s">
        <v>1</v>
      </c>
      <c r="B1447" t="s">
        <v>71</v>
      </c>
      <c r="C1447" t="s">
        <v>82</v>
      </c>
      <c r="D1447" t="s">
        <v>33</v>
      </c>
      <c r="E1447">
        <v>25.257490834594432</v>
      </c>
    </row>
    <row r="1448" spans="1:5" x14ac:dyDescent="0.3">
      <c r="A1448" t="s">
        <v>1</v>
      </c>
      <c r="B1448" t="s">
        <v>71</v>
      </c>
      <c r="C1448" t="s">
        <v>83</v>
      </c>
      <c r="D1448" t="s">
        <v>33</v>
      </c>
      <c r="E1448">
        <v>28.338380298570531</v>
      </c>
    </row>
    <row r="1449" spans="1:5" x14ac:dyDescent="0.3">
      <c r="A1449" t="s">
        <v>1</v>
      </c>
      <c r="B1449" t="s">
        <v>71</v>
      </c>
      <c r="C1449" t="s">
        <v>84</v>
      </c>
      <c r="D1449" t="s">
        <v>33</v>
      </c>
      <c r="E1449">
        <v>29.181637637208642</v>
      </c>
    </row>
    <row r="1450" spans="1:5" x14ac:dyDescent="0.3">
      <c r="A1450" t="s">
        <v>1</v>
      </c>
      <c r="B1450" t="s">
        <v>71</v>
      </c>
      <c r="C1450" t="s">
        <v>85</v>
      </c>
      <c r="D1450" t="s">
        <v>33</v>
      </c>
      <c r="E1450">
        <v>28.785713843093379</v>
      </c>
    </row>
    <row r="1451" spans="1:5" x14ac:dyDescent="0.3">
      <c r="A1451" t="s">
        <v>1</v>
      </c>
      <c r="B1451" t="s">
        <v>72</v>
      </c>
      <c r="C1451" t="s">
        <v>86</v>
      </c>
      <c r="D1451" t="s">
        <v>33</v>
      </c>
      <c r="E1451">
        <v>28.13899567275168</v>
      </c>
    </row>
    <row r="1452" spans="1:5" x14ac:dyDescent="0.3">
      <c r="A1452" t="s">
        <v>1</v>
      </c>
      <c r="B1452" t="s">
        <v>72</v>
      </c>
      <c r="C1452" t="s">
        <v>87</v>
      </c>
      <c r="D1452" t="s">
        <v>33</v>
      </c>
      <c r="E1452">
        <v>27.855127820140691</v>
      </c>
    </row>
    <row r="1453" spans="1:5" x14ac:dyDescent="0.3">
      <c r="A1453" t="s">
        <v>1</v>
      </c>
      <c r="B1453" t="s">
        <v>73</v>
      </c>
      <c r="C1453" t="s">
        <v>88</v>
      </c>
      <c r="D1453" t="s">
        <v>33</v>
      </c>
      <c r="E1453">
        <v>27.732327211686311</v>
      </c>
    </row>
    <row r="1454" spans="1:5" x14ac:dyDescent="0.3">
      <c r="A1454" t="s">
        <v>1</v>
      </c>
      <c r="B1454" t="s">
        <v>73</v>
      </c>
      <c r="C1454" t="s">
        <v>89</v>
      </c>
      <c r="D1454" t="s">
        <v>33</v>
      </c>
      <c r="E1454">
        <v>28.15339576270776</v>
      </c>
    </row>
    <row r="1455" spans="1:5" x14ac:dyDescent="0.3">
      <c r="A1455" t="s">
        <v>1</v>
      </c>
      <c r="B1455" t="s">
        <v>74</v>
      </c>
      <c r="C1455" t="s">
        <v>90</v>
      </c>
      <c r="D1455" t="s">
        <v>33</v>
      </c>
      <c r="E1455">
        <v>27.535339552495142</v>
      </c>
    </row>
    <row r="1456" spans="1:5" x14ac:dyDescent="0.3">
      <c r="A1456" t="s">
        <v>1</v>
      </c>
      <c r="B1456" t="s">
        <v>74</v>
      </c>
      <c r="C1456" t="s">
        <v>91</v>
      </c>
      <c r="D1456" t="s">
        <v>33</v>
      </c>
      <c r="E1456">
        <v>28.151102617895042</v>
      </c>
    </row>
    <row r="1457" spans="1:5" x14ac:dyDescent="0.3">
      <c r="A1457" t="s">
        <v>1</v>
      </c>
      <c r="B1457" t="s">
        <v>75</v>
      </c>
      <c r="C1457" t="s">
        <v>92</v>
      </c>
      <c r="D1457" t="s">
        <v>33</v>
      </c>
      <c r="E1457">
        <v>27.10554699515821</v>
      </c>
    </row>
    <row r="1458" spans="1:5" x14ac:dyDescent="0.3">
      <c r="A1458" t="s">
        <v>1</v>
      </c>
      <c r="B1458" t="s">
        <v>75</v>
      </c>
      <c r="C1458" t="s">
        <v>93</v>
      </c>
      <c r="D1458" t="s">
        <v>33</v>
      </c>
      <c r="E1458">
        <v>28.111581667486512</v>
      </c>
    </row>
    <row r="1459" spans="1:5" x14ac:dyDescent="0.3">
      <c r="A1459" t="s">
        <v>1</v>
      </c>
      <c r="B1459" t="s">
        <v>75</v>
      </c>
      <c r="C1459" t="s">
        <v>94</v>
      </c>
      <c r="D1459" t="s">
        <v>33</v>
      </c>
      <c r="E1459">
        <v>27.859621323570469</v>
      </c>
    </row>
    <row r="1460" spans="1:5" x14ac:dyDescent="0.3">
      <c r="A1460" t="s">
        <v>1</v>
      </c>
      <c r="B1460" t="s">
        <v>75</v>
      </c>
      <c r="C1460" t="s">
        <v>95</v>
      </c>
      <c r="D1460" t="s">
        <v>33</v>
      </c>
      <c r="E1460">
        <v>30.610004648361659</v>
      </c>
    </row>
    <row r="1461" spans="1:5" x14ac:dyDescent="0.3">
      <c r="A1461" t="s">
        <v>1</v>
      </c>
      <c r="B1461" t="s">
        <v>76</v>
      </c>
      <c r="C1461" t="s">
        <v>96</v>
      </c>
      <c r="D1461" t="s">
        <v>33</v>
      </c>
      <c r="E1461">
        <v>26.510548241122571</v>
      </c>
    </row>
    <row r="1462" spans="1:5" x14ac:dyDescent="0.3">
      <c r="A1462" t="s">
        <v>1</v>
      </c>
      <c r="B1462" t="s">
        <v>76</v>
      </c>
      <c r="C1462" t="s">
        <v>97</v>
      </c>
      <c r="D1462" t="s">
        <v>33</v>
      </c>
      <c r="E1462">
        <v>26.227542833307879</v>
      </c>
    </row>
    <row r="1463" spans="1:5" x14ac:dyDescent="0.3">
      <c r="A1463" t="s">
        <v>1</v>
      </c>
      <c r="B1463" t="s">
        <v>76</v>
      </c>
      <c r="C1463" t="s">
        <v>98</v>
      </c>
      <c r="D1463" t="s">
        <v>33</v>
      </c>
      <c r="E1463">
        <v>29.363797193140659</v>
      </c>
    </row>
    <row r="1464" spans="1:5" x14ac:dyDescent="0.3">
      <c r="A1464" t="s">
        <v>1</v>
      </c>
      <c r="B1464" t="s">
        <v>0</v>
      </c>
      <c r="C1464" t="s">
        <v>99</v>
      </c>
      <c r="D1464" t="s">
        <v>33</v>
      </c>
      <c r="E1464">
        <v>38.378034503095257</v>
      </c>
    </row>
    <row r="1465" spans="1:5" x14ac:dyDescent="0.3">
      <c r="A1465" t="s">
        <v>1</v>
      </c>
      <c r="B1465" t="s">
        <v>0</v>
      </c>
      <c r="C1465" t="s">
        <v>100</v>
      </c>
      <c r="D1465" t="s">
        <v>33</v>
      </c>
      <c r="E1465">
        <v>17.768688438251932</v>
      </c>
    </row>
    <row r="1466" spans="1:5" x14ac:dyDescent="0.3">
      <c r="A1466" t="s">
        <v>1</v>
      </c>
      <c r="B1466" t="s">
        <v>0</v>
      </c>
      <c r="C1466" t="s">
        <v>101</v>
      </c>
      <c r="D1466" t="s">
        <v>33</v>
      </c>
      <c r="E1466">
        <v>31.814982403217691</v>
      </c>
    </row>
    <row r="1467" spans="1:5" x14ac:dyDescent="0.3">
      <c r="A1467" t="s">
        <v>1</v>
      </c>
      <c r="B1467" t="s">
        <v>0</v>
      </c>
      <c r="C1467" t="s">
        <v>102</v>
      </c>
      <c r="D1467" t="s">
        <v>33</v>
      </c>
      <c r="E1467">
        <v>40.195057848826629</v>
      </c>
    </row>
    <row r="1468" spans="1:5" x14ac:dyDescent="0.3">
      <c r="A1468" t="s">
        <v>1</v>
      </c>
      <c r="B1468" t="s">
        <v>0</v>
      </c>
      <c r="C1468" t="s">
        <v>103</v>
      </c>
      <c r="D1468" t="s">
        <v>33</v>
      </c>
      <c r="E1468">
        <v>35.132966319951663</v>
      </c>
    </row>
    <row r="1469" spans="1:5" x14ac:dyDescent="0.3">
      <c r="A1469" t="s">
        <v>1</v>
      </c>
      <c r="B1469" t="s">
        <v>0</v>
      </c>
      <c r="C1469" t="s">
        <v>104</v>
      </c>
      <c r="D1469" t="s">
        <v>33</v>
      </c>
      <c r="E1469">
        <v>23.18424420676708</v>
      </c>
    </row>
    <row r="1470" spans="1:5" x14ac:dyDescent="0.3">
      <c r="A1470" t="s">
        <v>1</v>
      </c>
      <c r="B1470" t="s">
        <v>0</v>
      </c>
      <c r="C1470" t="s">
        <v>105</v>
      </c>
      <c r="D1470" t="s">
        <v>33</v>
      </c>
      <c r="E1470">
        <v>32.447075029406783</v>
      </c>
    </row>
    <row r="1471" spans="1:5" x14ac:dyDescent="0.3">
      <c r="A1471" t="s">
        <v>1</v>
      </c>
      <c r="B1471" t="s">
        <v>0</v>
      </c>
      <c r="C1471" t="s">
        <v>106</v>
      </c>
      <c r="D1471" t="s">
        <v>33</v>
      </c>
      <c r="E1471">
        <v>21.55052592110685</v>
      </c>
    </row>
    <row r="1472" spans="1:5" x14ac:dyDescent="0.3">
      <c r="A1472" t="s">
        <v>1</v>
      </c>
      <c r="B1472" t="s">
        <v>0</v>
      </c>
      <c r="C1472" t="s">
        <v>107</v>
      </c>
      <c r="D1472" t="s">
        <v>33</v>
      </c>
      <c r="E1472">
        <v>28.26113496543228</v>
      </c>
    </row>
    <row r="1473" spans="1:5" x14ac:dyDescent="0.3">
      <c r="A1473" t="s">
        <v>1</v>
      </c>
      <c r="B1473" t="s">
        <v>0</v>
      </c>
      <c r="C1473" t="s">
        <v>108</v>
      </c>
      <c r="D1473" t="s">
        <v>33</v>
      </c>
      <c r="E1473">
        <v>28.856115547254181</v>
      </c>
    </row>
    <row r="1474" spans="1:5" x14ac:dyDescent="0.3">
      <c r="A1474" t="s">
        <v>1</v>
      </c>
      <c r="B1474" t="s">
        <v>0</v>
      </c>
      <c r="C1474" t="s">
        <v>109</v>
      </c>
      <c r="D1474" t="s">
        <v>33</v>
      </c>
      <c r="E1474">
        <v>32.183474412266243</v>
      </c>
    </row>
    <row r="1475" spans="1:5" x14ac:dyDescent="0.3">
      <c r="A1475" t="s">
        <v>1</v>
      </c>
      <c r="B1475" t="s">
        <v>0</v>
      </c>
      <c r="C1475" t="s">
        <v>110</v>
      </c>
      <c r="D1475" t="s">
        <v>33</v>
      </c>
      <c r="E1475">
        <v>18.938521343247</v>
      </c>
    </row>
    <row r="1476" spans="1:5" x14ac:dyDescent="0.3">
      <c r="A1476" t="s">
        <v>1</v>
      </c>
      <c r="B1476" t="s">
        <v>0</v>
      </c>
      <c r="C1476" t="s">
        <v>111</v>
      </c>
      <c r="D1476" t="s">
        <v>33</v>
      </c>
      <c r="E1476">
        <v>27.230298120771138</v>
      </c>
    </row>
    <row r="1477" spans="1:5" x14ac:dyDescent="0.3">
      <c r="A1477" t="s">
        <v>1</v>
      </c>
      <c r="B1477" t="s">
        <v>0</v>
      </c>
      <c r="C1477" t="s">
        <v>112</v>
      </c>
      <c r="D1477" t="s">
        <v>33</v>
      </c>
      <c r="E1477">
        <v>24.831189542244609</v>
      </c>
    </row>
    <row r="1478" spans="1:5" x14ac:dyDescent="0.3">
      <c r="A1478" t="s">
        <v>1</v>
      </c>
      <c r="B1478" t="s">
        <v>0</v>
      </c>
      <c r="C1478" t="s">
        <v>113</v>
      </c>
      <c r="D1478" t="s">
        <v>33</v>
      </c>
      <c r="E1478">
        <v>37.316179998367147</v>
      </c>
    </row>
    <row r="1479" spans="1:5" x14ac:dyDescent="0.3">
      <c r="A1479" t="s">
        <v>1</v>
      </c>
      <c r="B1479" t="s">
        <v>0</v>
      </c>
      <c r="C1479" t="s">
        <v>114</v>
      </c>
      <c r="D1479" t="s">
        <v>33</v>
      </c>
      <c r="E1479">
        <v>22.670799035152911</v>
      </c>
    </row>
    <row r="1480" spans="1:5" x14ac:dyDescent="0.3">
      <c r="A1480" t="s">
        <v>1</v>
      </c>
      <c r="B1480" t="s">
        <v>0</v>
      </c>
      <c r="C1480" t="s">
        <v>115</v>
      </c>
      <c r="D1480" t="s">
        <v>33</v>
      </c>
      <c r="E1480">
        <v>18.257051469644608</v>
      </c>
    </row>
    <row r="1481" spans="1:5" x14ac:dyDescent="0.3">
      <c r="A1481" t="s">
        <v>1</v>
      </c>
      <c r="B1481" t="s">
        <v>0</v>
      </c>
      <c r="C1481" t="s">
        <v>116</v>
      </c>
      <c r="D1481" t="s">
        <v>33</v>
      </c>
      <c r="E1481">
        <v>23.529663559827419</v>
      </c>
    </row>
    <row r="1482" spans="1:5" x14ac:dyDescent="0.3">
      <c r="A1482" t="s">
        <v>1</v>
      </c>
      <c r="B1482" t="s">
        <v>69</v>
      </c>
      <c r="C1482" t="s">
        <v>69</v>
      </c>
      <c r="D1482" t="s">
        <v>34</v>
      </c>
      <c r="E1482">
        <v>51.634308050519557</v>
      </c>
    </row>
    <row r="1483" spans="1:5" x14ac:dyDescent="0.3">
      <c r="A1483" t="s">
        <v>1</v>
      </c>
      <c r="B1483" t="s">
        <v>70</v>
      </c>
      <c r="C1483" t="s">
        <v>78</v>
      </c>
      <c r="D1483" t="s">
        <v>34</v>
      </c>
      <c r="E1483">
        <v>50.915664799798812</v>
      </c>
    </row>
    <row r="1484" spans="1:5" x14ac:dyDescent="0.3">
      <c r="A1484" t="s">
        <v>1</v>
      </c>
      <c r="B1484" t="s">
        <v>70</v>
      </c>
      <c r="C1484" t="s">
        <v>79</v>
      </c>
      <c r="D1484" t="s">
        <v>34</v>
      </c>
      <c r="E1484">
        <v>51.584857415530507</v>
      </c>
    </row>
    <row r="1485" spans="1:5" x14ac:dyDescent="0.3">
      <c r="A1485" t="s">
        <v>1</v>
      </c>
      <c r="B1485" t="s">
        <v>70</v>
      </c>
      <c r="C1485" t="s">
        <v>80</v>
      </c>
      <c r="D1485" t="s">
        <v>34</v>
      </c>
      <c r="E1485">
        <v>52.050793424782313</v>
      </c>
    </row>
    <row r="1486" spans="1:5" x14ac:dyDescent="0.3">
      <c r="A1486" t="s">
        <v>1</v>
      </c>
      <c r="B1486" t="s">
        <v>70</v>
      </c>
      <c r="C1486" t="s">
        <v>81</v>
      </c>
      <c r="D1486" t="s">
        <v>34</v>
      </c>
      <c r="E1486">
        <v>52.899415183014511</v>
      </c>
    </row>
    <row r="1487" spans="1:5" x14ac:dyDescent="0.3">
      <c r="A1487" t="s">
        <v>1</v>
      </c>
      <c r="B1487" t="s">
        <v>71</v>
      </c>
      <c r="C1487" t="s">
        <v>82</v>
      </c>
      <c r="D1487" t="s">
        <v>34</v>
      </c>
      <c r="E1487">
        <v>52.015378694022537</v>
      </c>
    </row>
    <row r="1488" spans="1:5" x14ac:dyDescent="0.3">
      <c r="A1488" t="s">
        <v>1</v>
      </c>
      <c r="B1488" t="s">
        <v>71</v>
      </c>
      <c r="C1488" t="s">
        <v>83</v>
      </c>
      <c r="D1488" t="s">
        <v>34</v>
      </c>
      <c r="E1488">
        <v>51.349399011914556</v>
      </c>
    </row>
    <row r="1489" spans="1:5" x14ac:dyDescent="0.3">
      <c r="A1489" t="s">
        <v>1</v>
      </c>
      <c r="B1489" t="s">
        <v>71</v>
      </c>
      <c r="C1489" t="s">
        <v>84</v>
      </c>
      <c r="D1489" t="s">
        <v>34</v>
      </c>
      <c r="E1489">
        <v>51.733379644620427</v>
      </c>
    </row>
    <row r="1490" spans="1:5" x14ac:dyDescent="0.3">
      <c r="A1490" t="s">
        <v>1</v>
      </c>
      <c r="B1490" t="s">
        <v>71</v>
      </c>
      <c r="C1490" t="s">
        <v>85</v>
      </c>
      <c r="D1490" t="s">
        <v>34</v>
      </c>
      <c r="E1490">
        <v>51.600660601415967</v>
      </c>
    </row>
    <row r="1491" spans="1:5" x14ac:dyDescent="0.3">
      <c r="A1491" t="s">
        <v>1</v>
      </c>
      <c r="B1491" t="s">
        <v>72</v>
      </c>
      <c r="C1491" t="s">
        <v>86</v>
      </c>
      <c r="D1491" t="s">
        <v>34</v>
      </c>
      <c r="E1491">
        <v>52.213149094449321</v>
      </c>
    </row>
    <row r="1492" spans="1:5" x14ac:dyDescent="0.3">
      <c r="A1492" t="s">
        <v>1</v>
      </c>
      <c r="B1492" t="s">
        <v>72</v>
      </c>
      <c r="C1492" t="s">
        <v>87</v>
      </c>
      <c r="D1492" t="s">
        <v>34</v>
      </c>
      <c r="E1492">
        <v>51.033787096542383</v>
      </c>
    </row>
    <row r="1493" spans="1:5" x14ac:dyDescent="0.3">
      <c r="A1493" t="s">
        <v>1</v>
      </c>
      <c r="B1493" t="s">
        <v>73</v>
      </c>
      <c r="C1493" t="s">
        <v>88</v>
      </c>
      <c r="D1493" t="s">
        <v>34</v>
      </c>
      <c r="E1493">
        <v>51.334649132336409</v>
      </c>
    </row>
    <row r="1494" spans="1:5" x14ac:dyDescent="0.3">
      <c r="A1494" t="s">
        <v>1</v>
      </c>
      <c r="B1494" t="s">
        <v>73</v>
      </c>
      <c r="C1494" t="s">
        <v>89</v>
      </c>
      <c r="D1494" t="s">
        <v>34</v>
      </c>
      <c r="E1494">
        <v>51.931417130273793</v>
      </c>
    </row>
    <row r="1495" spans="1:5" x14ac:dyDescent="0.3">
      <c r="A1495" t="s">
        <v>1</v>
      </c>
      <c r="B1495" t="s">
        <v>74</v>
      </c>
      <c r="C1495" t="s">
        <v>90</v>
      </c>
      <c r="D1495" t="s">
        <v>34</v>
      </c>
      <c r="E1495">
        <v>51.468243981941839</v>
      </c>
    </row>
    <row r="1496" spans="1:5" x14ac:dyDescent="0.3">
      <c r="A1496" t="s">
        <v>1</v>
      </c>
      <c r="B1496" t="s">
        <v>74</v>
      </c>
      <c r="C1496" t="s">
        <v>91</v>
      </c>
      <c r="D1496" t="s">
        <v>34</v>
      </c>
      <c r="E1496">
        <v>51.743653119450613</v>
      </c>
    </row>
    <row r="1497" spans="1:5" x14ac:dyDescent="0.3">
      <c r="A1497" t="s">
        <v>1</v>
      </c>
      <c r="B1497" t="s">
        <v>75</v>
      </c>
      <c r="C1497" t="s">
        <v>92</v>
      </c>
      <c r="D1497" t="s">
        <v>34</v>
      </c>
      <c r="E1497">
        <v>52.523158424299737</v>
      </c>
    </row>
    <row r="1498" spans="1:5" x14ac:dyDescent="0.3">
      <c r="A1498" t="s">
        <v>1</v>
      </c>
      <c r="B1498" t="s">
        <v>75</v>
      </c>
      <c r="C1498" t="s">
        <v>93</v>
      </c>
      <c r="D1498" t="s">
        <v>34</v>
      </c>
      <c r="E1498">
        <v>51.475689969843963</v>
      </c>
    </row>
    <row r="1499" spans="1:5" x14ac:dyDescent="0.3">
      <c r="A1499" t="s">
        <v>1</v>
      </c>
      <c r="B1499" t="s">
        <v>75</v>
      </c>
      <c r="C1499" t="s">
        <v>94</v>
      </c>
      <c r="D1499" t="s">
        <v>34</v>
      </c>
      <c r="E1499">
        <v>51.068110586672191</v>
      </c>
    </row>
    <row r="1500" spans="1:5" x14ac:dyDescent="0.3">
      <c r="A1500" t="s">
        <v>1</v>
      </c>
      <c r="B1500" t="s">
        <v>75</v>
      </c>
      <c r="C1500" t="s">
        <v>95</v>
      </c>
      <c r="D1500" t="s">
        <v>34</v>
      </c>
      <c r="E1500">
        <v>51.525345513345933</v>
      </c>
    </row>
    <row r="1501" spans="1:5" x14ac:dyDescent="0.3">
      <c r="A1501" t="s">
        <v>1</v>
      </c>
      <c r="B1501" t="s">
        <v>76</v>
      </c>
      <c r="C1501" t="s">
        <v>96</v>
      </c>
      <c r="D1501" t="s">
        <v>34</v>
      </c>
      <c r="E1501">
        <v>52.653527433506461</v>
      </c>
    </row>
    <row r="1502" spans="1:5" x14ac:dyDescent="0.3">
      <c r="A1502" t="s">
        <v>1</v>
      </c>
      <c r="B1502" t="s">
        <v>76</v>
      </c>
      <c r="C1502" t="s">
        <v>97</v>
      </c>
      <c r="D1502" t="s">
        <v>34</v>
      </c>
      <c r="E1502">
        <v>51.748458611758473</v>
      </c>
    </row>
    <row r="1503" spans="1:5" x14ac:dyDescent="0.3">
      <c r="A1503" t="s">
        <v>1</v>
      </c>
      <c r="B1503" t="s">
        <v>76</v>
      </c>
      <c r="C1503" t="s">
        <v>98</v>
      </c>
      <c r="D1503" t="s">
        <v>34</v>
      </c>
      <c r="E1503">
        <v>51.212830367166063</v>
      </c>
    </row>
    <row r="1504" spans="1:5" x14ac:dyDescent="0.3">
      <c r="A1504" t="s">
        <v>1</v>
      </c>
      <c r="B1504" t="s">
        <v>0</v>
      </c>
      <c r="C1504" t="s">
        <v>99</v>
      </c>
      <c r="D1504" t="s">
        <v>34</v>
      </c>
      <c r="E1504">
        <v>50.660419387637631</v>
      </c>
    </row>
    <row r="1505" spans="1:5" x14ac:dyDescent="0.3">
      <c r="A1505" t="s">
        <v>1</v>
      </c>
      <c r="B1505" t="s">
        <v>0</v>
      </c>
      <c r="C1505" t="s">
        <v>100</v>
      </c>
      <c r="D1505" t="s">
        <v>34</v>
      </c>
      <c r="E1505">
        <v>55.871418976566062</v>
      </c>
    </row>
    <row r="1506" spans="1:5" x14ac:dyDescent="0.3">
      <c r="A1506" t="s">
        <v>1</v>
      </c>
      <c r="B1506" t="s">
        <v>0</v>
      </c>
      <c r="C1506" t="s">
        <v>101</v>
      </c>
      <c r="D1506" t="s">
        <v>34</v>
      </c>
      <c r="E1506">
        <v>53.745600804424342</v>
      </c>
    </row>
    <row r="1507" spans="1:5" x14ac:dyDescent="0.3">
      <c r="A1507" t="s">
        <v>1</v>
      </c>
      <c r="B1507" t="s">
        <v>0</v>
      </c>
      <c r="C1507" t="s">
        <v>102</v>
      </c>
      <c r="D1507" t="s">
        <v>34</v>
      </c>
      <c r="E1507">
        <v>49.935273260170113</v>
      </c>
    </row>
    <row r="1508" spans="1:5" x14ac:dyDescent="0.3">
      <c r="A1508" t="s">
        <v>1</v>
      </c>
      <c r="B1508" t="s">
        <v>0</v>
      </c>
      <c r="C1508" t="s">
        <v>103</v>
      </c>
      <c r="D1508" t="s">
        <v>34</v>
      </c>
      <c r="E1508">
        <v>51.206936426627337</v>
      </c>
    </row>
    <row r="1509" spans="1:5" x14ac:dyDescent="0.3">
      <c r="A1509" t="s">
        <v>1</v>
      </c>
      <c r="B1509" t="s">
        <v>0</v>
      </c>
      <c r="C1509" t="s">
        <v>104</v>
      </c>
      <c r="D1509" t="s">
        <v>34</v>
      </c>
      <c r="E1509">
        <v>53.55069448060695</v>
      </c>
    </row>
    <row r="1510" spans="1:5" x14ac:dyDescent="0.3">
      <c r="A1510" t="s">
        <v>1</v>
      </c>
      <c r="B1510" t="s">
        <v>0</v>
      </c>
      <c r="C1510" t="s">
        <v>105</v>
      </c>
      <c r="D1510" t="s">
        <v>34</v>
      </c>
      <c r="E1510">
        <v>46.488766393011034</v>
      </c>
    </row>
    <row r="1511" spans="1:5" x14ac:dyDescent="0.3">
      <c r="A1511" t="s">
        <v>1</v>
      </c>
      <c r="B1511" t="s">
        <v>0</v>
      </c>
      <c r="C1511" t="s">
        <v>106</v>
      </c>
      <c r="D1511" t="s">
        <v>34</v>
      </c>
      <c r="E1511">
        <v>47.580815245909967</v>
      </c>
    </row>
    <row r="1512" spans="1:5" x14ac:dyDescent="0.3">
      <c r="A1512" t="s">
        <v>1</v>
      </c>
      <c r="B1512" t="s">
        <v>0</v>
      </c>
      <c r="C1512" t="s">
        <v>107</v>
      </c>
      <c r="D1512" t="s">
        <v>34</v>
      </c>
      <c r="E1512">
        <v>51.37278538963043</v>
      </c>
    </row>
    <row r="1513" spans="1:5" x14ac:dyDescent="0.3">
      <c r="A1513" t="s">
        <v>1</v>
      </c>
      <c r="B1513" t="s">
        <v>0</v>
      </c>
      <c r="C1513" t="s">
        <v>108</v>
      </c>
      <c r="D1513" t="s">
        <v>34</v>
      </c>
      <c r="E1513">
        <v>53.464496859319269</v>
      </c>
    </row>
    <row r="1514" spans="1:5" x14ac:dyDescent="0.3">
      <c r="A1514" t="s">
        <v>1</v>
      </c>
      <c r="B1514" t="s">
        <v>0</v>
      </c>
      <c r="C1514" t="s">
        <v>109</v>
      </c>
      <c r="D1514" t="s">
        <v>34</v>
      </c>
      <c r="E1514">
        <v>49.857505642156703</v>
      </c>
    </row>
    <row r="1515" spans="1:5" x14ac:dyDescent="0.3">
      <c r="A1515" t="s">
        <v>1</v>
      </c>
      <c r="B1515" t="s">
        <v>0</v>
      </c>
      <c r="C1515" t="s">
        <v>110</v>
      </c>
      <c r="D1515" t="s">
        <v>34</v>
      </c>
      <c r="E1515">
        <v>51.671167856165233</v>
      </c>
    </row>
    <row r="1516" spans="1:5" x14ac:dyDescent="0.3">
      <c r="A1516" t="s">
        <v>1</v>
      </c>
      <c r="B1516" t="s">
        <v>0</v>
      </c>
      <c r="C1516" t="s">
        <v>111</v>
      </c>
      <c r="D1516" t="s">
        <v>34</v>
      </c>
      <c r="E1516">
        <v>48.114393234620643</v>
      </c>
    </row>
    <row r="1517" spans="1:5" x14ac:dyDescent="0.3">
      <c r="A1517" t="s">
        <v>1</v>
      </c>
      <c r="B1517" t="s">
        <v>0</v>
      </c>
      <c r="C1517" t="s">
        <v>112</v>
      </c>
      <c r="D1517" t="s">
        <v>34</v>
      </c>
      <c r="E1517">
        <v>62.010226133750933</v>
      </c>
    </row>
    <row r="1518" spans="1:5" x14ac:dyDescent="0.3">
      <c r="A1518" t="s">
        <v>1</v>
      </c>
      <c r="B1518" t="s">
        <v>0</v>
      </c>
      <c r="C1518" t="s">
        <v>113</v>
      </c>
      <c r="D1518" t="s">
        <v>34</v>
      </c>
      <c r="E1518">
        <v>48.917233059839347</v>
      </c>
    </row>
    <row r="1519" spans="1:5" x14ac:dyDescent="0.3">
      <c r="A1519" t="s">
        <v>1</v>
      </c>
      <c r="B1519" t="s">
        <v>0</v>
      </c>
      <c r="C1519" t="s">
        <v>114</v>
      </c>
      <c r="D1519" t="s">
        <v>34</v>
      </c>
      <c r="E1519">
        <v>53.037649334889352</v>
      </c>
    </row>
    <row r="1520" spans="1:5" x14ac:dyDescent="0.3">
      <c r="A1520" t="s">
        <v>1</v>
      </c>
      <c r="B1520" t="s">
        <v>0</v>
      </c>
      <c r="C1520" t="s">
        <v>115</v>
      </c>
      <c r="D1520" t="s">
        <v>34</v>
      </c>
      <c r="E1520">
        <v>57.497818457526087</v>
      </c>
    </row>
    <row r="1521" spans="1:5" x14ac:dyDescent="0.3">
      <c r="A1521" t="s">
        <v>1</v>
      </c>
      <c r="B1521" t="s">
        <v>0</v>
      </c>
      <c r="C1521" t="s">
        <v>116</v>
      </c>
      <c r="D1521" t="s">
        <v>34</v>
      </c>
      <c r="E1521">
        <v>42.888047992637922</v>
      </c>
    </row>
    <row r="1522" spans="1:5" x14ac:dyDescent="0.3">
      <c r="A1522" t="s">
        <v>1</v>
      </c>
      <c r="B1522" t="s">
        <v>69</v>
      </c>
      <c r="C1522" t="s">
        <v>69</v>
      </c>
      <c r="D1522" t="s">
        <v>35</v>
      </c>
      <c r="E1522">
        <v>17.455630771797729</v>
      </c>
    </row>
    <row r="1523" spans="1:5" x14ac:dyDescent="0.3">
      <c r="A1523" t="s">
        <v>1</v>
      </c>
      <c r="B1523" t="s">
        <v>70</v>
      </c>
      <c r="C1523" t="s">
        <v>78</v>
      </c>
      <c r="D1523" t="s">
        <v>35</v>
      </c>
      <c r="E1523">
        <v>17.338660621603651</v>
      </c>
    </row>
    <row r="1524" spans="1:5" x14ac:dyDescent="0.3">
      <c r="A1524" t="s">
        <v>1</v>
      </c>
      <c r="B1524" t="s">
        <v>70</v>
      </c>
      <c r="C1524" t="s">
        <v>79</v>
      </c>
      <c r="D1524" t="s">
        <v>35</v>
      </c>
      <c r="E1524">
        <v>17.86556473904443</v>
      </c>
    </row>
    <row r="1525" spans="1:5" x14ac:dyDescent="0.3">
      <c r="A1525" t="s">
        <v>1</v>
      </c>
      <c r="B1525" t="s">
        <v>70</v>
      </c>
      <c r="C1525" t="s">
        <v>80</v>
      </c>
      <c r="D1525" t="s">
        <v>35</v>
      </c>
      <c r="E1525">
        <v>17.714190316360561</v>
      </c>
    </row>
    <row r="1526" spans="1:5" x14ac:dyDescent="0.3">
      <c r="A1526" t="s">
        <v>1</v>
      </c>
      <c r="B1526" t="s">
        <v>70</v>
      </c>
      <c r="C1526" t="s">
        <v>81</v>
      </c>
      <c r="D1526" t="s">
        <v>35</v>
      </c>
      <c r="E1526">
        <v>15.645987143320641</v>
      </c>
    </row>
    <row r="1527" spans="1:5" x14ac:dyDescent="0.3">
      <c r="A1527" t="s">
        <v>1</v>
      </c>
      <c r="B1527" t="s">
        <v>71</v>
      </c>
      <c r="C1527" t="s">
        <v>82</v>
      </c>
      <c r="D1527" t="s">
        <v>35</v>
      </c>
      <c r="E1527">
        <v>19.64279585675607</v>
      </c>
    </row>
    <row r="1528" spans="1:5" x14ac:dyDescent="0.3">
      <c r="A1528" t="s">
        <v>1</v>
      </c>
      <c r="B1528" t="s">
        <v>71</v>
      </c>
      <c r="C1528" t="s">
        <v>83</v>
      </c>
      <c r="D1528" t="s">
        <v>35</v>
      </c>
      <c r="E1528">
        <v>17.287894921560721</v>
      </c>
    </row>
    <row r="1529" spans="1:5" x14ac:dyDescent="0.3">
      <c r="A1529" t="s">
        <v>1</v>
      </c>
      <c r="B1529" t="s">
        <v>71</v>
      </c>
      <c r="C1529" t="s">
        <v>84</v>
      </c>
      <c r="D1529" t="s">
        <v>35</v>
      </c>
      <c r="E1529">
        <v>16.307040754130199</v>
      </c>
    </row>
    <row r="1530" spans="1:5" x14ac:dyDescent="0.3">
      <c r="A1530" t="s">
        <v>1</v>
      </c>
      <c r="B1530" t="s">
        <v>71</v>
      </c>
      <c r="C1530" t="s">
        <v>85</v>
      </c>
      <c r="D1530" t="s">
        <v>35</v>
      </c>
      <c r="E1530">
        <v>17.133383300100888</v>
      </c>
    </row>
    <row r="1531" spans="1:5" x14ac:dyDescent="0.3">
      <c r="A1531" t="s">
        <v>1</v>
      </c>
      <c r="B1531" t="s">
        <v>72</v>
      </c>
      <c r="C1531" t="s">
        <v>86</v>
      </c>
      <c r="D1531" t="s">
        <v>35</v>
      </c>
      <c r="E1531">
        <v>16.84270801750986</v>
      </c>
    </row>
    <row r="1532" spans="1:5" x14ac:dyDescent="0.3">
      <c r="A1532" t="s">
        <v>1</v>
      </c>
      <c r="B1532" t="s">
        <v>72</v>
      </c>
      <c r="C1532" t="s">
        <v>87</v>
      </c>
      <c r="D1532" t="s">
        <v>35</v>
      </c>
      <c r="E1532">
        <v>18.091509932370819</v>
      </c>
    </row>
    <row r="1533" spans="1:5" x14ac:dyDescent="0.3">
      <c r="A1533" t="s">
        <v>1</v>
      </c>
      <c r="B1533" t="s">
        <v>73</v>
      </c>
      <c r="C1533" t="s">
        <v>88</v>
      </c>
      <c r="D1533" t="s">
        <v>35</v>
      </c>
      <c r="E1533">
        <v>17.871945042229559</v>
      </c>
    </row>
    <row r="1534" spans="1:5" x14ac:dyDescent="0.3">
      <c r="A1534" t="s">
        <v>1</v>
      </c>
      <c r="B1534" t="s">
        <v>73</v>
      </c>
      <c r="C1534" t="s">
        <v>89</v>
      </c>
      <c r="D1534" t="s">
        <v>35</v>
      </c>
      <c r="E1534">
        <v>17.140133391593661</v>
      </c>
    </row>
    <row r="1535" spans="1:5" x14ac:dyDescent="0.3">
      <c r="A1535" t="s">
        <v>1</v>
      </c>
      <c r="B1535" t="s">
        <v>74</v>
      </c>
      <c r="C1535" t="s">
        <v>90</v>
      </c>
      <c r="D1535" t="s">
        <v>35</v>
      </c>
      <c r="E1535">
        <v>18.079992206378009</v>
      </c>
    </row>
    <row r="1536" spans="1:5" x14ac:dyDescent="0.3">
      <c r="A1536" t="s">
        <v>1</v>
      </c>
      <c r="B1536" t="s">
        <v>74</v>
      </c>
      <c r="C1536" t="s">
        <v>91</v>
      </c>
      <c r="D1536" t="s">
        <v>35</v>
      </c>
      <c r="E1536">
        <v>17.21487846984579</v>
      </c>
    </row>
    <row r="1537" spans="1:5" x14ac:dyDescent="0.3">
      <c r="A1537" t="s">
        <v>1</v>
      </c>
      <c r="B1537" t="s">
        <v>75</v>
      </c>
      <c r="C1537" t="s">
        <v>92</v>
      </c>
      <c r="D1537" t="s">
        <v>35</v>
      </c>
      <c r="E1537">
        <v>17.545831352452801</v>
      </c>
    </row>
    <row r="1538" spans="1:5" x14ac:dyDescent="0.3">
      <c r="A1538" t="s">
        <v>1</v>
      </c>
      <c r="B1538" t="s">
        <v>75</v>
      </c>
      <c r="C1538" t="s">
        <v>93</v>
      </c>
      <c r="D1538" t="s">
        <v>35</v>
      </c>
      <c r="E1538">
        <v>17.464851984986861</v>
      </c>
    </row>
    <row r="1539" spans="1:5" x14ac:dyDescent="0.3">
      <c r="A1539" t="s">
        <v>1</v>
      </c>
      <c r="B1539" t="s">
        <v>75</v>
      </c>
      <c r="C1539" t="s">
        <v>94</v>
      </c>
      <c r="D1539" t="s">
        <v>35</v>
      </c>
      <c r="E1539">
        <v>17.89130556488643</v>
      </c>
    </row>
    <row r="1540" spans="1:5" x14ac:dyDescent="0.3">
      <c r="A1540" t="s">
        <v>1</v>
      </c>
      <c r="B1540" t="s">
        <v>75</v>
      </c>
      <c r="C1540" t="s">
        <v>95</v>
      </c>
      <c r="D1540" t="s">
        <v>35</v>
      </c>
      <c r="E1540">
        <v>14.94983304160659</v>
      </c>
    </row>
    <row r="1541" spans="1:5" x14ac:dyDescent="0.3">
      <c r="A1541" t="s">
        <v>1</v>
      </c>
      <c r="B1541" t="s">
        <v>76</v>
      </c>
      <c r="C1541" t="s">
        <v>96</v>
      </c>
      <c r="D1541" t="s">
        <v>35</v>
      </c>
      <c r="E1541">
        <v>18.46369126221121</v>
      </c>
    </row>
    <row r="1542" spans="1:5" x14ac:dyDescent="0.3">
      <c r="A1542" t="s">
        <v>1</v>
      </c>
      <c r="B1542" t="s">
        <v>76</v>
      </c>
      <c r="C1542" t="s">
        <v>97</v>
      </c>
      <c r="D1542" t="s">
        <v>35</v>
      </c>
      <c r="E1542">
        <v>19.143678415048459</v>
      </c>
    </row>
    <row r="1543" spans="1:5" x14ac:dyDescent="0.3">
      <c r="A1543" t="s">
        <v>1</v>
      </c>
      <c r="B1543" t="s">
        <v>76</v>
      </c>
      <c r="C1543" t="s">
        <v>98</v>
      </c>
      <c r="D1543" t="s">
        <v>35</v>
      </c>
      <c r="E1543">
        <v>16.79281596943817</v>
      </c>
    </row>
    <row r="1544" spans="1:5" x14ac:dyDescent="0.3">
      <c r="A1544" t="s">
        <v>1</v>
      </c>
      <c r="B1544" t="s">
        <v>0</v>
      </c>
      <c r="C1544" t="s">
        <v>99</v>
      </c>
      <c r="D1544" t="s">
        <v>35</v>
      </c>
      <c r="E1544">
        <v>10.13515129874593</v>
      </c>
    </row>
    <row r="1545" spans="1:5" x14ac:dyDescent="0.3">
      <c r="A1545" t="s">
        <v>1</v>
      </c>
      <c r="B1545" t="s">
        <v>0</v>
      </c>
      <c r="C1545" t="s">
        <v>100</v>
      </c>
      <c r="D1545" t="s">
        <v>35</v>
      </c>
      <c r="E1545">
        <v>23.881611165099219</v>
      </c>
    </row>
    <row r="1546" spans="1:5" x14ac:dyDescent="0.3">
      <c r="A1546" t="s">
        <v>1</v>
      </c>
      <c r="B1546" t="s">
        <v>0</v>
      </c>
      <c r="C1546" t="s">
        <v>101</v>
      </c>
      <c r="D1546" t="s">
        <v>35</v>
      </c>
      <c r="E1546">
        <v>12.941176470588241</v>
      </c>
    </row>
    <row r="1547" spans="1:5" x14ac:dyDescent="0.3">
      <c r="A1547" t="s">
        <v>1</v>
      </c>
      <c r="B1547" t="s">
        <v>0</v>
      </c>
      <c r="C1547" t="s">
        <v>102</v>
      </c>
      <c r="D1547" t="s">
        <v>35</v>
      </c>
      <c r="E1547">
        <v>8.4231969597153409</v>
      </c>
    </row>
    <row r="1548" spans="1:5" x14ac:dyDescent="0.3">
      <c r="A1548" t="s">
        <v>1</v>
      </c>
      <c r="B1548" t="s">
        <v>0</v>
      </c>
      <c r="C1548" t="s">
        <v>103</v>
      </c>
      <c r="D1548" t="s">
        <v>35</v>
      </c>
      <c r="E1548">
        <v>11.398650658681859</v>
      </c>
    </row>
    <row r="1549" spans="1:5" x14ac:dyDescent="0.3">
      <c r="A1549" t="s">
        <v>1</v>
      </c>
      <c r="B1549" t="s">
        <v>0</v>
      </c>
      <c r="C1549" t="s">
        <v>104</v>
      </c>
      <c r="D1549" t="s">
        <v>35</v>
      </c>
      <c r="E1549">
        <v>20.118586940939601</v>
      </c>
    </row>
    <row r="1550" spans="1:5" x14ac:dyDescent="0.3">
      <c r="A1550" t="s">
        <v>1</v>
      </c>
      <c r="B1550" t="s">
        <v>0</v>
      </c>
      <c r="C1550" t="s">
        <v>105</v>
      </c>
      <c r="D1550" t="s">
        <v>35</v>
      </c>
      <c r="E1550">
        <v>17.508155798429879</v>
      </c>
    </row>
    <row r="1551" spans="1:5" x14ac:dyDescent="0.3">
      <c r="A1551" t="s">
        <v>1</v>
      </c>
      <c r="B1551" t="s">
        <v>0</v>
      </c>
      <c r="C1551" t="s">
        <v>106</v>
      </c>
      <c r="D1551" t="s">
        <v>35</v>
      </c>
      <c r="E1551">
        <v>27.376605140128301</v>
      </c>
    </row>
    <row r="1552" spans="1:5" x14ac:dyDescent="0.3">
      <c r="A1552" t="s">
        <v>1</v>
      </c>
      <c r="B1552" t="s">
        <v>0</v>
      </c>
      <c r="C1552" t="s">
        <v>107</v>
      </c>
      <c r="D1552" t="s">
        <v>35</v>
      </c>
      <c r="E1552">
        <v>16.702111893179818</v>
      </c>
    </row>
    <row r="1553" spans="1:5" x14ac:dyDescent="0.3">
      <c r="A1553" t="s">
        <v>1</v>
      </c>
      <c r="B1553" t="s">
        <v>0</v>
      </c>
      <c r="C1553" t="s">
        <v>108</v>
      </c>
      <c r="D1553" t="s">
        <v>35</v>
      </c>
      <c r="E1553">
        <v>14.26690764851271</v>
      </c>
    </row>
    <row r="1554" spans="1:5" x14ac:dyDescent="0.3">
      <c r="A1554" t="s">
        <v>1</v>
      </c>
      <c r="B1554" t="s">
        <v>0</v>
      </c>
      <c r="C1554" t="s">
        <v>109</v>
      </c>
      <c r="D1554" t="s">
        <v>35</v>
      </c>
      <c r="E1554">
        <v>15.21764434542963</v>
      </c>
    </row>
    <row r="1555" spans="1:5" x14ac:dyDescent="0.3">
      <c r="A1555" t="s">
        <v>1</v>
      </c>
      <c r="B1555" t="s">
        <v>0</v>
      </c>
      <c r="C1555" t="s">
        <v>110</v>
      </c>
      <c r="D1555" t="s">
        <v>35</v>
      </c>
      <c r="E1555">
        <v>24.232022125381839</v>
      </c>
    </row>
    <row r="1556" spans="1:5" x14ac:dyDescent="0.3">
      <c r="A1556" t="s">
        <v>1</v>
      </c>
      <c r="B1556" t="s">
        <v>0</v>
      </c>
      <c r="C1556" t="s">
        <v>111</v>
      </c>
      <c r="D1556" t="s">
        <v>35</v>
      </c>
      <c r="E1556">
        <v>20.29490955964727</v>
      </c>
    </row>
    <row r="1557" spans="1:5" x14ac:dyDescent="0.3">
      <c r="A1557" t="s">
        <v>1</v>
      </c>
      <c r="B1557" t="s">
        <v>0</v>
      </c>
      <c r="C1557" t="s">
        <v>112</v>
      </c>
      <c r="D1557" t="s">
        <v>35</v>
      </c>
      <c r="E1557">
        <v>11.78530932709724</v>
      </c>
    </row>
    <row r="1558" spans="1:5" x14ac:dyDescent="0.3">
      <c r="A1558" t="s">
        <v>1</v>
      </c>
      <c r="B1558" t="s">
        <v>0</v>
      </c>
      <c r="C1558" t="s">
        <v>113</v>
      </c>
      <c r="D1558" t="s">
        <v>35</v>
      </c>
      <c r="E1558">
        <v>11.91075400471861</v>
      </c>
    </row>
    <row r="1559" spans="1:5" x14ac:dyDescent="0.3">
      <c r="A1559" t="s">
        <v>1</v>
      </c>
      <c r="B1559" t="s">
        <v>0</v>
      </c>
      <c r="C1559" t="s">
        <v>114</v>
      </c>
      <c r="D1559" t="s">
        <v>35</v>
      </c>
      <c r="E1559">
        <v>20.583574386718229</v>
      </c>
    </row>
    <row r="1560" spans="1:5" x14ac:dyDescent="0.3">
      <c r="A1560" t="s">
        <v>1</v>
      </c>
      <c r="B1560" t="s">
        <v>0</v>
      </c>
      <c r="C1560" t="s">
        <v>115</v>
      </c>
      <c r="D1560" t="s">
        <v>35</v>
      </c>
      <c r="E1560">
        <v>22.606482920428739</v>
      </c>
    </row>
    <row r="1561" spans="1:5" x14ac:dyDescent="0.3">
      <c r="A1561" t="s">
        <v>1</v>
      </c>
      <c r="B1561" t="s">
        <v>0</v>
      </c>
      <c r="C1561" t="s">
        <v>116</v>
      </c>
      <c r="D1561" t="s">
        <v>35</v>
      </c>
      <c r="E1561">
        <v>26.641920191264109</v>
      </c>
    </row>
    <row r="1562" spans="1:5" x14ac:dyDescent="0.3">
      <c r="A1562" t="s">
        <v>1</v>
      </c>
      <c r="B1562" t="s">
        <v>69</v>
      </c>
      <c r="C1562" t="s">
        <v>69</v>
      </c>
      <c r="D1562" t="s">
        <v>36</v>
      </c>
      <c r="E1562">
        <v>2.9103902961614039</v>
      </c>
    </row>
    <row r="1563" spans="1:5" x14ac:dyDescent="0.3">
      <c r="A1563" t="s">
        <v>1</v>
      </c>
      <c r="B1563" t="s">
        <v>70</v>
      </c>
      <c r="C1563" t="s">
        <v>78</v>
      </c>
      <c r="D1563" t="s">
        <v>36</v>
      </c>
      <c r="E1563">
        <v>3.0026468325229949</v>
      </c>
    </row>
    <row r="1564" spans="1:5" x14ac:dyDescent="0.3">
      <c r="A1564" t="s">
        <v>1</v>
      </c>
      <c r="B1564" t="s">
        <v>70</v>
      </c>
      <c r="C1564" t="s">
        <v>79</v>
      </c>
      <c r="D1564" t="s">
        <v>36</v>
      </c>
      <c r="E1564">
        <v>2.9744145468218681</v>
      </c>
    </row>
    <row r="1565" spans="1:5" x14ac:dyDescent="0.3">
      <c r="A1565" t="s">
        <v>1</v>
      </c>
      <c r="B1565" t="s">
        <v>70</v>
      </c>
      <c r="C1565" t="s">
        <v>80</v>
      </c>
      <c r="D1565" t="s">
        <v>36</v>
      </c>
      <c r="E1565">
        <v>2.614519513839805</v>
      </c>
    </row>
    <row r="1566" spans="1:5" x14ac:dyDescent="0.3">
      <c r="A1566" t="s">
        <v>1</v>
      </c>
      <c r="B1566" t="s">
        <v>70</v>
      </c>
      <c r="C1566" t="s">
        <v>81</v>
      </c>
      <c r="D1566" t="s">
        <v>36</v>
      </c>
      <c r="E1566">
        <v>2.764899227422426</v>
      </c>
    </row>
    <row r="1567" spans="1:5" x14ac:dyDescent="0.3">
      <c r="A1567" t="s">
        <v>1</v>
      </c>
      <c r="B1567" t="s">
        <v>71</v>
      </c>
      <c r="C1567" t="s">
        <v>82</v>
      </c>
      <c r="D1567" t="s">
        <v>36</v>
      </c>
      <c r="E1567">
        <v>3.0843346146269668</v>
      </c>
    </row>
    <row r="1568" spans="1:5" x14ac:dyDescent="0.3">
      <c r="A1568" t="s">
        <v>1</v>
      </c>
      <c r="B1568" t="s">
        <v>71</v>
      </c>
      <c r="C1568" t="s">
        <v>83</v>
      </c>
      <c r="D1568" t="s">
        <v>36</v>
      </c>
      <c r="E1568">
        <v>3.0243257679541888</v>
      </c>
    </row>
    <row r="1569" spans="1:5" x14ac:dyDescent="0.3">
      <c r="A1569" t="s">
        <v>1</v>
      </c>
      <c r="B1569" t="s">
        <v>71</v>
      </c>
      <c r="C1569" t="s">
        <v>84</v>
      </c>
      <c r="D1569" t="s">
        <v>36</v>
      </c>
      <c r="E1569">
        <v>2.7779419640407368</v>
      </c>
    </row>
    <row r="1570" spans="1:5" x14ac:dyDescent="0.3">
      <c r="A1570" t="s">
        <v>1</v>
      </c>
      <c r="B1570" t="s">
        <v>71</v>
      </c>
      <c r="C1570" t="s">
        <v>85</v>
      </c>
      <c r="D1570" t="s">
        <v>36</v>
      </c>
      <c r="E1570">
        <v>2.4802422553897712</v>
      </c>
    </row>
    <row r="1571" spans="1:5" x14ac:dyDescent="0.3">
      <c r="A1571" t="s">
        <v>1</v>
      </c>
      <c r="B1571" t="s">
        <v>72</v>
      </c>
      <c r="C1571" t="s">
        <v>86</v>
      </c>
      <c r="D1571" t="s">
        <v>36</v>
      </c>
      <c r="E1571">
        <v>2.8051472152891539</v>
      </c>
    </row>
    <row r="1572" spans="1:5" x14ac:dyDescent="0.3">
      <c r="A1572" t="s">
        <v>1</v>
      </c>
      <c r="B1572" t="s">
        <v>72</v>
      </c>
      <c r="C1572" t="s">
        <v>87</v>
      </c>
      <c r="D1572" t="s">
        <v>36</v>
      </c>
      <c r="E1572">
        <v>3.0195751509461228</v>
      </c>
    </row>
    <row r="1573" spans="1:5" x14ac:dyDescent="0.3">
      <c r="A1573" t="s">
        <v>1</v>
      </c>
      <c r="B1573" t="s">
        <v>73</v>
      </c>
      <c r="C1573" t="s">
        <v>88</v>
      </c>
      <c r="D1573" t="s">
        <v>36</v>
      </c>
      <c r="E1573">
        <v>3.0610786137477222</v>
      </c>
    </row>
    <row r="1574" spans="1:5" x14ac:dyDescent="0.3">
      <c r="A1574" t="s">
        <v>1</v>
      </c>
      <c r="B1574" t="s">
        <v>73</v>
      </c>
      <c r="C1574" t="s">
        <v>89</v>
      </c>
      <c r="D1574" t="s">
        <v>36</v>
      </c>
      <c r="E1574">
        <v>2.7750537154247898</v>
      </c>
    </row>
    <row r="1575" spans="1:5" x14ac:dyDescent="0.3">
      <c r="A1575" t="s">
        <v>1</v>
      </c>
      <c r="B1575" t="s">
        <v>74</v>
      </c>
      <c r="C1575" t="s">
        <v>90</v>
      </c>
      <c r="D1575" t="s">
        <v>36</v>
      </c>
      <c r="E1575">
        <v>2.9164242591850118</v>
      </c>
    </row>
    <row r="1576" spans="1:5" x14ac:dyDescent="0.3">
      <c r="A1576" t="s">
        <v>1</v>
      </c>
      <c r="B1576" t="s">
        <v>74</v>
      </c>
      <c r="C1576" t="s">
        <v>91</v>
      </c>
      <c r="D1576" t="s">
        <v>36</v>
      </c>
      <c r="E1576">
        <v>2.8903657928086002</v>
      </c>
    </row>
    <row r="1577" spans="1:5" x14ac:dyDescent="0.3">
      <c r="A1577" t="s">
        <v>1</v>
      </c>
      <c r="B1577" t="s">
        <v>75</v>
      </c>
      <c r="C1577" t="s">
        <v>92</v>
      </c>
      <c r="D1577" t="s">
        <v>36</v>
      </c>
      <c r="E1577">
        <v>2.8254632280892071</v>
      </c>
    </row>
    <row r="1578" spans="1:5" x14ac:dyDescent="0.3">
      <c r="A1578" t="s">
        <v>1</v>
      </c>
      <c r="B1578" t="s">
        <v>75</v>
      </c>
      <c r="C1578" t="s">
        <v>93</v>
      </c>
      <c r="D1578" t="s">
        <v>36</v>
      </c>
      <c r="E1578">
        <v>2.947876377682678</v>
      </c>
    </row>
    <row r="1579" spans="1:5" x14ac:dyDescent="0.3">
      <c r="A1579" t="s">
        <v>1</v>
      </c>
      <c r="B1579" t="s">
        <v>75</v>
      </c>
      <c r="C1579" t="s">
        <v>94</v>
      </c>
      <c r="D1579" t="s">
        <v>36</v>
      </c>
      <c r="E1579">
        <v>3.1809625248709108</v>
      </c>
    </row>
    <row r="1580" spans="1:5" x14ac:dyDescent="0.3">
      <c r="A1580" t="s">
        <v>1</v>
      </c>
      <c r="B1580" t="s">
        <v>75</v>
      </c>
      <c r="C1580" t="s">
        <v>95</v>
      </c>
      <c r="D1580" t="s">
        <v>36</v>
      </c>
      <c r="E1580">
        <v>2.914816796685765</v>
      </c>
    </row>
    <row r="1581" spans="1:5" x14ac:dyDescent="0.3">
      <c r="A1581" t="s">
        <v>1</v>
      </c>
      <c r="B1581" t="s">
        <v>76</v>
      </c>
      <c r="C1581" t="s">
        <v>96</v>
      </c>
      <c r="D1581" t="s">
        <v>36</v>
      </c>
      <c r="E1581">
        <v>2.3722330631597539</v>
      </c>
    </row>
    <row r="1582" spans="1:5" x14ac:dyDescent="0.3">
      <c r="A1582" t="s">
        <v>1</v>
      </c>
      <c r="B1582" t="s">
        <v>76</v>
      </c>
      <c r="C1582" t="s">
        <v>97</v>
      </c>
      <c r="D1582" t="s">
        <v>36</v>
      </c>
      <c r="E1582">
        <v>2.8803201398851939</v>
      </c>
    </row>
    <row r="1583" spans="1:5" x14ac:dyDescent="0.3">
      <c r="A1583" t="s">
        <v>1</v>
      </c>
      <c r="B1583" t="s">
        <v>76</v>
      </c>
      <c r="C1583" t="s">
        <v>98</v>
      </c>
      <c r="D1583" t="s">
        <v>36</v>
      </c>
      <c r="E1583">
        <v>2.630556470255113</v>
      </c>
    </row>
    <row r="1584" spans="1:5" x14ac:dyDescent="0.3">
      <c r="A1584" t="s">
        <v>1</v>
      </c>
      <c r="B1584" t="s">
        <v>0</v>
      </c>
      <c r="C1584" t="s">
        <v>99</v>
      </c>
      <c r="D1584" t="s">
        <v>36</v>
      </c>
      <c r="E1584">
        <v>0.82639481052118202</v>
      </c>
    </row>
    <row r="1585" spans="1:5" x14ac:dyDescent="0.3">
      <c r="A1585" t="s">
        <v>1</v>
      </c>
      <c r="B1585" t="s">
        <v>0</v>
      </c>
      <c r="C1585" t="s">
        <v>100</v>
      </c>
      <c r="D1585" t="s">
        <v>36</v>
      </c>
      <c r="E1585">
        <v>2.4782814200827961</v>
      </c>
    </row>
    <row r="1586" spans="1:5" x14ac:dyDescent="0.3">
      <c r="A1586" t="s">
        <v>1</v>
      </c>
      <c r="B1586" t="s">
        <v>0</v>
      </c>
      <c r="C1586" t="s">
        <v>101</v>
      </c>
      <c r="D1586" t="s">
        <v>36</v>
      </c>
      <c r="E1586">
        <v>1.498240321769734</v>
      </c>
    </row>
    <row r="1587" spans="1:5" x14ac:dyDescent="0.3">
      <c r="A1587" t="s">
        <v>1</v>
      </c>
      <c r="B1587" t="s">
        <v>0</v>
      </c>
      <c r="C1587" t="s">
        <v>102</v>
      </c>
      <c r="D1587" t="s">
        <v>36</v>
      </c>
      <c r="E1587">
        <v>1.4464719312879091</v>
      </c>
    </row>
    <row r="1588" spans="1:5" x14ac:dyDescent="0.3">
      <c r="A1588" t="s">
        <v>1</v>
      </c>
      <c r="B1588" t="s">
        <v>0</v>
      </c>
      <c r="C1588" t="s">
        <v>103</v>
      </c>
      <c r="D1588" t="s">
        <v>36</v>
      </c>
      <c r="E1588">
        <v>2.261446594739116</v>
      </c>
    </row>
    <row r="1589" spans="1:5" x14ac:dyDescent="0.3">
      <c r="A1589" t="s">
        <v>1</v>
      </c>
      <c r="B1589" t="s">
        <v>0</v>
      </c>
      <c r="C1589" t="s">
        <v>104</v>
      </c>
      <c r="D1589" t="s">
        <v>36</v>
      </c>
      <c r="E1589">
        <v>3.1464743716863661</v>
      </c>
    </row>
    <row r="1590" spans="1:5" x14ac:dyDescent="0.3">
      <c r="A1590" t="s">
        <v>1</v>
      </c>
      <c r="B1590" t="s">
        <v>0</v>
      </c>
      <c r="C1590" t="s">
        <v>105</v>
      </c>
      <c r="D1590" t="s">
        <v>36</v>
      </c>
      <c r="E1590">
        <v>3.5560027791523008</v>
      </c>
    </row>
    <row r="1591" spans="1:5" x14ac:dyDescent="0.3">
      <c r="A1591" t="s">
        <v>1</v>
      </c>
      <c r="B1591" t="s">
        <v>0</v>
      </c>
      <c r="C1591" t="s">
        <v>106</v>
      </c>
      <c r="D1591" t="s">
        <v>36</v>
      </c>
      <c r="E1591">
        <v>3.4920536928548418</v>
      </c>
    </row>
    <row r="1592" spans="1:5" x14ac:dyDescent="0.3">
      <c r="A1592" t="s">
        <v>1</v>
      </c>
      <c r="B1592" t="s">
        <v>0</v>
      </c>
      <c r="C1592" t="s">
        <v>107</v>
      </c>
      <c r="D1592" t="s">
        <v>36</v>
      </c>
      <c r="E1592">
        <v>3.6639677517574651</v>
      </c>
    </row>
    <row r="1593" spans="1:5" x14ac:dyDescent="0.3">
      <c r="A1593" t="s">
        <v>1</v>
      </c>
      <c r="B1593" t="s">
        <v>0</v>
      </c>
      <c r="C1593" t="s">
        <v>108</v>
      </c>
      <c r="D1593" t="s">
        <v>36</v>
      </c>
      <c r="E1593">
        <v>3.4124799449138341</v>
      </c>
    </row>
    <row r="1594" spans="1:5" x14ac:dyDescent="0.3">
      <c r="A1594" t="s">
        <v>1</v>
      </c>
      <c r="B1594" t="s">
        <v>0</v>
      </c>
      <c r="C1594" t="s">
        <v>109</v>
      </c>
      <c r="D1594" t="s">
        <v>36</v>
      </c>
      <c r="E1594">
        <v>2.7413756001474039</v>
      </c>
    </row>
    <row r="1595" spans="1:5" x14ac:dyDescent="0.3">
      <c r="A1595" t="s">
        <v>1</v>
      </c>
      <c r="B1595" t="s">
        <v>0</v>
      </c>
      <c r="C1595" t="s">
        <v>110</v>
      </c>
      <c r="D1595" t="s">
        <v>36</v>
      </c>
      <c r="E1595">
        <v>5.1582886752059194</v>
      </c>
    </row>
    <row r="1596" spans="1:5" x14ac:dyDescent="0.3">
      <c r="A1596" t="s">
        <v>1</v>
      </c>
      <c r="B1596" t="s">
        <v>0</v>
      </c>
      <c r="C1596" t="s">
        <v>111</v>
      </c>
      <c r="D1596" t="s">
        <v>36</v>
      </c>
      <c r="E1596">
        <v>4.3603990849609602</v>
      </c>
    </row>
    <row r="1597" spans="1:5" x14ac:dyDescent="0.3">
      <c r="A1597" t="s">
        <v>1</v>
      </c>
      <c r="B1597" t="s">
        <v>0</v>
      </c>
      <c r="C1597" t="s">
        <v>112</v>
      </c>
      <c r="D1597" t="s">
        <v>36</v>
      </c>
      <c r="E1597">
        <v>1.3732749969072231</v>
      </c>
    </row>
    <row r="1598" spans="1:5" x14ac:dyDescent="0.3">
      <c r="A1598" t="s">
        <v>1</v>
      </c>
      <c r="B1598" t="s">
        <v>0</v>
      </c>
      <c r="C1598" t="s">
        <v>113</v>
      </c>
      <c r="D1598" t="s">
        <v>36</v>
      </c>
      <c r="E1598">
        <v>1.8558329370748821</v>
      </c>
    </row>
    <row r="1599" spans="1:5" x14ac:dyDescent="0.3">
      <c r="A1599" t="s">
        <v>1</v>
      </c>
      <c r="B1599" t="s">
        <v>0</v>
      </c>
      <c r="C1599" t="s">
        <v>114</v>
      </c>
      <c r="D1599" t="s">
        <v>36</v>
      </c>
      <c r="E1599">
        <v>3.7079772432394931</v>
      </c>
    </row>
    <row r="1600" spans="1:5" x14ac:dyDescent="0.3">
      <c r="A1600" t="s">
        <v>1</v>
      </c>
      <c r="B1600" t="s">
        <v>0</v>
      </c>
      <c r="C1600" t="s">
        <v>115</v>
      </c>
      <c r="D1600" t="s">
        <v>36</v>
      </c>
      <c r="E1600">
        <v>1.6386471524005299</v>
      </c>
    </row>
    <row r="1601" spans="1:5" x14ac:dyDescent="0.3">
      <c r="A1601" t="s">
        <v>1</v>
      </c>
      <c r="B1601" t="s">
        <v>0</v>
      </c>
      <c r="C1601" t="s">
        <v>116</v>
      </c>
      <c r="D1601" t="s">
        <v>36</v>
      </c>
      <c r="E1601">
        <v>6.9403682562705669</v>
      </c>
    </row>
  </sheetData>
  <mergeCells count="2">
    <mergeCell ref="O3:O4"/>
    <mergeCell ref="P3:S3"/>
  </mergeCells>
  <pageMargins left="0.7" right="0.7" top="0.75" bottom="0.75" header="0.3" footer="0.3"/>
  <pageSetup orientation="portrait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B2:J21"/>
  <sheetViews>
    <sheetView showGridLines="0" workbookViewId="0">
      <selection activeCell="J18" sqref="J18"/>
    </sheetView>
  </sheetViews>
  <sheetFormatPr defaultRowHeight="15.75" x14ac:dyDescent="0.25"/>
  <cols>
    <col min="2" max="2" width="34.28515625" style="20" bestFit="1" customWidth="1"/>
    <col min="3" max="3" width="10.42578125" bestFit="1" customWidth="1"/>
    <col min="4" max="4" width="11.28515625" bestFit="1" customWidth="1"/>
    <col min="5" max="5" width="2" customWidth="1"/>
    <col min="6" max="6" width="10.42578125" bestFit="1" customWidth="1"/>
    <col min="7" max="7" width="11.28515625" bestFit="1" customWidth="1"/>
    <col min="8" max="8" width="2" customWidth="1"/>
    <col min="9" max="9" width="10.42578125" bestFit="1" customWidth="1"/>
    <col min="10" max="10" width="11.5703125" bestFit="1" customWidth="1"/>
    <col min="13" max="13" width="12.7109375" bestFit="1" customWidth="1"/>
    <col min="14" max="15" width="10" bestFit="1" customWidth="1"/>
    <col min="16" max="16" width="10" customWidth="1"/>
    <col min="17" max="18" width="10" bestFit="1" customWidth="1"/>
    <col min="19" max="19" width="10" customWidth="1"/>
    <col min="20" max="20" width="7" bestFit="1" customWidth="1"/>
    <col min="21" max="21" width="8" bestFit="1" customWidth="1"/>
  </cols>
  <sheetData>
    <row r="2" spans="2:10" x14ac:dyDescent="0.25">
      <c r="B2" s="130"/>
      <c r="C2" s="266" t="s">
        <v>31</v>
      </c>
      <c r="D2" s="266"/>
      <c r="E2" s="131"/>
      <c r="F2" s="265" t="s">
        <v>130</v>
      </c>
      <c r="G2" s="265"/>
      <c r="H2" s="131"/>
      <c r="I2" s="265" t="s">
        <v>124</v>
      </c>
      <c r="J2" s="265"/>
    </row>
    <row r="3" spans="2:10" ht="16.5" thickBot="1" x14ac:dyDescent="0.3">
      <c r="B3" s="132"/>
      <c r="C3" s="133" t="s">
        <v>196</v>
      </c>
      <c r="D3" s="133" t="s">
        <v>37</v>
      </c>
      <c r="E3" s="134"/>
      <c r="F3" s="133" t="s">
        <v>196</v>
      </c>
      <c r="G3" s="133" t="s">
        <v>37</v>
      </c>
      <c r="H3" s="134"/>
      <c r="I3" s="133" t="s">
        <v>196</v>
      </c>
      <c r="J3" s="133" t="s">
        <v>37</v>
      </c>
    </row>
    <row r="4" spans="2:10" ht="16.5" thickTop="1" x14ac:dyDescent="0.25">
      <c r="B4" s="39" t="s">
        <v>128</v>
      </c>
      <c r="C4" s="28"/>
      <c r="D4" s="28"/>
      <c r="E4" s="28"/>
      <c r="F4" s="28"/>
      <c r="G4" s="28"/>
      <c r="I4" s="27"/>
      <c r="J4" s="29"/>
    </row>
    <row r="5" spans="2:10" x14ac:dyDescent="0.25">
      <c r="B5" s="24" t="s">
        <v>51</v>
      </c>
      <c r="C5" s="28">
        <v>40.586849999999998</v>
      </c>
      <c r="D5" s="28">
        <v>42.675519999999999</v>
      </c>
      <c r="E5" s="28"/>
      <c r="F5" s="28">
        <v>16.428270000000001</v>
      </c>
      <c r="G5" s="28">
        <v>17.249230000000001</v>
      </c>
      <c r="H5" s="28"/>
      <c r="I5" s="26">
        <v>14855</v>
      </c>
      <c r="J5" s="26">
        <v>1004894</v>
      </c>
    </row>
    <row r="6" spans="2:10" x14ac:dyDescent="0.25">
      <c r="B6" s="24" t="s">
        <v>53</v>
      </c>
      <c r="C6" s="28">
        <v>48.973990000000001</v>
      </c>
      <c r="D6" s="28">
        <v>47.62876</v>
      </c>
      <c r="E6" s="28"/>
      <c r="F6" s="28">
        <v>0.49991150000000001</v>
      </c>
      <c r="G6" s="28">
        <v>0.49943769999999998</v>
      </c>
      <c r="H6" s="28"/>
      <c r="I6" s="26">
        <v>14855</v>
      </c>
      <c r="J6" s="26">
        <v>1004894</v>
      </c>
    </row>
    <row r="7" spans="2:10" x14ac:dyDescent="0.25">
      <c r="B7" s="24" t="s">
        <v>46</v>
      </c>
      <c r="C7" s="28">
        <v>56.769539999999999</v>
      </c>
      <c r="D7" s="28">
        <v>36.411949999999997</v>
      </c>
      <c r="E7" s="28"/>
      <c r="F7" s="28">
        <v>0.49541289999999999</v>
      </c>
      <c r="G7" s="28">
        <v>0.48118260000000002</v>
      </c>
      <c r="H7" s="28"/>
      <c r="I7" s="26">
        <v>14804</v>
      </c>
      <c r="J7" s="26">
        <v>915117</v>
      </c>
    </row>
    <row r="8" spans="2:10" x14ac:dyDescent="0.25">
      <c r="B8" s="39" t="s">
        <v>39</v>
      </c>
      <c r="C8" s="28"/>
      <c r="D8" s="28"/>
      <c r="E8" s="28"/>
      <c r="F8" s="28"/>
      <c r="G8" s="28"/>
      <c r="H8" s="28"/>
      <c r="I8" s="26"/>
      <c r="J8" s="26"/>
    </row>
    <row r="9" spans="2:10" x14ac:dyDescent="0.25">
      <c r="B9" s="24" t="s">
        <v>43</v>
      </c>
      <c r="C9" s="28">
        <v>91.184380000000004</v>
      </c>
      <c r="D9" s="28">
        <v>92.166129999999995</v>
      </c>
      <c r="E9" s="28"/>
      <c r="F9" s="28">
        <v>0.28353139999999999</v>
      </c>
      <c r="G9" s="28">
        <v>0.2687039</v>
      </c>
      <c r="H9" s="28"/>
      <c r="I9" s="26">
        <v>14855</v>
      </c>
      <c r="J9" s="26">
        <v>1004744</v>
      </c>
    </row>
    <row r="10" spans="2:10" x14ac:dyDescent="0.25">
      <c r="B10" s="24" t="s">
        <v>57</v>
      </c>
      <c r="C10" s="28">
        <v>38.828030000000005</v>
      </c>
      <c r="D10" s="28">
        <v>46.1051</v>
      </c>
      <c r="E10" s="28"/>
      <c r="F10" s="28">
        <v>0.48737530000000001</v>
      </c>
      <c r="G10" s="28">
        <v>0.4984809</v>
      </c>
      <c r="H10" s="28"/>
      <c r="I10" s="26">
        <v>14855</v>
      </c>
      <c r="J10" s="26">
        <v>1001672</v>
      </c>
    </row>
    <row r="11" spans="2:10" x14ac:dyDescent="0.25">
      <c r="B11" s="24" t="s">
        <v>55</v>
      </c>
      <c r="C11" s="28">
        <v>65.139250000000004</v>
      </c>
      <c r="D11" s="28">
        <v>68.664259999999999</v>
      </c>
      <c r="E11" s="28"/>
      <c r="F11" s="28">
        <v>0.47654550000000001</v>
      </c>
      <c r="G11" s="28">
        <v>0.46385850000000001</v>
      </c>
      <c r="H11" s="28"/>
      <c r="I11" s="26">
        <v>14855</v>
      </c>
      <c r="J11" s="26">
        <v>1004718</v>
      </c>
    </row>
    <row r="12" spans="2:10" x14ac:dyDescent="0.25">
      <c r="B12" s="24" t="s">
        <v>197</v>
      </c>
      <c r="C12" s="28">
        <v>5.7805299999999997</v>
      </c>
      <c r="D12" s="28">
        <v>4.0815299999999999</v>
      </c>
      <c r="E12" s="28"/>
      <c r="F12" s="28">
        <v>0.2333828</v>
      </c>
      <c r="G12" s="28">
        <v>0.19786229999999999</v>
      </c>
      <c r="H12" s="28"/>
      <c r="I12" s="26">
        <v>14855</v>
      </c>
      <c r="J12" s="26">
        <v>1004718</v>
      </c>
    </row>
    <row r="13" spans="2:10" x14ac:dyDescent="0.25">
      <c r="B13" s="39" t="s">
        <v>198</v>
      </c>
      <c r="C13" s="28"/>
      <c r="D13" s="28"/>
      <c r="E13" s="28"/>
      <c r="F13" s="28"/>
      <c r="G13" s="28"/>
      <c r="H13" s="28"/>
      <c r="I13" s="26"/>
      <c r="J13" s="26"/>
    </row>
    <row r="14" spans="2:10" x14ac:dyDescent="0.25">
      <c r="B14" s="24" t="s">
        <v>49</v>
      </c>
      <c r="C14" s="28">
        <v>68.759610000000009</v>
      </c>
      <c r="D14" s="28">
        <v>63.410429999999998</v>
      </c>
      <c r="E14" s="28"/>
      <c r="F14" s="28">
        <v>0.46349030000000002</v>
      </c>
      <c r="G14" s="28">
        <v>0.48168070000000002</v>
      </c>
      <c r="H14" s="28"/>
      <c r="I14" s="26">
        <v>13799</v>
      </c>
      <c r="J14" s="26">
        <v>975726</v>
      </c>
    </row>
    <row r="15" spans="2:10" x14ac:dyDescent="0.25">
      <c r="B15" s="24" t="s">
        <v>44</v>
      </c>
      <c r="C15" s="28">
        <v>26.368560000000002</v>
      </c>
      <c r="D15" s="28">
        <v>21.09075</v>
      </c>
      <c r="E15" s="28"/>
      <c r="F15" s="28">
        <v>0.44064979999999998</v>
      </c>
      <c r="G15" s="28">
        <v>0.40795320000000002</v>
      </c>
      <c r="H15" s="28"/>
      <c r="I15" s="26">
        <v>11612</v>
      </c>
      <c r="J15" s="26">
        <v>643350</v>
      </c>
    </row>
    <row r="16" spans="2:10" x14ac:dyDescent="0.25">
      <c r="B16" s="24" t="s">
        <v>50</v>
      </c>
      <c r="C16" s="28">
        <v>46.547550000000001</v>
      </c>
      <c r="D16" s="28">
        <v>47.817999999999998</v>
      </c>
      <c r="E16" s="28"/>
      <c r="F16" s="28">
        <v>0.4988262</v>
      </c>
      <c r="G16" s="28">
        <v>0.49952390000000002</v>
      </c>
      <c r="H16" s="28"/>
      <c r="I16" s="26">
        <v>12747</v>
      </c>
      <c r="J16" s="26">
        <v>894003</v>
      </c>
    </row>
    <row r="17" spans="2:10" x14ac:dyDescent="0.25">
      <c r="B17" s="24" t="s">
        <v>52</v>
      </c>
      <c r="C17" s="28">
        <v>82.755880000000005</v>
      </c>
      <c r="D17" s="28">
        <v>88.889240000000001</v>
      </c>
      <c r="E17" s="28"/>
      <c r="F17" s="28">
        <v>0.37777830000000001</v>
      </c>
      <c r="G17" s="28">
        <v>0.31426549999999998</v>
      </c>
      <c r="H17" s="28"/>
      <c r="I17" s="26">
        <v>12763</v>
      </c>
      <c r="J17" s="26">
        <v>894003</v>
      </c>
    </row>
    <row r="18" spans="2:10" x14ac:dyDescent="0.25">
      <c r="B18" s="24" t="s">
        <v>56</v>
      </c>
      <c r="C18" s="28">
        <v>74.087950000000006</v>
      </c>
      <c r="D18" s="28">
        <v>69.63561</v>
      </c>
      <c r="E18" s="28"/>
      <c r="F18" s="28">
        <v>0.43816670000000002</v>
      </c>
      <c r="G18" s="28">
        <v>0.45983099999999999</v>
      </c>
      <c r="H18" s="28"/>
      <c r="I18" s="26">
        <v>14761</v>
      </c>
      <c r="J18" s="26">
        <v>1003306</v>
      </c>
    </row>
    <row r="19" spans="2:10" x14ac:dyDescent="0.25">
      <c r="B19" s="24" t="s">
        <v>48</v>
      </c>
      <c r="C19" s="28">
        <v>86.90916</v>
      </c>
      <c r="D19" s="28">
        <v>91.779110000000003</v>
      </c>
      <c r="E19" s="28"/>
      <c r="F19" s="28">
        <v>0.33731339999999999</v>
      </c>
      <c r="G19" s="28">
        <v>0.2746828</v>
      </c>
      <c r="H19" s="28"/>
      <c r="I19" s="26">
        <v>12754</v>
      </c>
      <c r="J19" s="26">
        <v>896079</v>
      </c>
    </row>
    <row r="20" spans="2:10" x14ac:dyDescent="0.25">
      <c r="B20" s="24" t="s">
        <v>54</v>
      </c>
      <c r="C20" s="28">
        <v>60.492989999999999</v>
      </c>
      <c r="D20" s="28">
        <v>56.875030000000002</v>
      </c>
      <c r="E20" s="28"/>
      <c r="F20" s="28">
        <v>0.4888864</v>
      </c>
      <c r="G20" s="28">
        <v>0.4952511</v>
      </c>
      <c r="H20" s="28"/>
      <c r="I20" s="26">
        <v>11816</v>
      </c>
      <c r="J20" s="26">
        <v>848350</v>
      </c>
    </row>
    <row r="21" spans="2:10" x14ac:dyDescent="0.25">
      <c r="B21" s="36" t="s">
        <v>125</v>
      </c>
      <c r="C21" s="37">
        <v>40.21651</v>
      </c>
      <c r="D21" s="37">
        <v>39.473289999999999</v>
      </c>
      <c r="E21" s="37"/>
      <c r="F21" s="37">
        <v>0.49035420000000002</v>
      </c>
      <c r="G21" s="37">
        <v>0.48879349999999999</v>
      </c>
      <c r="H21" s="37"/>
      <c r="I21" s="135">
        <v>12736</v>
      </c>
      <c r="J21" s="135">
        <v>896425</v>
      </c>
    </row>
  </sheetData>
  <mergeCells count="3">
    <mergeCell ref="F2:G2"/>
    <mergeCell ref="C2:D2"/>
    <mergeCell ref="I2:J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0"/>
  <dimension ref="B2:K23"/>
  <sheetViews>
    <sheetView showGridLines="0" workbookViewId="0">
      <selection activeCell="K20" sqref="K20"/>
    </sheetView>
  </sheetViews>
  <sheetFormatPr defaultColWidth="9.140625" defaultRowHeight="15.75" x14ac:dyDescent="0.3"/>
  <cols>
    <col min="1" max="1" width="6.140625" style="92" bestFit="1" customWidth="1"/>
    <col min="2" max="2" width="19.140625" style="92" bestFit="1" customWidth="1"/>
    <col min="3" max="11" width="8.5703125" style="96" bestFit="1" customWidth="1"/>
    <col min="12" max="12" width="12" style="92" bestFit="1" customWidth="1"/>
    <col min="13" max="31" width="6.140625" style="92" bestFit="1" customWidth="1"/>
    <col min="32" max="33" width="7.140625" style="92" bestFit="1" customWidth="1"/>
    <col min="34" max="34" width="11.28515625" style="92" bestFit="1" customWidth="1"/>
    <col min="35" max="16384" width="9.140625" style="92"/>
  </cols>
  <sheetData>
    <row r="2" spans="2:11" x14ac:dyDescent="0.3">
      <c r="B2" s="98" t="s">
        <v>164</v>
      </c>
    </row>
    <row r="4" spans="2:11" ht="16.5" thickBot="1" x14ac:dyDescent="0.35">
      <c r="B4" s="94"/>
      <c r="C4" s="95">
        <v>1997</v>
      </c>
      <c r="D4" s="95">
        <v>2001</v>
      </c>
      <c r="E4" s="95">
        <v>2002</v>
      </c>
      <c r="F4" s="95">
        <v>2007</v>
      </c>
      <c r="G4" s="95">
        <v>2009</v>
      </c>
      <c r="H4" s="95">
        <v>2010</v>
      </c>
      <c r="I4" s="95">
        <v>2011</v>
      </c>
      <c r="J4" s="95">
        <v>2013</v>
      </c>
      <c r="K4" s="95">
        <v>2015</v>
      </c>
    </row>
    <row r="5" spans="2:11" ht="16.5" thickTop="1" x14ac:dyDescent="0.3">
      <c r="B5" s="93" t="s">
        <v>99</v>
      </c>
      <c r="C5" s="104">
        <v>68</v>
      </c>
      <c r="D5" s="104">
        <v>75</v>
      </c>
      <c r="E5" s="104">
        <v>75</v>
      </c>
      <c r="F5" s="104">
        <v>100</v>
      </c>
      <c r="G5" s="104">
        <v>100</v>
      </c>
      <c r="H5" s="104">
        <v>100</v>
      </c>
      <c r="I5" s="104">
        <v>100</v>
      </c>
      <c r="J5" s="104">
        <v>100</v>
      </c>
      <c r="K5" s="104">
        <v>100</v>
      </c>
    </row>
    <row r="6" spans="2:11" x14ac:dyDescent="0.3">
      <c r="B6" s="93" t="s">
        <v>100</v>
      </c>
      <c r="C6" s="104">
        <v>32</v>
      </c>
      <c r="D6" s="104">
        <v>52</v>
      </c>
      <c r="E6" s="104">
        <v>100</v>
      </c>
      <c r="F6" s="104">
        <v>100</v>
      </c>
      <c r="G6" s="104">
        <v>100</v>
      </c>
      <c r="H6" s="104">
        <v>100</v>
      </c>
      <c r="I6" s="104">
        <v>100</v>
      </c>
      <c r="J6" s="104">
        <v>100</v>
      </c>
      <c r="K6" s="104">
        <v>100</v>
      </c>
    </row>
    <row r="7" spans="2:11" x14ac:dyDescent="0.3">
      <c r="B7" s="93" t="s">
        <v>101</v>
      </c>
      <c r="C7" s="104">
        <v>11.58</v>
      </c>
      <c r="D7" s="104">
        <v>100</v>
      </c>
      <c r="E7" s="104">
        <v>100</v>
      </c>
      <c r="F7" s="104">
        <v>100</v>
      </c>
      <c r="G7" s="104">
        <v>100</v>
      </c>
      <c r="H7" s="104">
        <v>100</v>
      </c>
      <c r="I7" s="104">
        <v>100</v>
      </c>
      <c r="J7" s="104">
        <v>100</v>
      </c>
      <c r="K7" s="104">
        <v>100</v>
      </c>
    </row>
    <row r="8" spans="2:11" x14ac:dyDescent="0.3">
      <c r="B8" s="93" t="s">
        <v>102</v>
      </c>
      <c r="C8" s="104">
        <v>70</v>
      </c>
      <c r="D8" s="104">
        <v>70</v>
      </c>
      <c r="E8" s="104">
        <v>70</v>
      </c>
      <c r="F8" s="104">
        <v>100</v>
      </c>
      <c r="G8" s="104">
        <v>100</v>
      </c>
      <c r="H8" s="104">
        <v>100</v>
      </c>
      <c r="I8" s="104">
        <v>100</v>
      </c>
      <c r="J8" s="104">
        <v>100</v>
      </c>
      <c r="K8" s="104">
        <v>100</v>
      </c>
    </row>
    <row r="9" spans="2:11" x14ac:dyDescent="0.3">
      <c r="B9" s="93" t="s">
        <v>103</v>
      </c>
      <c r="C9" s="104">
        <v>25</v>
      </c>
      <c r="D9" s="104">
        <v>70.899999999999991</v>
      </c>
      <c r="E9" s="104">
        <v>50.5</v>
      </c>
      <c r="F9" s="104">
        <v>100</v>
      </c>
      <c r="G9" s="104">
        <v>99.9</v>
      </c>
      <c r="H9" s="104">
        <v>100</v>
      </c>
      <c r="I9" s="104">
        <v>100</v>
      </c>
      <c r="J9" s="104">
        <v>100</v>
      </c>
      <c r="K9" s="104">
        <v>100</v>
      </c>
    </row>
    <row r="10" spans="2:11" x14ac:dyDescent="0.3">
      <c r="B10" s="93" t="s">
        <v>104</v>
      </c>
      <c r="C10" s="104">
        <v>100</v>
      </c>
      <c r="D10" s="104">
        <v>100</v>
      </c>
      <c r="E10" s="104">
        <v>100</v>
      </c>
      <c r="F10" s="104">
        <v>100</v>
      </c>
      <c r="G10" s="104">
        <v>100</v>
      </c>
      <c r="H10" s="104">
        <v>100</v>
      </c>
      <c r="I10" s="104">
        <v>100</v>
      </c>
      <c r="J10" s="104">
        <v>100</v>
      </c>
      <c r="K10" s="104">
        <v>100</v>
      </c>
    </row>
    <row r="11" spans="2:11" x14ac:dyDescent="0.3">
      <c r="B11" s="93" t="s">
        <v>138</v>
      </c>
      <c r="C11" s="105" t="s">
        <v>163</v>
      </c>
      <c r="D11" s="105" t="s">
        <v>163</v>
      </c>
      <c r="E11" s="105" t="s">
        <v>163</v>
      </c>
      <c r="F11" s="104">
        <v>100</v>
      </c>
      <c r="G11" s="104">
        <v>100</v>
      </c>
      <c r="H11" s="104">
        <v>100</v>
      </c>
      <c r="I11" s="104">
        <v>100</v>
      </c>
      <c r="J11" s="104">
        <v>100</v>
      </c>
      <c r="K11" s="104">
        <v>100</v>
      </c>
    </row>
    <row r="12" spans="2:11" x14ac:dyDescent="0.3">
      <c r="B12" s="93" t="s">
        <v>106</v>
      </c>
      <c r="C12" s="104">
        <v>96.8</v>
      </c>
      <c r="D12" s="104">
        <v>96.8</v>
      </c>
      <c r="E12" s="104">
        <v>100</v>
      </c>
      <c r="F12" s="104">
        <v>100</v>
      </c>
      <c r="G12" s="104">
        <v>100</v>
      </c>
      <c r="H12" s="104">
        <v>100</v>
      </c>
      <c r="I12" s="104">
        <v>100</v>
      </c>
      <c r="J12" s="104">
        <v>100</v>
      </c>
      <c r="K12" s="104">
        <v>100</v>
      </c>
    </row>
    <row r="13" spans="2:11" x14ac:dyDescent="0.3">
      <c r="B13" s="93" t="s">
        <v>114</v>
      </c>
      <c r="C13" s="104">
        <v>64.5</v>
      </c>
      <c r="D13" s="104">
        <v>100</v>
      </c>
      <c r="E13" s="104">
        <v>100</v>
      </c>
      <c r="F13" s="104">
        <v>100</v>
      </c>
      <c r="G13" s="104">
        <v>100</v>
      </c>
      <c r="H13" s="104">
        <v>100</v>
      </c>
      <c r="I13" s="104">
        <v>100</v>
      </c>
      <c r="J13" s="104">
        <v>100</v>
      </c>
      <c r="K13" s="104">
        <v>100</v>
      </c>
    </row>
    <row r="14" spans="2:11" x14ac:dyDescent="0.3">
      <c r="B14" s="93" t="s">
        <v>107</v>
      </c>
      <c r="C14" s="104">
        <v>100</v>
      </c>
      <c r="D14" s="104">
        <v>100</v>
      </c>
      <c r="E14" s="104">
        <v>100</v>
      </c>
      <c r="F14" s="104">
        <v>96.7</v>
      </c>
      <c r="G14" s="104">
        <v>100</v>
      </c>
      <c r="H14" s="104">
        <v>100</v>
      </c>
      <c r="I14" s="104">
        <v>100</v>
      </c>
      <c r="J14" s="104">
        <v>100</v>
      </c>
      <c r="K14" s="104">
        <v>100</v>
      </c>
    </row>
    <row r="15" spans="2:11" x14ac:dyDescent="0.3">
      <c r="B15" s="93" t="s">
        <v>108</v>
      </c>
      <c r="C15" s="104">
        <v>100</v>
      </c>
      <c r="D15" s="104">
        <v>100</v>
      </c>
      <c r="E15" s="104">
        <v>100</v>
      </c>
      <c r="F15" s="104">
        <v>98.4</v>
      </c>
      <c r="G15" s="104">
        <v>100</v>
      </c>
      <c r="H15" s="104">
        <v>99</v>
      </c>
      <c r="I15" s="104">
        <v>99</v>
      </c>
      <c r="J15" s="104">
        <v>99</v>
      </c>
      <c r="K15" s="104">
        <v>99</v>
      </c>
    </row>
    <row r="16" spans="2:11" x14ac:dyDescent="0.3">
      <c r="B16" s="93" t="s">
        <v>109</v>
      </c>
      <c r="C16" s="104">
        <v>93</v>
      </c>
      <c r="D16" s="104">
        <v>88.3</v>
      </c>
      <c r="E16" s="104">
        <v>95</v>
      </c>
      <c r="F16" s="104">
        <v>100</v>
      </c>
      <c r="G16" s="104">
        <v>100</v>
      </c>
      <c r="H16" s="104">
        <v>100</v>
      </c>
      <c r="I16" s="104">
        <v>100</v>
      </c>
      <c r="J16" s="104">
        <v>100</v>
      </c>
      <c r="K16" s="104">
        <v>100</v>
      </c>
    </row>
    <row r="17" spans="2:11" x14ac:dyDescent="0.3">
      <c r="B17" s="93" t="s">
        <v>110</v>
      </c>
      <c r="C17" s="104">
        <v>100</v>
      </c>
      <c r="D17" s="104">
        <v>100</v>
      </c>
      <c r="E17" s="104">
        <v>100</v>
      </c>
      <c r="F17" s="104">
        <v>99.8</v>
      </c>
      <c r="G17" s="104">
        <v>100</v>
      </c>
      <c r="H17" s="104">
        <v>100</v>
      </c>
      <c r="I17" s="104">
        <v>100</v>
      </c>
      <c r="J17" s="104">
        <v>100</v>
      </c>
      <c r="K17" s="104">
        <v>100</v>
      </c>
    </row>
    <row r="18" spans="2:11" x14ac:dyDescent="0.3">
      <c r="B18" s="93" t="s">
        <v>111</v>
      </c>
      <c r="C18" s="104">
        <v>100</v>
      </c>
      <c r="D18" s="104">
        <v>100</v>
      </c>
      <c r="E18" s="104">
        <v>100</v>
      </c>
      <c r="F18" s="104">
        <v>99.2</v>
      </c>
      <c r="G18" s="104">
        <v>99.2</v>
      </c>
      <c r="H18" s="104">
        <v>99</v>
      </c>
      <c r="I18" s="104">
        <v>99</v>
      </c>
      <c r="J18" s="104">
        <v>99</v>
      </c>
      <c r="K18" s="104">
        <v>99</v>
      </c>
    </row>
    <row r="19" spans="2:11" x14ac:dyDescent="0.3">
      <c r="B19" s="93" t="s">
        <v>113</v>
      </c>
      <c r="C19" s="104">
        <v>46</v>
      </c>
      <c r="D19" s="104">
        <v>46</v>
      </c>
      <c r="E19" s="104">
        <v>46</v>
      </c>
      <c r="F19" s="104">
        <v>100</v>
      </c>
      <c r="G19" s="104">
        <v>100</v>
      </c>
      <c r="H19" s="104">
        <v>100</v>
      </c>
      <c r="I19" s="104">
        <v>100</v>
      </c>
      <c r="J19" s="104">
        <v>100</v>
      </c>
      <c r="K19" s="104">
        <v>100</v>
      </c>
    </row>
    <row r="20" spans="2:11" x14ac:dyDescent="0.3">
      <c r="B20" s="93" t="s">
        <v>112</v>
      </c>
      <c r="C20" s="104">
        <v>52</v>
      </c>
      <c r="D20" s="104">
        <v>52</v>
      </c>
      <c r="E20" s="104">
        <v>100</v>
      </c>
      <c r="F20" s="104">
        <v>100</v>
      </c>
      <c r="G20" s="104">
        <v>100</v>
      </c>
      <c r="H20" s="104">
        <v>100</v>
      </c>
      <c r="I20" s="104">
        <v>100</v>
      </c>
      <c r="J20" s="104">
        <v>100</v>
      </c>
      <c r="K20" s="104">
        <v>100</v>
      </c>
    </row>
    <row r="21" spans="2:11" x14ac:dyDescent="0.3">
      <c r="B21" s="93" t="s">
        <v>115</v>
      </c>
      <c r="C21" s="104">
        <v>80</v>
      </c>
      <c r="D21" s="104">
        <v>80</v>
      </c>
      <c r="E21" s="104">
        <v>80</v>
      </c>
      <c r="F21" s="104">
        <v>100</v>
      </c>
      <c r="G21" s="104">
        <v>100</v>
      </c>
      <c r="H21" s="104">
        <v>100</v>
      </c>
      <c r="I21" s="104">
        <v>100</v>
      </c>
      <c r="J21" s="104">
        <v>100</v>
      </c>
      <c r="K21" s="104">
        <v>100</v>
      </c>
    </row>
    <row r="22" spans="2:11" x14ac:dyDescent="0.3">
      <c r="B22" s="93" t="s">
        <v>116</v>
      </c>
      <c r="C22" s="104">
        <v>100</v>
      </c>
      <c r="D22" s="104">
        <v>100</v>
      </c>
      <c r="E22" s="104">
        <v>100</v>
      </c>
      <c r="F22" s="104">
        <v>100</v>
      </c>
      <c r="G22" s="104">
        <v>93.2</v>
      </c>
      <c r="H22" s="104">
        <v>100</v>
      </c>
      <c r="I22" s="104">
        <v>100</v>
      </c>
      <c r="J22" s="104">
        <v>100</v>
      </c>
      <c r="K22" s="104">
        <v>100</v>
      </c>
    </row>
    <row r="23" spans="2:11" x14ac:dyDescent="0.3">
      <c r="B23" s="97" t="s">
        <v>162</v>
      </c>
      <c r="C23" s="106">
        <v>68.333359999999999</v>
      </c>
      <c r="D23" s="106">
        <v>85.880549999999999</v>
      </c>
      <c r="E23" s="106">
        <v>90.996980000000008</v>
      </c>
      <c r="F23" s="106">
        <v>99.882561999999993</v>
      </c>
      <c r="G23" s="106">
        <v>99.986080000000001</v>
      </c>
      <c r="H23" s="106">
        <v>99.979295000000008</v>
      </c>
      <c r="I23" s="106">
        <v>99.979209999999995</v>
      </c>
      <c r="J23" s="106">
        <v>99.979050000000001</v>
      </c>
      <c r="K23" s="106">
        <v>99.979050000000001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1"/>
  <dimension ref="A1:H33"/>
  <sheetViews>
    <sheetView showGridLines="0" workbookViewId="0">
      <selection activeCell="D14" sqref="D14"/>
    </sheetView>
  </sheetViews>
  <sheetFormatPr defaultColWidth="9.140625" defaultRowHeight="15.75" x14ac:dyDescent="0.3"/>
  <cols>
    <col min="1" max="1" width="6.140625" style="101" bestFit="1" customWidth="1"/>
    <col min="2" max="2" width="11.7109375" style="99" bestFit="1" customWidth="1"/>
    <col min="3" max="3" width="28.85546875" style="102" bestFit="1" customWidth="1"/>
    <col min="4" max="4" width="23.5703125" style="103" bestFit="1" customWidth="1"/>
    <col min="5" max="11" width="6.140625" style="101" bestFit="1" customWidth="1"/>
    <col min="12" max="13" width="7.140625" style="101" bestFit="1" customWidth="1"/>
    <col min="14" max="14" width="11.28515625" style="101" bestFit="1" customWidth="1"/>
    <col min="15" max="16384" width="9.140625" style="101"/>
  </cols>
  <sheetData>
    <row r="1" spans="1:8" ht="16.5" x14ac:dyDescent="0.3">
      <c r="A1" s="251"/>
      <c r="B1" s="242"/>
      <c r="C1" s="243"/>
      <c r="D1" s="244"/>
      <c r="E1" s="252"/>
      <c r="F1" s="252"/>
      <c r="G1" s="252"/>
      <c r="H1" s="252"/>
    </row>
    <row r="2" spans="1:8" ht="17.25" thickBot="1" x14ac:dyDescent="0.35">
      <c r="A2" s="252"/>
      <c r="B2" s="108" t="s">
        <v>0</v>
      </c>
      <c r="C2" s="245" t="s">
        <v>165</v>
      </c>
      <c r="D2" s="245" t="s">
        <v>252</v>
      </c>
      <c r="E2" s="252"/>
      <c r="F2" s="252"/>
      <c r="G2" s="252"/>
      <c r="H2" s="252"/>
    </row>
    <row r="3" spans="1:8" ht="17.25" thickTop="1" x14ac:dyDescent="0.3">
      <c r="A3" s="252"/>
      <c r="B3" s="242" t="s">
        <v>102</v>
      </c>
      <c r="C3" s="243">
        <v>1997</v>
      </c>
      <c r="D3" s="244">
        <v>1998</v>
      </c>
      <c r="E3" s="252"/>
      <c r="F3" s="252"/>
      <c r="G3" s="252"/>
      <c r="H3" s="252"/>
    </row>
    <row r="4" spans="1:8" ht="16.5" x14ac:dyDescent="0.3">
      <c r="A4" s="252"/>
      <c r="B4" s="242" t="s">
        <v>102</v>
      </c>
      <c r="C4" s="244">
        <v>2001</v>
      </c>
      <c r="D4" s="244">
        <v>2000</v>
      </c>
      <c r="E4" s="252"/>
      <c r="F4" s="252"/>
      <c r="G4" s="252"/>
      <c r="H4" s="252"/>
    </row>
    <row r="5" spans="1:8" ht="16.5" x14ac:dyDescent="0.3">
      <c r="A5" s="252"/>
      <c r="B5" s="242" t="s">
        <v>102</v>
      </c>
      <c r="C5" s="246">
        <v>2002</v>
      </c>
      <c r="D5" s="244">
        <v>2003</v>
      </c>
      <c r="E5" s="252"/>
      <c r="F5" s="252"/>
      <c r="G5" s="252"/>
      <c r="H5" s="252"/>
    </row>
    <row r="6" spans="1:8" ht="16.5" x14ac:dyDescent="0.3">
      <c r="A6" s="252"/>
      <c r="B6" s="242" t="s">
        <v>102</v>
      </c>
      <c r="C6" s="246">
        <v>2007</v>
      </c>
      <c r="D6" s="244">
        <v>2006</v>
      </c>
      <c r="E6" s="252"/>
      <c r="F6" s="252"/>
      <c r="G6" s="252"/>
      <c r="H6" s="252"/>
    </row>
    <row r="7" spans="1:8" ht="16.5" x14ac:dyDescent="0.3">
      <c r="A7" s="252"/>
      <c r="B7" s="247" t="s">
        <v>103</v>
      </c>
      <c r="C7" s="246">
        <v>2007</v>
      </c>
      <c r="D7" s="244">
        <v>2008</v>
      </c>
      <c r="E7" s="252"/>
      <c r="F7" s="252"/>
      <c r="G7" s="252"/>
      <c r="H7" s="252"/>
    </row>
    <row r="8" spans="1:8" ht="16.5" x14ac:dyDescent="0.3">
      <c r="A8" s="252"/>
      <c r="B8" s="247" t="s">
        <v>106</v>
      </c>
      <c r="C8" s="246">
        <v>2002</v>
      </c>
      <c r="D8" s="244">
        <v>2003</v>
      </c>
      <c r="E8" s="252"/>
      <c r="F8" s="252"/>
      <c r="G8" s="252"/>
      <c r="H8" s="252"/>
    </row>
    <row r="9" spans="1:8" ht="16.5" x14ac:dyDescent="0.3">
      <c r="A9" s="252"/>
      <c r="B9" s="242" t="s">
        <v>114</v>
      </c>
      <c r="C9" s="243">
        <v>1997</v>
      </c>
      <c r="D9" s="244">
        <v>1998</v>
      </c>
      <c r="E9" s="252"/>
      <c r="F9" s="252"/>
      <c r="G9" s="252"/>
      <c r="H9" s="252"/>
    </row>
    <row r="10" spans="1:8" ht="16.5" x14ac:dyDescent="0.3">
      <c r="A10" s="252"/>
      <c r="B10" s="247" t="s">
        <v>107</v>
      </c>
      <c r="C10" s="246">
        <v>2001</v>
      </c>
      <c r="D10" s="244">
        <v>2000</v>
      </c>
      <c r="E10" s="252"/>
      <c r="F10" s="252"/>
      <c r="G10" s="252"/>
      <c r="H10" s="252"/>
    </row>
    <row r="11" spans="1:8" ht="16.5" x14ac:dyDescent="0.3">
      <c r="A11" s="252"/>
      <c r="B11" s="247" t="s">
        <v>107</v>
      </c>
      <c r="C11" s="243">
        <v>2015</v>
      </c>
      <c r="D11" s="244">
        <v>2014</v>
      </c>
      <c r="E11" s="252"/>
      <c r="F11" s="252"/>
      <c r="G11" s="252"/>
      <c r="H11" s="252"/>
    </row>
    <row r="12" spans="1:8" ht="16.5" x14ac:dyDescent="0.3">
      <c r="A12" s="252"/>
      <c r="B12" s="247" t="s">
        <v>109</v>
      </c>
      <c r="C12" s="246">
        <v>1997</v>
      </c>
      <c r="D12" s="244">
        <v>1998</v>
      </c>
      <c r="E12" s="252"/>
      <c r="F12" s="252"/>
      <c r="G12" s="252"/>
      <c r="H12" s="252"/>
    </row>
    <row r="13" spans="1:8" ht="16.5" x14ac:dyDescent="0.3">
      <c r="A13" s="252"/>
      <c r="B13" s="247" t="s">
        <v>109</v>
      </c>
      <c r="C13" s="246">
        <v>2001</v>
      </c>
      <c r="D13" s="244">
        <v>2000</v>
      </c>
      <c r="E13" s="252"/>
      <c r="F13" s="252"/>
      <c r="G13" s="252"/>
      <c r="H13" s="252"/>
    </row>
    <row r="14" spans="1:8" ht="16.5" x14ac:dyDescent="0.3">
      <c r="A14" s="252"/>
      <c r="B14" s="247" t="s">
        <v>109</v>
      </c>
      <c r="C14" s="246">
        <v>2007</v>
      </c>
      <c r="D14" s="244">
        <v>2006</v>
      </c>
      <c r="E14" s="252"/>
      <c r="F14" s="252"/>
      <c r="G14" s="252"/>
      <c r="H14" s="252"/>
    </row>
    <row r="15" spans="1:8" ht="16.5" x14ac:dyDescent="0.3">
      <c r="A15" s="252"/>
      <c r="B15" s="247" t="s">
        <v>109</v>
      </c>
      <c r="C15" s="246">
        <v>2009</v>
      </c>
      <c r="D15" s="244">
        <v>2008</v>
      </c>
      <c r="E15" s="252"/>
      <c r="F15" s="252"/>
      <c r="G15" s="252"/>
      <c r="H15" s="252"/>
    </row>
    <row r="16" spans="1:8" ht="16.5" x14ac:dyDescent="0.3">
      <c r="A16" s="252"/>
      <c r="B16" s="247" t="s">
        <v>109</v>
      </c>
      <c r="C16" s="246">
        <v>2011</v>
      </c>
      <c r="D16" s="244">
        <v>2012</v>
      </c>
      <c r="E16" s="252"/>
      <c r="F16" s="252"/>
      <c r="G16" s="252"/>
      <c r="H16" s="252"/>
    </row>
    <row r="17" spans="1:8" ht="16.5" x14ac:dyDescent="0.3">
      <c r="A17" s="252"/>
      <c r="B17" s="247" t="s">
        <v>109</v>
      </c>
      <c r="C17" s="246">
        <v>2015</v>
      </c>
      <c r="D17" s="244">
        <v>2014</v>
      </c>
      <c r="E17" s="252"/>
      <c r="F17" s="252"/>
      <c r="G17" s="252"/>
      <c r="H17" s="252"/>
    </row>
    <row r="18" spans="1:8" ht="16.5" x14ac:dyDescent="0.3">
      <c r="A18" s="252"/>
      <c r="B18" s="242" t="s">
        <v>110</v>
      </c>
      <c r="C18" s="243">
        <v>1997</v>
      </c>
      <c r="D18" s="244">
        <v>1998</v>
      </c>
      <c r="E18" s="252"/>
      <c r="F18" s="252"/>
      <c r="G18" s="252"/>
      <c r="H18" s="252"/>
    </row>
    <row r="19" spans="1:8" ht="16.5" x14ac:dyDescent="0.3">
      <c r="A19" s="252"/>
      <c r="B19" s="242" t="s">
        <v>110</v>
      </c>
      <c r="C19" s="243">
        <v>2007</v>
      </c>
      <c r="D19" s="244">
        <v>2005</v>
      </c>
      <c r="E19" s="252"/>
      <c r="F19" s="252"/>
      <c r="G19" s="252"/>
      <c r="H19" s="252"/>
    </row>
    <row r="20" spans="1:8" ht="16.5" x14ac:dyDescent="0.3">
      <c r="A20" s="252"/>
      <c r="B20" s="242" t="s">
        <v>110</v>
      </c>
      <c r="C20" s="243">
        <v>2015</v>
      </c>
      <c r="D20" s="244">
        <v>2014</v>
      </c>
      <c r="E20" s="252"/>
      <c r="F20" s="252"/>
      <c r="G20" s="252"/>
      <c r="H20" s="252"/>
    </row>
    <row r="21" spans="1:8" ht="16.5" x14ac:dyDescent="0.3">
      <c r="A21" s="252"/>
      <c r="B21" s="248" t="s">
        <v>116</v>
      </c>
      <c r="C21" s="249">
        <v>2013</v>
      </c>
      <c r="D21" s="250">
        <v>2012</v>
      </c>
      <c r="E21" s="252"/>
      <c r="F21" s="252"/>
      <c r="G21" s="252"/>
      <c r="H21" s="252"/>
    </row>
    <row r="22" spans="1:8" ht="16.5" x14ac:dyDescent="0.3">
      <c r="A22" s="252"/>
      <c r="B22" s="242"/>
      <c r="C22" s="243"/>
      <c r="D22" s="244"/>
      <c r="E22" s="252"/>
      <c r="F22" s="252"/>
      <c r="G22" s="252"/>
      <c r="H22" s="252"/>
    </row>
    <row r="23" spans="1:8" ht="16.5" x14ac:dyDescent="0.3">
      <c r="A23" s="252"/>
      <c r="B23" s="242"/>
      <c r="C23" s="243"/>
      <c r="D23" s="244"/>
      <c r="E23" s="252"/>
      <c r="F23" s="252"/>
      <c r="G23" s="252"/>
      <c r="H23" s="252"/>
    </row>
    <row r="24" spans="1:8" ht="16.5" x14ac:dyDescent="0.3">
      <c r="A24" s="252"/>
      <c r="B24" s="242"/>
      <c r="C24" s="243"/>
      <c r="D24" s="244"/>
      <c r="E24" s="252"/>
      <c r="F24" s="252"/>
      <c r="G24" s="252"/>
      <c r="H24" s="252"/>
    </row>
    <row r="25" spans="1:8" ht="16.5" x14ac:dyDescent="0.3">
      <c r="A25" s="252"/>
      <c r="B25" s="242"/>
      <c r="C25" s="243"/>
      <c r="D25" s="244"/>
      <c r="E25" s="252"/>
      <c r="F25" s="252"/>
      <c r="G25" s="252"/>
      <c r="H25" s="252"/>
    </row>
    <row r="26" spans="1:8" ht="16.5" x14ac:dyDescent="0.3">
      <c r="A26" s="252"/>
      <c r="B26" s="242"/>
      <c r="C26" s="243"/>
      <c r="D26" s="244"/>
      <c r="E26" s="252"/>
      <c r="F26" s="252"/>
      <c r="G26" s="252"/>
      <c r="H26" s="252"/>
    </row>
    <row r="27" spans="1:8" ht="16.5" x14ac:dyDescent="0.3">
      <c r="A27" s="252"/>
      <c r="B27" s="242"/>
      <c r="C27" s="243"/>
      <c r="D27" s="244"/>
      <c r="E27" s="252"/>
      <c r="F27" s="252"/>
      <c r="G27" s="252"/>
      <c r="H27" s="252"/>
    </row>
    <row r="28" spans="1:8" ht="16.5" x14ac:dyDescent="0.3">
      <c r="A28" s="252"/>
      <c r="B28" s="242"/>
      <c r="C28" s="243"/>
      <c r="D28" s="244"/>
      <c r="E28" s="252"/>
      <c r="F28" s="252"/>
      <c r="G28" s="252"/>
      <c r="H28" s="252"/>
    </row>
    <row r="29" spans="1:8" ht="24" customHeight="1" x14ac:dyDescent="0.3">
      <c r="A29" s="252"/>
      <c r="B29" s="20"/>
      <c r="C29" s="20"/>
      <c r="D29" s="20"/>
      <c r="E29" s="252"/>
      <c r="F29" s="252"/>
      <c r="G29" s="252"/>
      <c r="H29" s="252"/>
    </row>
    <row r="30" spans="1:8" ht="24" customHeight="1" x14ac:dyDescent="0.3">
      <c r="B30" s="5"/>
      <c r="C30" s="5"/>
      <c r="D30" s="5"/>
    </row>
    <row r="31" spans="1:8" x14ac:dyDescent="0.3">
      <c r="B31" s="5"/>
      <c r="C31" s="5"/>
      <c r="D31" s="5"/>
    </row>
    <row r="32" spans="1:8" x14ac:dyDescent="0.3">
      <c r="B32" s="5"/>
      <c r="C32" s="5"/>
      <c r="D32" s="5"/>
    </row>
    <row r="33" spans="2:4" x14ac:dyDescent="0.3">
      <c r="B33" s="5"/>
      <c r="C33" s="5"/>
      <c r="D33" s="5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2"/>
  <dimension ref="A1:C15"/>
  <sheetViews>
    <sheetView showGridLines="0" workbookViewId="0">
      <selection activeCell="S34" sqref="S34"/>
    </sheetView>
  </sheetViews>
  <sheetFormatPr defaultColWidth="9.140625" defaultRowHeight="15.75" x14ac:dyDescent="0.3"/>
  <cols>
    <col min="1" max="1" width="6.140625" style="101" bestFit="1" customWidth="1"/>
    <col min="2" max="2" width="11.140625" style="99" bestFit="1" customWidth="1"/>
    <col min="3" max="3" width="33.140625" style="107" bestFit="1" customWidth="1"/>
    <col min="4" max="10" width="6.140625" style="101" bestFit="1" customWidth="1"/>
    <col min="11" max="12" width="7.140625" style="101" bestFit="1" customWidth="1"/>
    <col min="13" max="13" width="11.28515625" style="101" bestFit="1" customWidth="1"/>
    <col min="14" max="16384" width="9.140625" style="101"/>
  </cols>
  <sheetData>
    <row r="1" spans="1:3" x14ac:dyDescent="0.3">
      <c r="A1" s="100"/>
    </row>
    <row r="2" spans="1:3" ht="17.25" thickBot="1" x14ac:dyDescent="0.35">
      <c r="B2" s="108" t="s">
        <v>0</v>
      </c>
      <c r="C2" s="109" t="s">
        <v>166</v>
      </c>
    </row>
    <row r="3" spans="1:3" ht="17.25" thickTop="1" x14ac:dyDescent="0.3">
      <c r="B3" s="20" t="s">
        <v>99</v>
      </c>
      <c r="C3" s="23" t="s">
        <v>171</v>
      </c>
    </row>
    <row r="4" spans="1:3" ht="16.5" x14ac:dyDescent="0.3">
      <c r="B4" s="20" t="s">
        <v>100</v>
      </c>
      <c r="C4" s="23">
        <v>2010</v>
      </c>
    </row>
    <row r="5" spans="1:3" ht="16.5" x14ac:dyDescent="0.3">
      <c r="B5" s="20" t="s">
        <v>101</v>
      </c>
      <c r="C5" s="23">
        <v>2010</v>
      </c>
    </row>
    <row r="6" spans="1:3" ht="16.5" x14ac:dyDescent="0.3">
      <c r="B6" s="20" t="s">
        <v>102</v>
      </c>
      <c r="C6" s="23">
        <v>2010</v>
      </c>
    </row>
    <row r="7" spans="1:3" ht="16.5" x14ac:dyDescent="0.3">
      <c r="B7" s="20" t="s">
        <v>103</v>
      </c>
      <c r="C7" s="23">
        <v>1997</v>
      </c>
    </row>
    <row r="8" spans="1:3" ht="16.5" x14ac:dyDescent="0.3">
      <c r="B8" s="20" t="s">
        <v>104</v>
      </c>
      <c r="C8" s="23" t="s">
        <v>170</v>
      </c>
    </row>
    <row r="9" spans="1:3" ht="16.5" x14ac:dyDescent="0.3">
      <c r="B9" s="20" t="s">
        <v>106</v>
      </c>
      <c r="C9" s="23" t="s">
        <v>169</v>
      </c>
    </row>
    <row r="10" spans="1:3" ht="16.5" x14ac:dyDescent="0.3">
      <c r="B10" s="20" t="s">
        <v>107</v>
      </c>
      <c r="C10" s="23" t="s">
        <v>168</v>
      </c>
    </row>
    <row r="11" spans="1:3" ht="16.5" x14ac:dyDescent="0.3">
      <c r="B11" s="20" t="s">
        <v>109</v>
      </c>
      <c r="C11" s="23">
        <v>2013</v>
      </c>
    </row>
    <row r="12" spans="1:3" ht="16.5" x14ac:dyDescent="0.3">
      <c r="B12" s="89" t="s">
        <v>110</v>
      </c>
      <c r="C12" s="115" t="s">
        <v>176</v>
      </c>
    </row>
    <row r="13" spans="1:3" ht="16.5" x14ac:dyDescent="0.3">
      <c r="B13" s="89" t="s">
        <v>111</v>
      </c>
      <c r="C13" s="115" t="s">
        <v>167</v>
      </c>
    </row>
    <row r="14" spans="1:3" ht="16.5" x14ac:dyDescent="0.3">
      <c r="B14" s="89" t="s">
        <v>112</v>
      </c>
      <c r="C14" s="115" t="s">
        <v>175</v>
      </c>
    </row>
    <row r="15" spans="1:3" ht="16.5" x14ac:dyDescent="0.3">
      <c r="B15" s="90" t="s">
        <v>116</v>
      </c>
      <c r="C15" s="110">
        <v>2015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3"/>
  <dimension ref="A1:O22"/>
  <sheetViews>
    <sheetView showGridLines="0" workbookViewId="0">
      <selection activeCell="F15" sqref="F15"/>
    </sheetView>
  </sheetViews>
  <sheetFormatPr defaultRowHeight="15" x14ac:dyDescent="0.25"/>
  <cols>
    <col min="3" max="3" width="11.140625" bestFit="1" customWidth="1"/>
    <col min="4" max="5" width="11.5703125" bestFit="1" customWidth="1"/>
    <col min="6" max="6" width="13.42578125" bestFit="1" customWidth="1"/>
    <col min="7" max="7" width="16.85546875" bestFit="1" customWidth="1"/>
    <col min="8" max="8" width="16.28515625" bestFit="1" customWidth="1"/>
    <col min="9" max="9" width="31.140625" bestFit="1" customWidth="1"/>
    <col min="11" max="11" width="31.140625" bestFit="1" customWidth="1"/>
    <col min="12" max="12" width="12.5703125" bestFit="1" customWidth="1"/>
    <col min="13" max="14" width="8" bestFit="1" customWidth="1"/>
    <col min="15" max="15" width="18.140625" bestFit="1" customWidth="1"/>
    <col min="16" max="16" width="29.7109375" bestFit="1" customWidth="1"/>
    <col min="17" max="17" width="27.28515625" bestFit="1" customWidth="1"/>
    <col min="18" max="18" width="31.140625" bestFit="1" customWidth="1"/>
  </cols>
  <sheetData>
    <row r="1" spans="1:15" ht="15.75" thickBot="1" x14ac:dyDescent="0.3">
      <c r="A1" s="148"/>
      <c r="B1" s="148" t="s">
        <v>139</v>
      </c>
      <c r="C1" s="148" t="s">
        <v>34</v>
      </c>
      <c r="D1" s="148" t="s">
        <v>186</v>
      </c>
      <c r="E1" s="148" t="s">
        <v>187</v>
      </c>
      <c r="F1" s="148" t="s">
        <v>188</v>
      </c>
      <c r="G1" s="148" t="s">
        <v>189</v>
      </c>
      <c r="H1" s="148" t="s">
        <v>190</v>
      </c>
      <c r="I1" s="148" t="s">
        <v>191</v>
      </c>
      <c r="K1" s="1"/>
      <c r="L1" s="148" t="s">
        <v>139</v>
      </c>
      <c r="M1" s="148" t="s">
        <v>34</v>
      </c>
    </row>
    <row r="2" spans="1:15" ht="15.75" thickTop="1" x14ac:dyDescent="0.25">
      <c r="A2" t="s">
        <v>2</v>
      </c>
      <c r="B2" s="1">
        <v>19.246400000000001</v>
      </c>
      <c r="C2" s="1">
        <v>78.533159999999995</v>
      </c>
      <c r="D2" s="1">
        <v>3.089788</v>
      </c>
      <c r="E2" s="1">
        <v>7.363747</v>
      </c>
      <c r="F2" s="1">
        <v>21.06841</v>
      </c>
      <c r="G2" s="1">
        <v>4.949065</v>
      </c>
      <c r="H2" s="1">
        <v>14.64794</v>
      </c>
      <c r="I2" s="1">
        <v>8.4932569999999998</v>
      </c>
      <c r="K2" s="1" t="s">
        <v>186</v>
      </c>
      <c r="L2" s="1">
        <f>+CORREL($B$2:$B$19,D2:D19)</f>
        <v>0.11597374808133672</v>
      </c>
      <c r="M2" s="1">
        <f>+CORREL($C$2:$C$19,D2:D19)</f>
        <v>0.16897016353152525</v>
      </c>
    </row>
    <row r="3" spans="1:15" x14ac:dyDescent="0.25">
      <c r="A3" t="s">
        <v>3</v>
      </c>
      <c r="B3" s="1">
        <v>10.1869</v>
      </c>
      <c r="C3" s="1">
        <v>52.990659999999998</v>
      </c>
      <c r="D3" s="1">
        <v>4.7477749999999999</v>
      </c>
      <c r="E3" s="1">
        <v>7.2744900000000001</v>
      </c>
      <c r="F3" s="1">
        <v>12.211539999999999</v>
      </c>
      <c r="G3" s="1">
        <v>7.4363989999999998</v>
      </c>
      <c r="H3" s="1">
        <v>13.913040000000001</v>
      </c>
      <c r="I3" s="1">
        <v>4.5320200000000002</v>
      </c>
      <c r="K3" s="1" t="s">
        <v>187</v>
      </c>
      <c r="L3" s="1">
        <f>+CORREL($B$2:$B$19,E2:E19)</f>
        <v>1.0804041655290964E-2</v>
      </c>
      <c r="M3" s="1">
        <f>+CORREL($C$2:$C$19,E2:E19)</f>
        <v>0.11876988024070537</v>
      </c>
    </row>
    <row r="4" spans="1:15" x14ac:dyDescent="0.25">
      <c r="A4" t="s">
        <v>4</v>
      </c>
      <c r="B4" s="1">
        <v>45.877600000000001</v>
      </c>
      <c r="C4" s="1">
        <v>92.326530000000005</v>
      </c>
      <c r="D4" s="1">
        <v>3.6395149999999998</v>
      </c>
      <c r="E4" s="1">
        <v>13.723850000000001</v>
      </c>
      <c r="F4" s="1">
        <v>25.811820000000001</v>
      </c>
      <c r="G4" s="1">
        <v>5.6951419999999997</v>
      </c>
      <c r="H4" s="1">
        <v>12.39601</v>
      </c>
      <c r="I4" s="1">
        <v>16.68085</v>
      </c>
      <c r="K4" s="1" t="s">
        <v>188</v>
      </c>
      <c r="L4" s="1">
        <f>+CORREL($B$2:$B$19,F2:F19)</f>
        <v>0.21580257485613077</v>
      </c>
      <c r="M4" s="1">
        <f>+CORREL($C$2:$C$19,F2:F19)</f>
        <v>0.39297497564018202</v>
      </c>
    </row>
    <row r="5" spans="1:15" x14ac:dyDescent="0.25">
      <c r="A5" t="s">
        <v>5</v>
      </c>
      <c r="B5" s="1">
        <v>46.469100000000005</v>
      </c>
      <c r="C5" s="1">
        <v>94.941569999999999</v>
      </c>
      <c r="D5" s="1">
        <v>3.6219070000000002</v>
      </c>
      <c r="E5" s="1">
        <v>4.5236340000000004</v>
      </c>
      <c r="F5" s="1">
        <v>12.90447</v>
      </c>
      <c r="G5" s="1">
        <v>9.2538440000000008</v>
      </c>
      <c r="H5" s="1">
        <v>10.390079999999999</v>
      </c>
      <c r="I5" s="1">
        <v>8.5653269999999999</v>
      </c>
      <c r="K5" s="1" t="s">
        <v>189</v>
      </c>
      <c r="L5" s="1">
        <f>+CORREL($B$2:$B$19,G2:G19)</f>
        <v>0.15148951758034632</v>
      </c>
      <c r="M5" s="1">
        <f>+CORREL($C$2:$C$19,G2:G19)</f>
        <v>0.17233096726572281</v>
      </c>
      <c r="O5" s="1"/>
    </row>
    <row r="6" spans="1:15" x14ac:dyDescent="0.25">
      <c r="A6" t="s">
        <v>6</v>
      </c>
      <c r="B6" s="1">
        <v>35.171300000000002</v>
      </c>
      <c r="C6" s="1">
        <v>85.589370000000002</v>
      </c>
      <c r="D6" s="1">
        <v>4.8303929999999999</v>
      </c>
      <c r="E6" s="1">
        <v>9.4446560000000002</v>
      </c>
      <c r="F6" s="1">
        <v>23.92353</v>
      </c>
      <c r="G6" s="1">
        <v>6.1180630000000003</v>
      </c>
      <c r="H6" s="1">
        <v>16.01069</v>
      </c>
      <c r="I6" s="1">
        <v>10.571669999999999</v>
      </c>
      <c r="K6" s="1" t="s">
        <v>190</v>
      </c>
      <c r="L6" s="1">
        <f>+CORREL($B$2:$B$19,H2:H19)</f>
        <v>-2.0498079792265086E-2</v>
      </c>
      <c r="M6" s="1">
        <f>+CORREL($C$2:$C$19,H2:H19)</f>
        <v>0.19743391687694384</v>
      </c>
      <c r="O6" s="1"/>
    </row>
    <row r="7" spans="1:15" x14ac:dyDescent="0.25">
      <c r="A7" t="s">
        <v>7</v>
      </c>
      <c r="B7" s="1">
        <v>29.8047</v>
      </c>
      <c r="C7" s="1">
        <v>81.294970000000006</v>
      </c>
      <c r="D7" s="1">
        <v>6.3475549999999998</v>
      </c>
      <c r="E7" s="1">
        <v>6.8535830000000004</v>
      </c>
      <c r="F7" s="1">
        <v>21.517669999999999</v>
      </c>
      <c r="G7" s="1">
        <v>4.9535600000000004</v>
      </c>
      <c r="H7" s="1">
        <v>13.057</v>
      </c>
      <c r="I7" s="1">
        <v>13.102729999999999</v>
      </c>
      <c r="K7" s="1" t="s">
        <v>191</v>
      </c>
      <c r="L7" s="1">
        <f>+CORREL($B$2:$B$19,I2:I19)</f>
        <v>0.42685329013924223</v>
      </c>
      <c r="M7" s="1">
        <f>+CORREL($C$2:$C$19,I2:I19)</f>
        <v>0.47990838259205459</v>
      </c>
      <c r="O7" s="1"/>
    </row>
    <row r="8" spans="1:15" x14ac:dyDescent="0.25">
      <c r="A8" t="s">
        <v>8</v>
      </c>
      <c r="B8" s="1">
        <v>22.398599999999998</v>
      </c>
      <c r="C8" s="1">
        <v>74.406750000000002</v>
      </c>
      <c r="D8" s="1">
        <v>7.1737960000000003</v>
      </c>
      <c r="E8" s="1">
        <v>12.11412</v>
      </c>
      <c r="F8" s="1">
        <v>25.966390000000001</v>
      </c>
      <c r="G8" s="1">
        <v>8.6117629999999998</v>
      </c>
      <c r="H8" s="1">
        <v>15.783659999999999</v>
      </c>
      <c r="I8" s="1">
        <v>9.3145640000000007</v>
      </c>
      <c r="O8" s="1"/>
    </row>
    <row r="9" spans="1:15" x14ac:dyDescent="0.25">
      <c r="A9" t="s">
        <v>9</v>
      </c>
      <c r="B9" s="1">
        <v>12.694100000000001</v>
      </c>
      <c r="C9" s="1">
        <v>46.210039999999999</v>
      </c>
      <c r="D9" s="1">
        <v>2.5328330000000001</v>
      </c>
      <c r="E9" s="1">
        <v>3.5547240000000002</v>
      </c>
      <c r="F9" s="1">
        <v>6.6176469999999998</v>
      </c>
      <c r="G9" s="1">
        <v>1.2999069999999999</v>
      </c>
      <c r="H9" s="1">
        <v>2.5092940000000001</v>
      </c>
      <c r="I9" s="1">
        <v>3.1458529999999998</v>
      </c>
      <c r="O9" s="1"/>
    </row>
    <row r="10" spans="1:15" x14ac:dyDescent="0.25">
      <c r="A10" t="s">
        <v>10</v>
      </c>
      <c r="B10" s="1">
        <v>30.019299999999998</v>
      </c>
      <c r="C10" s="1">
        <v>78.605419999999995</v>
      </c>
      <c r="D10" s="1">
        <v>5.8714769999999996</v>
      </c>
      <c r="E10" s="1">
        <v>3.451279</v>
      </c>
      <c r="F10" s="1">
        <v>16.138580000000001</v>
      </c>
      <c r="G10" s="1">
        <v>1.681473</v>
      </c>
      <c r="H10" s="1">
        <v>8.8340560000000004</v>
      </c>
      <c r="I10" s="1">
        <v>3.7581280000000001</v>
      </c>
      <c r="O10" s="1"/>
    </row>
    <row r="11" spans="1:15" x14ac:dyDescent="0.25">
      <c r="A11" t="s">
        <v>11</v>
      </c>
      <c r="B11" s="1">
        <v>30.363499999999998</v>
      </c>
      <c r="C11" s="1">
        <v>79.836330000000004</v>
      </c>
      <c r="D11" s="1">
        <v>4.3816879999999996</v>
      </c>
      <c r="E11" s="1">
        <v>4.4472569999999996</v>
      </c>
      <c r="F11" s="1">
        <v>17.702470000000002</v>
      </c>
      <c r="G11" s="1">
        <v>3.4654929999999999</v>
      </c>
      <c r="H11" s="1">
        <v>8.6323670000000003</v>
      </c>
      <c r="I11" s="1">
        <v>4.4875999999999996</v>
      </c>
      <c r="O11" s="1"/>
    </row>
    <row r="12" spans="1:15" x14ac:dyDescent="0.25">
      <c r="A12" t="s">
        <v>12</v>
      </c>
      <c r="B12" s="1">
        <v>34.641599999999997</v>
      </c>
      <c r="C12" s="1">
        <v>82.423209999999997</v>
      </c>
      <c r="D12" s="1">
        <v>5.2859619999999996</v>
      </c>
      <c r="E12" s="1">
        <v>5.7461399999999996</v>
      </c>
      <c r="F12" s="1">
        <v>17.96407</v>
      </c>
      <c r="G12" s="1">
        <v>3.4217279999999999</v>
      </c>
      <c r="H12" s="1">
        <v>9.3321909999999999</v>
      </c>
      <c r="I12" s="1">
        <v>7.4137940000000002</v>
      </c>
      <c r="L12" s="1"/>
      <c r="M12" s="1"/>
      <c r="N12" s="1"/>
      <c r="O12" s="1"/>
    </row>
    <row r="13" spans="1:15" x14ac:dyDescent="0.25">
      <c r="A13" t="s">
        <v>13</v>
      </c>
      <c r="B13" s="1">
        <v>11.4796</v>
      </c>
      <c r="C13" s="1">
        <v>57.824069999999999</v>
      </c>
      <c r="D13" s="1">
        <v>4.0438190000000001</v>
      </c>
      <c r="E13" s="1">
        <v>5.8947900000000004</v>
      </c>
      <c r="F13" s="1">
        <v>14.836539999999999</v>
      </c>
      <c r="G13" s="1">
        <v>2.7322730000000002</v>
      </c>
      <c r="H13" s="1">
        <v>9.7005579999999991</v>
      </c>
      <c r="I13" s="1">
        <v>4.680879</v>
      </c>
      <c r="L13" s="1"/>
      <c r="M13" s="1"/>
      <c r="N13" s="1"/>
      <c r="O13" s="1"/>
    </row>
    <row r="14" spans="1:15" x14ac:dyDescent="0.25">
      <c r="A14" t="s">
        <v>14</v>
      </c>
      <c r="B14" s="1">
        <v>18.997900000000001</v>
      </c>
      <c r="C14" s="1">
        <v>62.108559999999997</v>
      </c>
      <c r="D14" s="1">
        <v>5.440696</v>
      </c>
      <c r="E14" s="1">
        <v>10.7906</v>
      </c>
      <c r="F14" s="1">
        <v>19.595310000000001</v>
      </c>
      <c r="G14" s="1">
        <v>7.6514350000000002</v>
      </c>
      <c r="H14" s="1">
        <v>11.945029999999999</v>
      </c>
      <c r="I14" s="1">
        <v>10.33732</v>
      </c>
    </row>
    <row r="15" spans="1:15" x14ac:dyDescent="0.25">
      <c r="A15" t="s">
        <v>15</v>
      </c>
      <c r="B15" s="1">
        <v>21.038499999999999</v>
      </c>
      <c r="C15" s="1">
        <v>82.273949999999999</v>
      </c>
      <c r="D15" s="1">
        <v>5.4460090000000001</v>
      </c>
      <c r="E15" s="1">
        <v>7.8395630000000001</v>
      </c>
      <c r="F15" s="1">
        <v>10.55505</v>
      </c>
      <c r="G15" s="1">
        <v>3.1876139999999999</v>
      </c>
      <c r="H15" s="1">
        <v>8.6050730000000009</v>
      </c>
      <c r="I15" s="1">
        <v>6.0804489999999998</v>
      </c>
    </row>
    <row r="16" spans="1:15" x14ac:dyDescent="0.25">
      <c r="A16" t="s">
        <v>16</v>
      </c>
      <c r="B16" s="1">
        <v>33.464199999999998</v>
      </c>
      <c r="C16" s="1">
        <v>85.678319999999999</v>
      </c>
      <c r="D16" s="1">
        <v>3.0430799999999998</v>
      </c>
      <c r="E16" s="1">
        <v>4.8086630000000001</v>
      </c>
      <c r="F16" s="1">
        <v>17.697929999999999</v>
      </c>
      <c r="G16" s="1">
        <v>3.186553</v>
      </c>
      <c r="H16" s="1">
        <v>10.67998</v>
      </c>
      <c r="I16" s="1">
        <v>6.0373400000000004</v>
      </c>
    </row>
    <row r="17" spans="1:14" x14ac:dyDescent="0.25">
      <c r="A17" t="s">
        <v>17</v>
      </c>
      <c r="B17" s="1">
        <v>20.097899999999999</v>
      </c>
      <c r="C17" s="1">
        <v>76.740939999999995</v>
      </c>
      <c r="D17" s="1">
        <v>5.4508539999999996</v>
      </c>
      <c r="E17" s="1">
        <v>5.386971</v>
      </c>
      <c r="F17" s="1">
        <v>16.375229999999998</v>
      </c>
      <c r="G17" s="1">
        <v>2.2175029999999998</v>
      </c>
      <c r="H17" s="1">
        <v>6.2963509999999996</v>
      </c>
      <c r="I17" s="1">
        <v>6.0761240000000001</v>
      </c>
    </row>
    <row r="18" spans="1:14" x14ac:dyDescent="0.25">
      <c r="A18" t="s">
        <v>18</v>
      </c>
      <c r="B18" s="1">
        <v>9.5113000000000003</v>
      </c>
      <c r="C18" s="1">
        <v>65.706810000000004</v>
      </c>
      <c r="D18" s="1">
        <v>1.5287770000000001</v>
      </c>
      <c r="E18" s="1">
        <v>9.2838200000000004</v>
      </c>
      <c r="F18" s="1">
        <v>24.73592</v>
      </c>
      <c r="G18" s="1">
        <v>5.4270459999999998</v>
      </c>
      <c r="H18" s="1">
        <v>16.843029999999999</v>
      </c>
      <c r="I18" s="1">
        <v>9.0171320000000001</v>
      </c>
    </row>
    <row r="19" spans="1:14" x14ac:dyDescent="0.25">
      <c r="A19" t="s">
        <v>19</v>
      </c>
      <c r="B19" s="1">
        <v>33.448</v>
      </c>
      <c r="C19" s="1">
        <v>74.032679999999999</v>
      </c>
      <c r="D19" s="1">
        <v>3.8961039999999998</v>
      </c>
      <c r="E19" s="1">
        <v>3.8062279999999999</v>
      </c>
      <c r="F19" s="1">
        <v>12.683350000000001</v>
      </c>
      <c r="G19" s="1">
        <v>2.0761250000000002</v>
      </c>
      <c r="H19" s="1">
        <v>7.1675300000000002</v>
      </c>
      <c r="I19" s="1">
        <v>4.4155850000000001</v>
      </c>
    </row>
    <row r="22" spans="1:14" x14ac:dyDescent="0.25">
      <c r="J22" s="127"/>
      <c r="K22" s="127"/>
      <c r="L22" s="127"/>
      <c r="M22" s="127"/>
      <c r="N22" s="127"/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4"/>
  <dimension ref="B3:T27"/>
  <sheetViews>
    <sheetView showGridLines="0" topLeftCell="E1" workbookViewId="0">
      <selection activeCell="U9" sqref="U9"/>
    </sheetView>
  </sheetViews>
  <sheetFormatPr defaultColWidth="9.140625" defaultRowHeight="15.75" x14ac:dyDescent="0.25"/>
  <cols>
    <col min="1" max="1" width="3.42578125" style="20" customWidth="1"/>
    <col min="2" max="2" width="19.140625" style="20" bestFit="1" customWidth="1"/>
    <col min="3" max="5" width="5.5703125" style="20" bestFit="1" customWidth="1"/>
    <col min="6" max="6" width="5.5703125" style="20" customWidth="1"/>
    <col min="7" max="11" width="5.5703125" style="20" bestFit="1" customWidth="1"/>
    <col min="12" max="13" width="9.140625" style="20"/>
    <col min="14" max="14" width="11.28515625" style="20" bestFit="1" customWidth="1"/>
    <col min="15" max="15" width="13.7109375" style="20" bestFit="1" customWidth="1"/>
    <col min="16" max="16384" width="9.140625" style="20"/>
  </cols>
  <sheetData>
    <row r="3" spans="2:20" x14ac:dyDescent="0.25">
      <c r="C3" s="20">
        <v>1997</v>
      </c>
      <c r="D3" s="20">
        <v>2001</v>
      </c>
      <c r="E3" s="20">
        <v>2002</v>
      </c>
      <c r="F3" s="20">
        <v>2007</v>
      </c>
      <c r="G3" s="20">
        <v>2009</v>
      </c>
      <c r="H3" s="20">
        <v>2010</v>
      </c>
      <c r="I3" s="20">
        <v>2011</v>
      </c>
      <c r="J3" s="20">
        <v>2013</v>
      </c>
      <c r="K3" s="20">
        <v>2015</v>
      </c>
      <c r="N3" s="20" t="s">
        <v>179</v>
      </c>
      <c r="O3" s="20" t="s">
        <v>178</v>
      </c>
    </row>
    <row r="4" spans="2:20" x14ac:dyDescent="0.25">
      <c r="B4" s="238" t="s">
        <v>99</v>
      </c>
      <c r="C4" s="239">
        <v>3</v>
      </c>
      <c r="D4" s="239">
        <v>3</v>
      </c>
      <c r="E4" s="239">
        <v>3</v>
      </c>
      <c r="F4" s="117">
        <v>1</v>
      </c>
      <c r="G4" s="117">
        <v>1</v>
      </c>
      <c r="H4" s="117">
        <v>1</v>
      </c>
      <c r="I4" s="117">
        <v>1</v>
      </c>
      <c r="J4" s="117">
        <v>1</v>
      </c>
      <c r="K4" s="116">
        <v>2</v>
      </c>
      <c r="N4" s="112">
        <f>+COUNTIF(C4:K21,"1")</f>
        <v>111</v>
      </c>
      <c r="O4" s="119">
        <f>+N4/SUM($N$4:$N$6)</f>
        <v>0.68944099378881984</v>
      </c>
      <c r="P4" s="111" t="s">
        <v>174</v>
      </c>
    </row>
    <row r="5" spans="2:20" x14ac:dyDescent="0.25">
      <c r="B5" s="238" t="s">
        <v>100</v>
      </c>
      <c r="C5" s="117">
        <v>1</v>
      </c>
      <c r="D5" s="117">
        <v>1</v>
      </c>
      <c r="E5" s="117">
        <v>1</v>
      </c>
      <c r="F5" s="117">
        <v>1</v>
      </c>
      <c r="G5" s="117">
        <v>1</v>
      </c>
      <c r="H5" s="239">
        <v>3</v>
      </c>
      <c r="I5" s="117">
        <v>1</v>
      </c>
      <c r="J5" s="117">
        <v>1</v>
      </c>
      <c r="K5" s="117">
        <v>1</v>
      </c>
      <c r="N5" s="114">
        <f>+COUNTIF(C4:K21,"2")</f>
        <v>22</v>
      </c>
      <c r="O5" s="120">
        <f t="shared" ref="O5:O6" si="0">+N5/SUM($N$4:$N$6)</f>
        <v>0.13664596273291926</v>
      </c>
      <c r="P5" s="111" t="s">
        <v>177</v>
      </c>
    </row>
    <row r="6" spans="2:20" x14ac:dyDescent="0.25">
      <c r="B6" s="238" t="s">
        <v>101</v>
      </c>
      <c r="C6" s="117">
        <v>1</v>
      </c>
      <c r="D6" s="117">
        <v>1</v>
      </c>
      <c r="E6" s="117">
        <v>1</v>
      </c>
      <c r="F6" s="117">
        <v>1</v>
      </c>
      <c r="G6" s="117">
        <v>1</v>
      </c>
      <c r="H6" s="239">
        <v>3</v>
      </c>
      <c r="I6" s="117">
        <v>1</v>
      </c>
      <c r="J6" s="117">
        <v>1</v>
      </c>
      <c r="K6" s="117">
        <v>1</v>
      </c>
      <c r="N6" s="240">
        <f>+COUNTIF(C4:K21,"3")</f>
        <v>28</v>
      </c>
      <c r="O6" s="241">
        <f t="shared" si="0"/>
        <v>0.17391304347826086</v>
      </c>
      <c r="P6" s="111" t="s">
        <v>173</v>
      </c>
      <c r="R6" s="111"/>
      <c r="S6" s="111"/>
    </row>
    <row r="7" spans="2:20" x14ac:dyDescent="0.25">
      <c r="B7" s="238" t="s">
        <v>102</v>
      </c>
      <c r="C7" s="116">
        <v>2</v>
      </c>
      <c r="D7" s="116">
        <v>2</v>
      </c>
      <c r="E7" s="116">
        <v>2</v>
      </c>
      <c r="F7" s="116">
        <v>2</v>
      </c>
      <c r="G7" s="117">
        <v>1</v>
      </c>
      <c r="H7" s="239">
        <v>3</v>
      </c>
      <c r="I7" s="117">
        <v>1</v>
      </c>
      <c r="J7" s="117">
        <v>1</v>
      </c>
      <c r="K7" s="117">
        <v>1</v>
      </c>
      <c r="N7" s="111">
        <f>SUM(N4:N6)</f>
        <v>161</v>
      </c>
      <c r="O7" s="4"/>
      <c r="P7" s="4"/>
      <c r="Q7" s="4"/>
      <c r="R7" s="4"/>
      <c r="S7" s="4"/>
      <c r="T7" s="4"/>
    </row>
    <row r="8" spans="2:20" x14ac:dyDescent="0.25">
      <c r="B8" s="238" t="s">
        <v>103</v>
      </c>
      <c r="C8" s="239">
        <v>3</v>
      </c>
      <c r="D8" s="117">
        <v>1</v>
      </c>
      <c r="E8" s="117">
        <v>1</v>
      </c>
      <c r="F8" s="116">
        <v>2</v>
      </c>
      <c r="G8" s="117">
        <v>1</v>
      </c>
      <c r="H8" s="117">
        <v>1</v>
      </c>
      <c r="I8" s="117">
        <v>1</v>
      </c>
      <c r="J8" s="117">
        <v>1</v>
      </c>
      <c r="K8" s="117">
        <v>1</v>
      </c>
    </row>
    <row r="9" spans="2:20" x14ac:dyDescent="0.25">
      <c r="B9" s="238" t="s">
        <v>104</v>
      </c>
      <c r="C9" s="239">
        <v>3</v>
      </c>
      <c r="D9" s="239">
        <v>3</v>
      </c>
      <c r="E9" s="239">
        <v>3</v>
      </c>
      <c r="F9" s="239">
        <v>3</v>
      </c>
      <c r="G9" s="239">
        <v>3</v>
      </c>
      <c r="H9" s="117">
        <v>1</v>
      </c>
      <c r="I9" s="117">
        <v>1</v>
      </c>
      <c r="J9" s="117">
        <v>1</v>
      </c>
      <c r="K9" s="117">
        <v>1</v>
      </c>
    </row>
    <row r="10" spans="2:20" x14ac:dyDescent="0.25">
      <c r="B10" s="238" t="s">
        <v>105</v>
      </c>
      <c r="C10" s="118">
        <v>0</v>
      </c>
      <c r="D10" s="117">
        <v>1</v>
      </c>
      <c r="E10" s="117">
        <v>1</v>
      </c>
      <c r="F10" s="117">
        <v>1</v>
      </c>
      <c r="G10" s="117">
        <v>1</v>
      </c>
      <c r="H10" s="117">
        <v>1</v>
      </c>
      <c r="I10" s="117">
        <v>1</v>
      </c>
      <c r="J10" s="117">
        <v>1</v>
      </c>
      <c r="K10" s="117">
        <v>1</v>
      </c>
    </row>
    <row r="11" spans="2:20" x14ac:dyDescent="0.25">
      <c r="B11" s="238" t="s">
        <v>106</v>
      </c>
      <c r="C11" s="239">
        <v>3</v>
      </c>
      <c r="D11" s="239">
        <v>3</v>
      </c>
      <c r="E11" s="116">
        <v>2</v>
      </c>
      <c r="F11" s="117">
        <v>1</v>
      </c>
      <c r="G11" s="117">
        <v>1</v>
      </c>
      <c r="H11" s="117">
        <v>1</v>
      </c>
      <c r="I11" s="117">
        <v>1</v>
      </c>
      <c r="J11" s="117">
        <v>1</v>
      </c>
      <c r="K11" s="117">
        <v>1</v>
      </c>
    </row>
    <row r="12" spans="2:20" x14ac:dyDescent="0.25">
      <c r="B12" s="238" t="s">
        <v>114</v>
      </c>
      <c r="C12" s="117">
        <v>1</v>
      </c>
      <c r="D12" s="117">
        <v>1</v>
      </c>
      <c r="E12" s="117">
        <v>1</v>
      </c>
      <c r="F12" s="117">
        <v>1</v>
      </c>
      <c r="G12" s="117">
        <v>1</v>
      </c>
      <c r="H12" s="117">
        <v>1</v>
      </c>
      <c r="I12" s="117">
        <v>1</v>
      </c>
      <c r="J12" s="117">
        <v>1</v>
      </c>
      <c r="K12" s="117">
        <v>1</v>
      </c>
    </row>
    <row r="13" spans="2:20" x14ac:dyDescent="0.25">
      <c r="B13" s="238" t="s">
        <v>107</v>
      </c>
      <c r="C13" s="116">
        <v>2</v>
      </c>
      <c r="D13" s="116">
        <v>2</v>
      </c>
      <c r="E13" s="239">
        <v>3</v>
      </c>
      <c r="F13" s="116">
        <v>2</v>
      </c>
      <c r="G13" s="239">
        <v>3</v>
      </c>
      <c r="H13" s="239">
        <v>3</v>
      </c>
      <c r="I13" s="117">
        <v>1</v>
      </c>
      <c r="J13" s="239">
        <v>3</v>
      </c>
      <c r="K13" s="116">
        <v>2</v>
      </c>
    </row>
    <row r="14" spans="2:20" x14ac:dyDescent="0.25">
      <c r="B14" s="238" t="s">
        <v>108</v>
      </c>
      <c r="C14" s="117">
        <v>1</v>
      </c>
      <c r="D14" s="117">
        <v>1</v>
      </c>
      <c r="E14" s="117">
        <v>1</v>
      </c>
      <c r="F14" s="117">
        <v>1</v>
      </c>
      <c r="G14" s="117">
        <v>1</v>
      </c>
      <c r="H14" s="117">
        <v>1</v>
      </c>
      <c r="I14" s="117">
        <v>1</v>
      </c>
      <c r="J14" s="117">
        <v>1</v>
      </c>
      <c r="K14" s="117">
        <v>1</v>
      </c>
    </row>
    <row r="15" spans="2:20" x14ac:dyDescent="0.25">
      <c r="B15" s="238" t="s">
        <v>109</v>
      </c>
      <c r="C15" s="116">
        <v>2</v>
      </c>
      <c r="D15" s="116">
        <v>2</v>
      </c>
      <c r="E15" s="117">
        <v>1</v>
      </c>
      <c r="F15" s="116">
        <v>2</v>
      </c>
      <c r="G15" s="116">
        <v>2</v>
      </c>
      <c r="H15" s="117">
        <v>1</v>
      </c>
      <c r="I15" s="116">
        <v>2</v>
      </c>
      <c r="J15" s="239">
        <v>3</v>
      </c>
      <c r="K15" s="116">
        <v>2</v>
      </c>
    </row>
    <row r="16" spans="2:20" x14ac:dyDescent="0.25">
      <c r="B16" s="238" t="s">
        <v>110</v>
      </c>
      <c r="C16" s="116">
        <v>2</v>
      </c>
      <c r="D16" s="117">
        <v>1</v>
      </c>
      <c r="E16" s="239">
        <v>3</v>
      </c>
      <c r="F16" s="116">
        <v>2</v>
      </c>
      <c r="G16" s="117">
        <v>1</v>
      </c>
      <c r="H16" s="239">
        <v>3</v>
      </c>
      <c r="I16" s="239">
        <v>3</v>
      </c>
      <c r="J16" s="239">
        <v>3</v>
      </c>
      <c r="K16" s="116">
        <v>2</v>
      </c>
    </row>
    <row r="17" spans="2:11" x14ac:dyDescent="0.25">
      <c r="B17" s="238" t="s">
        <v>111</v>
      </c>
      <c r="C17" s="239">
        <v>3</v>
      </c>
      <c r="D17" s="239">
        <v>3</v>
      </c>
      <c r="E17" s="239">
        <v>3</v>
      </c>
      <c r="F17" s="239">
        <v>3</v>
      </c>
      <c r="G17" s="117">
        <v>1</v>
      </c>
      <c r="H17" s="117">
        <v>1</v>
      </c>
      <c r="I17" s="117">
        <v>1</v>
      </c>
      <c r="J17" s="117">
        <v>1</v>
      </c>
      <c r="K17" s="117">
        <v>1</v>
      </c>
    </row>
    <row r="18" spans="2:11" x14ac:dyDescent="0.25">
      <c r="B18" s="238" t="s">
        <v>113</v>
      </c>
      <c r="C18" s="117">
        <v>1</v>
      </c>
      <c r="D18" s="117">
        <v>1</v>
      </c>
      <c r="E18" s="117">
        <v>1</v>
      </c>
      <c r="F18" s="117">
        <v>1</v>
      </c>
      <c r="G18" s="117">
        <v>1</v>
      </c>
      <c r="H18" s="117">
        <v>1</v>
      </c>
      <c r="I18" s="117">
        <v>1</v>
      </c>
      <c r="J18" s="117">
        <v>1</v>
      </c>
      <c r="K18" s="117">
        <v>1</v>
      </c>
    </row>
    <row r="19" spans="2:11" x14ac:dyDescent="0.25">
      <c r="B19" s="238" t="s">
        <v>112</v>
      </c>
      <c r="C19" s="116">
        <v>2</v>
      </c>
      <c r="D19" s="117">
        <v>1</v>
      </c>
      <c r="E19" s="117">
        <v>1</v>
      </c>
      <c r="F19" s="117">
        <v>1</v>
      </c>
      <c r="G19" s="117">
        <v>1</v>
      </c>
      <c r="H19" s="117">
        <v>1</v>
      </c>
      <c r="I19" s="117">
        <v>1</v>
      </c>
      <c r="J19" s="117">
        <v>1</v>
      </c>
      <c r="K19" s="117">
        <v>1</v>
      </c>
    </row>
    <row r="20" spans="2:11" x14ac:dyDescent="0.25">
      <c r="B20" s="238" t="s">
        <v>115</v>
      </c>
      <c r="C20" s="117">
        <v>1</v>
      </c>
      <c r="D20" s="117">
        <v>1</v>
      </c>
      <c r="E20" s="117">
        <v>1</v>
      </c>
      <c r="F20" s="117">
        <v>1</v>
      </c>
      <c r="G20" s="117">
        <v>1</v>
      </c>
      <c r="H20" s="117">
        <v>1</v>
      </c>
      <c r="I20" s="117">
        <v>1</v>
      </c>
      <c r="J20" s="117">
        <v>1</v>
      </c>
      <c r="K20" s="117">
        <v>1</v>
      </c>
    </row>
    <row r="21" spans="2:11" x14ac:dyDescent="0.25">
      <c r="B21" s="238" t="s">
        <v>116</v>
      </c>
      <c r="C21" s="117">
        <v>1</v>
      </c>
      <c r="D21" s="117">
        <v>1</v>
      </c>
      <c r="E21" s="117">
        <v>1</v>
      </c>
      <c r="F21" s="117">
        <v>1</v>
      </c>
      <c r="G21" s="117">
        <v>1</v>
      </c>
      <c r="H21" s="117">
        <v>1</v>
      </c>
      <c r="I21" s="117">
        <v>1</v>
      </c>
      <c r="J21" s="116">
        <v>2</v>
      </c>
      <c r="K21" s="239">
        <v>3</v>
      </c>
    </row>
    <row r="23" spans="2:11" x14ac:dyDescent="0.25">
      <c r="C23" s="112"/>
      <c r="D23" s="111" t="s">
        <v>174</v>
      </c>
    </row>
    <row r="24" spans="2:11" x14ac:dyDescent="0.25">
      <c r="C24" s="114"/>
      <c r="D24" s="111" t="s">
        <v>181</v>
      </c>
    </row>
    <row r="25" spans="2:11" x14ac:dyDescent="0.25">
      <c r="C25" s="240"/>
      <c r="D25" s="111" t="s">
        <v>172</v>
      </c>
    </row>
    <row r="26" spans="2:11" x14ac:dyDescent="0.25">
      <c r="C26" s="113"/>
      <c r="D26" s="111" t="s">
        <v>180</v>
      </c>
    </row>
    <row r="27" spans="2:11" x14ac:dyDescent="0.25">
      <c r="D27" s="11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Blog</vt:lpstr>
      <vt:lpstr>Fig1</vt:lpstr>
      <vt:lpstr>Fig2</vt:lpstr>
      <vt:lpstr>Fig3</vt:lpstr>
      <vt:lpstr>Fig4a</vt:lpstr>
      <vt:lpstr>Fig4b</vt:lpstr>
      <vt:lpstr>Fig5</vt:lpstr>
      <vt:lpstr>Fig6</vt:lpstr>
      <vt:lpstr>Fig7a</vt:lpstr>
      <vt:lpstr>Fig7b</vt:lpstr>
      <vt:lpstr>Fig8</vt:lpstr>
      <vt:lpstr>Fig9</vt:lpstr>
      <vt:lpstr>Table1</vt:lpstr>
      <vt:lpstr>TableA1</vt:lpstr>
      <vt:lpstr>TableA2</vt:lpstr>
      <vt:lpstr>TableA3</vt:lpstr>
      <vt:lpstr>TableA4</vt:lpstr>
      <vt:lpstr>TableB1</vt:lpstr>
      <vt:lpstr>TableB2</vt:lpstr>
      <vt:lpstr>TableB3</vt:lpstr>
      <vt:lpstr>FigA1</vt:lpstr>
      <vt:lpstr>FigB1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Germán Reyes</cp:lastModifiedBy>
  <dcterms:modified xsi:type="dcterms:W3CDTF">2021-05-04T00:11:51Z</dcterms:modified>
</cp:coreProperties>
</file>