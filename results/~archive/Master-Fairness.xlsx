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Germán\Dropbox\Research\Fairness\04_Results\"/>
    </mc:Choice>
  </mc:AlternateContent>
  <xr:revisionPtr revIDLastSave="0" documentId="13_ncr:1_{25F21127-607B-48A1-9967-E61CDB31E92B}" xr6:coauthVersionLast="46" xr6:coauthVersionMax="46" xr10:uidLastSave="{00000000-0000-0000-0000-000000000000}"/>
  <bookViews>
    <workbookView xWindow="-120" yWindow="-120" windowWidth="29040" windowHeight="15840" tabRatio="1000" activeTab="2" xr2:uid="{00000000-000D-0000-FFFF-FFFF00000000}"/>
  </bookViews>
  <sheets>
    <sheet name="N" sheetId="52" r:id="rId1"/>
    <sheet name="Table1" sheetId="51" r:id="rId2"/>
    <sheet name="TableA1" sheetId="9" r:id="rId3"/>
    <sheet name="TableA2" sheetId="10" r:id="rId4"/>
    <sheet name="TableA3" sheetId="39" r:id="rId5"/>
    <sheet name="TableB1" sheetId="32" r:id="rId6"/>
    <sheet name="TableB2" sheetId="33" r:id="rId7"/>
    <sheet name="TableB3" sheetId="34" r:id="rId8"/>
    <sheet name="TableB4" sheetId="35" r:id="rId9"/>
  </sheets>
  <definedNames>
    <definedName name="_xlnm._FilterDatabase" localSheetId="1" hidden="1">Table1!$B$40:$E$40</definedName>
    <definedName name="_xlnm._FilterDatabase" localSheetId="2" hidden="1">TableA1!$A$1:$E$20</definedName>
    <definedName name="_xlnm._FilterDatabase" localSheetId="3" hidden="1">TableA2!$A$1:$E$1601</definedName>
    <definedName name="_xlnm._FilterDatabase" localSheetId="6" hidden="1">TableB2!$B$2:$D$21</definedName>
    <definedName name="_xlnm._FilterDatabase" localSheetId="7" hidden="1">TableB3!$B$2:$C$15</definedName>
  </definedNames>
  <calcPr calcId="191029"/>
  <pivotCaches>
    <pivotCache cacheId="7" r:id="rId10"/>
    <pivotCache cacheId="26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35" l="1"/>
  <c r="N5" i="35"/>
  <c r="N4" i="35"/>
  <c r="Q11" i="52"/>
  <c r="Q6" i="52"/>
  <c r="Q7" i="52"/>
  <c r="Q8" i="52"/>
  <c r="Q9" i="52"/>
  <c r="Q10" i="52"/>
  <c r="Q12" i="52"/>
  <c r="Q13" i="52"/>
  <c r="Q14" i="52"/>
  <c r="Q15" i="52"/>
  <c r="Q16" i="52"/>
  <c r="Q17" i="52"/>
  <c r="Q18" i="52"/>
  <c r="Q19" i="52"/>
  <c r="Q20" i="52"/>
  <c r="Q21" i="52"/>
  <c r="Q22" i="52"/>
  <c r="Q5" i="52"/>
  <c r="D24" i="52"/>
  <c r="E24" i="52"/>
  <c r="F24" i="52"/>
  <c r="G24" i="52"/>
  <c r="H24" i="52"/>
  <c r="I24" i="52"/>
  <c r="J24" i="52"/>
  <c r="K24" i="52"/>
  <c r="L24" i="52"/>
  <c r="M24" i="52"/>
  <c r="N24" i="52"/>
  <c r="O24" i="52"/>
  <c r="Q24" i="52" s="1"/>
  <c r="C24" i="52"/>
  <c r="N7" i="35" l="1"/>
  <c r="O4" i="35" l="1"/>
  <c r="O5" i="35"/>
  <c r="O6" i="35"/>
</calcChain>
</file>

<file path=xl/sharedStrings.xml><?xml version="1.0" encoding="utf-8"?>
<sst xmlns="http://schemas.openxmlformats.org/spreadsheetml/2006/main" count="4503" uniqueCount="187">
  <si>
    <t>Country</t>
  </si>
  <si>
    <t>Coefficient Variation</t>
  </si>
  <si>
    <t>Absolute Gini</t>
  </si>
  <si>
    <t>Ratio 75/25</t>
  </si>
  <si>
    <t>Ratio 90/10</t>
  </si>
  <si>
    <t>Variance</t>
  </si>
  <si>
    <t>Variable</t>
  </si>
  <si>
    <t>Row Labels</t>
  </si>
  <si>
    <t>Obs</t>
  </si>
  <si>
    <t>Mean</t>
  </si>
  <si>
    <t>Std_Dev</t>
  </si>
  <si>
    <t>Very unfair</t>
  </si>
  <si>
    <t>Unfair</t>
  </si>
  <si>
    <t>Fair</t>
  </si>
  <si>
    <t>Very fair</t>
  </si>
  <si>
    <t>SEDLAC</t>
  </si>
  <si>
    <t>Asset ownership</t>
  </si>
  <si>
    <t>Education and Labor market</t>
  </si>
  <si>
    <t>Socio-demographic</t>
  </si>
  <si>
    <t>Access to services</t>
  </si>
  <si>
    <t>Access to running water (%)</t>
  </si>
  <si>
    <t>Literate (%)</t>
  </si>
  <si>
    <t>Car (%)</t>
  </si>
  <si>
    <t>Married or civil union (%)</t>
  </si>
  <si>
    <t>Catholic religion (%)</t>
  </si>
  <si>
    <t>Mobile (%)</t>
  </si>
  <si>
    <t>Access to a sewage (%)</t>
  </si>
  <si>
    <t>Computer (%)</t>
  </si>
  <si>
    <t>Age</t>
  </si>
  <si>
    <t>Fridge (%)</t>
  </si>
  <si>
    <t>Male (%)</t>
  </si>
  <si>
    <t>Washing machine (%)</t>
  </si>
  <si>
    <t>Economically active (%)</t>
  </si>
  <si>
    <t>Homeowner (%)</t>
  </si>
  <si>
    <t>Secondary education or more (%)</t>
  </si>
  <si>
    <t>Category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</si>
  <si>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</si>
  <si>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</si>
  <si>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</si>
  <si>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</si>
  <si>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</si>
  <si>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</si>
  <si>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</si>
  <si>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</si>
  <si>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</si>
  <si>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</si>
  <si>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</si>
  <si>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</si>
  <si>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</si>
  <si>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</si>
  <si>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</si>
  <si>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</si>
  <si>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</si>
  <si>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</si>
  <si>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</si>
  <si>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</si>
  <si>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</si>
  <si>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</si>
  <si>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</si>
  <si>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</si>
  <si>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</si>
  <si>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</si>
  <si>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</si>
  <si>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</si>
  <si>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</si>
  <si>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</si>
  <si>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</si>
  <si>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</si>
  <si>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</si>
  <si>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</si>
  <si>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</si>
  <si>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</si>
  <si>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</si>
  <si>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</si>
  <si>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</si>
  <si>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</si>
  <si>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</si>
  <si>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</si>
  <si>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</si>
  <si>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Total</t>
  </si>
  <si>
    <t xml:space="preserve">Mean </t>
  </si>
  <si>
    <t>Standard Deviation</t>
  </si>
  <si>
    <t>Observations</t>
  </si>
  <si>
    <t>Landline (%)</t>
  </si>
  <si>
    <t>Unemployed (% Labor Force)</t>
  </si>
  <si>
    <t>Parents with secondary education (%)</t>
  </si>
  <si>
    <t>Standard Dev.</t>
  </si>
  <si>
    <t>Gini coefficient</t>
  </si>
  <si>
    <t>Mean log deviation, GE(0)</t>
  </si>
  <si>
    <t>Theil index, GE(1)</t>
  </si>
  <si>
    <t>Generalized entropy, GE(2)</t>
  </si>
  <si>
    <t>Atkinson, A(0.5)</t>
  </si>
  <si>
    <t>Atkinson, A(1)</t>
  </si>
  <si>
    <t>Dominican Republic</t>
  </si>
  <si>
    <t>Correlation with…</t>
  </si>
  <si>
    <t>(1)</t>
  </si>
  <si>
    <t>(2)</t>
  </si>
  <si>
    <t>(3)</t>
  </si>
  <si>
    <t>Weighted average</t>
  </si>
  <si>
    <t>N/A</t>
  </si>
  <si>
    <t>Share of the voting age population represented by Latinobarómetro's survey every year</t>
  </si>
  <si>
    <t>Year without household data</t>
  </si>
  <si>
    <t>Years interpolated</t>
  </si>
  <si>
    <t>1997, 2001, 2002, and 2007</t>
  </si>
  <si>
    <t>1997, 2002, 2009, 2010, and 2013</t>
  </si>
  <si>
    <t>1997, 2001</t>
  </si>
  <si>
    <t>1997, 2001, 2002, 2007, and 2009</t>
  </si>
  <si>
    <t>1997, 2001, and 2002</t>
  </si>
  <si>
    <t>Inequality was calculated with a linear interpolation</t>
  </si>
  <si>
    <t>Inequality was calculated with a linear interpolation (Table B3)</t>
  </si>
  <si>
    <t>Both perceptions and inequality data available</t>
  </si>
  <si>
    <t>1997, 2001, 2002</t>
  </si>
  <si>
    <t>2002, 2010, 2011, and 2013</t>
  </si>
  <si>
    <t>Inequality was calculated with a close survey (Table B2)</t>
  </si>
  <si>
    <t>Share</t>
  </si>
  <si>
    <t>Data points</t>
  </si>
  <si>
    <t>Latinobarómetro did not conduct survey in this year</t>
  </si>
  <si>
    <t>Inequality was calculated with a close survey</t>
  </si>
  <si>
    <t>Latinob.</t>
  </si>
  <si>
    <t>Unemployed (%)</t>
  </si>
  <si>
    <t>Kolm, K(1)</t>
  </si>
  <si>
    <t>(0.11)</t>
  </si>
  <si>
    <t>(0.08)</t>
  </si>
  <si>
    <t>(0.09)</t>
  </si>
  <si>
    <t>V.U.</t>
  </si>
  <si>
    <t>U. or V.U.</t>
  </si>
  <si>
    <t>U.</t>
  </si>
  <si>
    <t>Pooling all the data</t>
  </si>
  <si>
    <t>Averaging indicators</t>
  </si>
  <si>
    <t>Averaging correlations</t>
  </si>
  <si>
    <t>(4)</t>
  </si>
  <si>
    <t>(5)</t>
  </si>
  <si>
    <t>(6)</t>
  </si>
  <si>
    <t>(7)</t>
  </si>
  <si>
    <t>(8)</t>
  </si>
  <si>
    <t>(9)</t>
  </si>
  <si>
    <t>(0.07)</t>
  </si>
  <si>
    <t>(0.16)</t>
  </si>
  <si>
    <t>(0.35)</t>
  </si>
  <si>
    <t>(0.34)</t>
  </si>
  <si>
    <t>(0.13)</t>
  </si>
  <si>
    <t>(0.36)</t>
  </si>
  <si>
    <t>(0.17)</t>
  </si>
  <si>
    <t>(0.05)</t>
  </si>
  <si>
    <t>(0.12)</t>
  </si>
  <si>
    <t>(0.18)</t>
  </si>
  <si>
    <t>(0.33)</t>
  </si>
  <si>
    <t>(0.43)</t>
  </si>
  <si>
    <t>(0.23)</t>
  </si>
  <si>
    <t>(0.26)</t>
  </si>
  <si>
    <t>(0.32)</t>
  </si>
  <si>
    <t>(0.37)</t>
  </si>
  <si>
    <t>(0.10)</t>
  </si>
  <si>
    <t>(0.39)</t>
  </si>
  <si>
    <t>(0.14)</t>
  </si>
  <si>
    <t>(0.31)</t>
  </si>
  <si>
    <t>Data point used instead</t>
  </si>
  <si>
    <t>\hspace{-1em} Panel A. Sociodemographic</t>
  </si>
  <si>
    <t>\hspace{-1em} Panel B. Education and Labor market</t>
  </si>
  <si>
    <t>\hspace{-1em} Panel C. Access to services</t>
  </si>
  <si>
    <t>\hspace{-1em} Panel D. Asset ownership</t>
  </si>
  <si>
    <t>\hspace{-1em} Panel C. Assets and Services</t>
  </si>
  <si>
    <t>\hspace{-1em} Panel A. Gender</t>
  </si>
  <si>
    <t>\hspace{-1em} Panel B. Age group</t>
  </si>
  <si>
    <t>\hspace{-1em} Panel C. Civil status</t>
  </si>
  <si>
    <t>\hspace{-1em} Panel D. Religion</t>
  </si>
  <si>
    <t>\hspace{-1em} Panel E. Education level</t>
  </si>
  <si>
    <t>\hspace{-1em} Panel F. Type of employment</t>
  </si>
  <si>
    <t>% of individuals who believe income distribution is:</t>
  </si>
  <si>
    <t>\hspace{-1em} Panel E. Country</t>
  </si>
  <si>
    <t>Brasil</t>
  </si>
  <si>
    <t>Rep. Dominicana</t>
  </si>
  <si>
    <t>México</t>
  </si>
  <si>
    <t>Panamá</t>
  </si>
  <si>
    <t>Perú</t>
  </si>
  <si>
    <t>idenpa</t>
  </si>
  <si>
    <t>Difference</t>
  </si>
  <si>
    <t>Raw data</t>
  </si>
  <si>
    <t>year</t>
  </si>
  <si>
    <t>category</t>
  </si>
  <si>
    <t>level</t>
  </si>
  <si>
    <t>class</t>
  </si>
  <si>
    <t>percent</t>
  </si>
  <si>
    <t>(All)</t>
  </si>
  <si>
    <t>Average of Percent</t>
  </si>
  <si>
    <t>Assets index</t>
  </si>
  <si>
    <t>Ideology (10 = right-wing)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</si>
</sst>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_(* #,##0_);_(* \(#,##0\);_(* &quot;-&quot;??_);_(@_)"/>
    <numFmt numFmtId="167" formatCode="0.0%"/>
  </numFmts>
  <fonts count="22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</font>
    <font>
      <sz val="11"/>
      <name val="Bell MT"/>
      <family val="1"/>
    </font>
    <font>
      <i/>
      <sz val="12"/>
      <name val="Bell MT"/>
      <family val="1"/>
    </font>
    <font>
      <sz val="12"/>
      <name val="Bell MT"/>
      <family val="1"/>
    </font>
    <font>
      <sz val="12"/>
      <color theme="1"/>
      <name val="Bell MT"/>
      <family val="1"/>
    </font>
    <font>
      <i/>
      <sz val="12"/>
      <color theme="1"/>
      <name val="Bell MT"/>
      <family val="1"/>
    </font>
    <font>
      <sz val="10"/>
      <name val="Arial"/>
      <family val="2"/>
    </font>
    <font>
      <sz val="11"/>
      <color theme="1"/>
      <name val="Bell MT"/>
      <family val="1"/>
    </font>
    <font>
      <i/>
      <sz val="11"/>
      <color theme="1"/>
      <name val="Bell MT"/>
      <family val="1"/>
    </font>
    <font>
      <sz val="12"/>
      <color theme="9"/>
      <name val="Bell MT"/>
      <family val="1"/>
    </font>
    <font>
      <sz val="12"/>
      <color theme="4"/>
      <name val="Bell MT"/>
      <family val="1"/>
    </font>
    <font>
      <sz val="12"/>
      <color theme="0" tint="-0.249977111117893"/>
      <name val="Bell MT"/>
      <family val="1"/>
    </font>
    <font>
      <sz val="12"/>
      <color theme="6"/>
      <name val="Bell MT"/>
      <family val="1"/>
    </font>
    <font>
      <b/>
      <sz val="12"/>
      <name val="Bell MT"/>
      <family val="1"/>
    </font>
    <font>
      <sz val="11"/>
      <name val="Bell MT"/>
    </font>
    <font>
      <sz val="12"/>
      <name val="Bell MT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3">
    <xf numFmtId="0" fontId="0" fillId="0" borderId="0"/>
    <xf numFmtId="43" fontId="5" fillId="0" borderId="0" applyFont="0" applyFill="0" applyBorder="0" applyAlignment="0" applyProtection="0"/>
    <xf numFmtId="0" fontId="4" fillId="0" borderId="0"/>
    <xf numFmtId="0" fontId="3" fillId="0" borderId="0"/>
    <xf numFmtId="0" fontId="12" fillId="0" borderId="0"/>
    <xf numFmtId="9" fontId="1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5" fillId="0" borderId="0"/>
    <xf numFmtId="43" fontId="5" fillId="0" borderId="0" applyFont="0" applyFill="0" applyBorder="0" applyAlignment="0" applyProtection="0"/>
  </cellStyleXfs>
  <cellXfs count="156">
    <xf numFmtId="0" fontId="0" fillId="0" borderId="0" xfId="0"/>
    <xf numFmtId="43" fontId="0" fillId="0" borderId="0" xfId="1" applyFont="1"/>
    <xf numFmtId="0" fontId="6" fillId="0" borderId="0" xfId="0" applyFont="1"/>
    <xf numFmtId="0" fontId="7" fillId="0" borderId="0" xfId="0" applyFont="1"/>
    <xf numFmtId="2" fontId="7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9" fillId="0" borderId="0" xfId="0" applyFont="1" applyFill="1" applyBorder="1"/>
    <xf numFmtId="164" fontId="10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indent="1"/>
    </xf>
    <xf numFmtId="0" fontId="10" fillId="0" borderId="4" xfId="0" applyFont="1" applyFill="1" applyBorder="1" applyAlignment="1">
      <alignment horizontal="left" indent="1"/>
    </xf>
    <xf numFmtId="0" fontId="9" fillId="0" borderId="0" xfId="0" applyFont="1"/>
    <xf numFmtId="2" fontId="10" fillId="0" borderId="0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indent="1"/>
    </xf>
    <xf numFmtId="0" fontId="9" fillId="0" borderId="0" xfId="0" applyFont="1" applyAlignment="1">
      <alignment horizontal="center" vertical="center"/>
    </xf>
    <xf numFmtId="166" fontId="9" fillId="0" borderId="0" xfId="1" applyNumberFormat="1" applyFont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166" fontId="0" fillId="0" borderId="0" xfId="1" applyNumberFormat="1" applyFont="1"/>
    <xf numFmtId="43" fontId="0" fillId="0" borderId="0" xfId="1" applyNumberFormat="1" applyFont="1"/>
    <xf numFmtId="0" fontId="9" fillId="0" borderId="4" xfId="0" applyFont="1" applyBorder="1" applyAlignment="1">
      <alignment horizontal="left" indent="1"/>
    </xf>
    <xf numFmtId="2" fontId="9" fillId="0" borderId="4" xfId="0" applyNumberFormat="1" applyFont="1" applyBorder="1" applyAlignment="1">
      <alignment horizontal="center" vertical="center"/>
    </xf>
    <xf numFmtId="166" fontId="9" fillId="0" borderId="4" xfId="0" applyNumberFormat="1" applyFont="1" applyBorder="1" applyAlignment="1">
      <alignment horizontal="center" vertical="center"/>
    </xf>
    <xf numFmtId="2" fontId="0" fillId="0" borderId="0" xfId="0" applyNumberFormat="1"/>
    <xf numFmtId="0" fontId="12" fillId="0" borderId="0" xfId="4"/>
    <xf numFmtId="0" fontId="0" fillId="0" borderId="0" xfId="0" applyAlignment="1">
      <alignment horizontal="center"/>
    </xf>
    <xf numFmtId="0" fontId="9" fillId="0" borderId="0" xfId="0" applyFont="1" applyBorder="1"/>
    <xf numFmtId="0" fontId="9" fillId="0" borderId="4" xfId="0" applyFont="1" applyBorder="1"/>
    <xf numFmtId="43" fontId="12" fillId="0" borderId="0" xfId="1" applyFont="1"/>
    <xf numFmtId="0" fontId="13" fillId="0" borderId="0" xfId="7" applyFont="1"/>
    <xf numFmtId="0" fontId="13" fillId="0" borderId="0" xfId="7" applyFont="1" applyAlignment="1">
      <alignment horizontal="left"/>
    </xf>
    <xf numFmtId="9" fontId="7" fillId="0" borderId="0" xfId="9" applyNumberFormat="1" applyFont="1"/>
    <xf numFmtId="0" fontId="13" fillId="0" borderId="4" xfId="7" applyFont="1" applyBorder="1" applyAlignment="1">
      <alignment horizontal="left"/>
    </xf>
    <xf numFmtId="0" fontId="14" fillId="0" borderId="0" xfId="7" applyFont="1"/>
    <xf numFmtId="0" fontId="7" fillId="0" borderId="0" xfId="9" applyNumberFormat="1" applyFont="1" applyBorder="1"/>
    <xf numFmtId="0" fontId="14" fillId="0" borderId="0" xfId="7" applyNumberFormat="1" applyFont="1" applyBorder="1"/>
    <xf numFmtId="0" fontId="13" fillId="0" borderId="0" xfId="7" applyNumberFormat="1" applyFont="1" applyBorder="1"/>
    <xf numFmtId="0" fontId="7" fillId="0" borderId="0" xfId="9" applyNumberFormat="1" applyFont="1" applyBorder="1" applyAlignment="1">
      <alignment horizontal="center" vertical="center"/>
    </xf>
    <xf numFmtId="0" fontId="13" fillId="0" borderId="0" xfId="7" applyNumberFormat="1" applyFont="1" applyBorder="1" applyAlignment="1">
      <alignment horizontal="center" vertical="center"/>
    </xf>
    <xf numFmtId="166" fontId="7" fillId="0" borderId="0" xfId="1" applyNumberFormat="1" applyFont="1"/>
    <xf numFmtId="166" fontId="7" fillId="0" borderId="0" xfId="1" applyNumberFormat="1" applyFont="1" applyAlignment="1">
      <alignment horizontal="center"/>
    </xf>
    <xf numFmtId="166" fontId="7" fillId="0" borderId="4" xfId="1" applyNumberFormat="1" applyFont="1" applyBorder="1"/>
    <xf numFmtId="0" fontId="7" fillId="0" borderId="0" xfId="9" applyNumberFormat="1" applyFont="1" applyBorder="1" applyAlignment="1">
      <alignment horizontal="left" vertical="center"/>
    </xf>
    <xf numFmtId="0" fontId="9" fillId="0" borderId="4" xfId="0" applyFont="1" applyBorder="1" applyAlignment="1">
      <alignment horizontal="left"/>
    </xf>
    <xf numFmtId="3" fontId="9" fillId="0" borderId="0" xfId="0" applyNumberFormat="1" applyFont="1"/>
    <xf numFmtId="3" fontId="9" fillId="2" borderId="1" xfId="0" applyNumberFormat="1" applyFont="1" applyFill="1" applyBorder="1"/>
    <xf numFmtId="0" fontId="9" fillId="3" borderId="1" xfId="0" applyFont="1" applyFill="1" applyBorder="1"/>
    <xf numFmtId="0" fontId="9" fillId="5" borderId="1" xfId="0" applyFont="1" applyFill="1" applyBorder="1"/>
    <xf numFmtId="0" fontId="9" fillId="0" borderId="0" xfId="0" applyFont="1" applyBorder="1" applyAlignment="1">
      <alignment horizontal="left"/>
    </xf>
    <xf numFmtId="0" fontId="15" fillId="5" borderId="1" xfId="0" applyFont="1" applyFill="1" applyBorder="1"/>
    <xf numFmtId="3" fontId="16" fillId="2" borderId="1" xfId="0" applyNumberFormat="1" applyFont="1" applyFill="1" applyBorder="1"/>
    <xf numFmtId="0" fontId="17" fillId="3" borderId="1" xfId="0" applyFont="1" applyFill="1" applyBorder="1"/>
    <xf numFmtId="167" fontId="9" fillId="2" borderId="1" xfId="6" applyNumberFormat="1" applyFont="1" applyFill="1" applyBorder="1"/>
    <xf numFmtId="167" fontId="9" fillId="5" borderId="1" xfId="6" applyNumberFormat="1" applyFont="1" applyFill="1" applyBorder="1"/>
    <xf numFmtId="2" fontId="10" fillId="0" borderId="4" xfId="0" applyNumberFormat="1" applyFont="1" applyFill="1" applyBorder="1" applyAlignment="1">
      <alignment horizontal="center" vertical="center"/>
    </xf>
    <xf numFmtId="0" fontId="5" fillId="0" borderId="0" xfId="0" applyFont="1"/>
    <xf numFmtId="0" fontId="9" fillId="0" borderId="3" xfId="0" applyFont="1" applyBorder="1" applyAlignment="1"/>
    <xf numFmtId="166" fontId="9" fillId="0" borderId="4" xfId="1" applyNumberFormat="1" applyFont="1" applyBorder="1" applyAlignment="1">
      <alignment horizontal="center" vertical="center"/>
    </xf>
    <xf numFmtId="0" fontId="9" fillId="0" borderId="0" xfId="11" applyFont="1" applyAlignment="1">
      <alignment horizontal="center"/>
    </xf>
    <xf numFmtId="43" fontId="9" fillId="0" borderId="0" xfId="12" applyFont="1" applyAlignment="1">
      <alignment horizontal="center"/>
    </xf>
    <xf numFmtId="0" fontId="9" fillId="0" borderId="0" xfId="11" applyFont="1"/>
    <xf numFmtId="0" fontId="9" fillId="0" borderId="0" xfId="11" applyFont="1" applyBorder="1" applyAlignment="1">
      <alignment horizontal="center" vertical="center"/>
    </xf>
    <xf numFmtId="43" fontId="9" fillId="0" borderId="0" xfId="12" applyFont="1" applyBorder="1" applyAlignment="1">
      <alignment horizontal="center" vertical="center"/>
    </xf>
    <xf numFmtId="2" fontId="10" fillId="0" borderId="0" xfId="1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6" fillId="0" borderId="3" xfId="11" applyFont="1" applyBorder="1"/>
    <xf numFmtId="0" fontId="6" fillId="0" borderId="0" xfId="11" applyFont="1"/>
    <xf numFmtId="0" fontId="6" fillId="0" borderId="0" xfId="11" applyFont="1" applyBorder="1" applyAlignment="1">
      <alignment horizontal="center" vertical="center"/>
    </xf>
    <xf numFmtId="0" fontId="6" fillId="0" borderId="0" xfId="11" applyFont="1" applyAlignment="1">
      <alignment horizontal="center"/>
    </xf>
    <xf numFmtId="43" fontId="6" fillId="0" borderId="0" xfId="12" applyFont="1" applyAlignment="1">
      <alignment horizontal="center"/>
    </xf>
    <xf numFmtId="2" fontId="10" fillId="0" borderId="0" xfId="1" applyNumberFormat="1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0" xfId="0" quotePrefix="1" applyFont="1" applyBorder="1" applyAlignment="1">
      <alignment horizontal="center"/>
    </xf>
    <xf numFmtId="0" fontId="10" fillId="0" borderId="0" xfId="7" applyFont="1" applyAlignment="1">
      <alignment horizontal="left"/>
    </xf>
    <xf numFmtId="0" fontId="18" fillId="4" borderId="1" xfId="0" applyFont="1" applyFill="1" applyBorder="1"/>
    <xf numFmtId="0" fontId="9" fillId="4" borderId="1" xfId="0" applyFont="1" applyFill="1" applyBorder="1"/>
    <xf numFmtId="167" fontId="9" fillId="4" borderId="1" xfId="6" applyNumberFormat="1" applyFont="1" applyFill="1" applyBorder="1"/>
    <xf numFmtId="0" fontId="9" fillId="0" borderId="0" xfId="9" applyNumberFormat="1" applyFont="1" applyBorder="1"/>
    <xf numFmtId="0" fontId="9" fillId="0" borderId="0" xfId="9" applyNumberFormat="1" applyFont="1" applyBorder="1" applyAlignment="1">
      <alignment horizontal="center" vertical="center"/>
    </xf>
    <xf numFmtId="0" fontId="10" fillId="0" borderId="0" xfId="7" applyNumberFormat="1" applyFont="1" applyBorder="1" applyAlignment="1">
      <alignment horizontal="center" vertical="center"/>
    </xf>
    <xf numFmtId="0" fontId="9" fillId="0" borderId="0" xfId="1" applyNumberFormat="1" applyFont="1" applyBorder="1" applyAlignment="1">
      <alignment horizontal="center" vertical="center"/>
    </xf>
    <xf numFmtId="0" fontId="9" fillId="0" borderId="0" xfId="1" applyNumberFormat="1" applyFont="1" applyBorder="1"/>
    <xf numFmtId="0" fontId="9" fillId="0" borderId="4" xfId="9" applyNumberFormat="1" applyFont="1" applyBorder="1"/>
    <xf numFmtId="0" fontId="9" fillId="0" borderId="4" xfId="9" applyNumberFormat="1" applyFont="1" applyBorder="1" applyAlignment="1">
      <alignment horizontal="center" vertical="center"/>
    </xf>
    <xf numFmtId="0" fontId="10" fillId="0" borderId="4" xfId="7" applyNumberFormat="1" applyFont="1" applyBorder="1" applyAlignment="1">
      <alignment horizontal="center" vertical="center"/>
    </xf>
    <xf numFmtId="0" fontId="11" fillId="0" borderId="0" xfId="7" applyNumberFormat="1" applyFont="1" applyBorder="1"/>
    <xf numFmtId="0" fontId="10" fillId="0" borderId="0" xfId="7" applyNumberFormat="1" applyFont="1" applyBorder="1"/>
    <xf numFmtId="166" fontId="12" fillId="0" borderId="0" xfId="1" applyNumberFormat="1" applyFont="1"/>
    <xf numFmtId="0" fontId="19" fillId="0" borderId="0" xfId="0" applyFont="1" applyAlignment="1">
      <alignment horizontal="left"/>
    </xf>
    <xf numFmtId="0" fontId="9" fillId="0" borderId="0" xfId="0" applyFont="1" applyBorder="1" applyAlignment="1"/>
    <xf numFmtId="165" fontId="9" fillId="0" borderId="0" xfId="1" applyNumberFormat="1" applyFont="1" applyBorder="1" applyAlignment="1">
      <alignment horizontal="center"/>
    </xf>
    <xf numFmtId="0" fontId="5" fillId="0" borderId="4" xfId="0" quotePrefix="1" applyFont="1" applyBorder="1" applyAlignment="1">
      <alignment horizontal="center"/>
    </xf>
    <xf numFmtId="165" fontId="9" fillId="0" borderId="3" xfId="1" applyNumberFormat="1" applyFont="1" applyBorder="1" applyAlignment="1">
      <alignment horizontal="center" vertical="center"/>
    </xf>
    <xf numFmtId="43" fontId="9" fillId="0" borderId="3" xfId="1" applyFont="1" applyBorder="1" applyAlignment="1">
      <alignment horizontal="center" vertical="center"/>
    </xf>
    <xf numFmtId="3" fontId="9" fillId="0" borderId="3" xfId="1" applyNumberFormat="1" applyFont="1" applyBorder="1" applyAlignment="1">
      <alignment horizontal="center" vertical="center"/>
    </xf>
    <xf numFmtId="0" fontId="5" fillId="0" borderId="4" xfId="0" quotePrefix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19" fillId="0" borderId="0" xfId="0" applyFont="1" applyAlignment="1"/>
    <xf numFmtId="0" fontId="9" fillId="0" borderId="0" xfId="0" applyFont="1" applyAlignment="1">
      <alignment vertical="center"/>
    </xf>
    <xf numFmtId="2" fontId="9" fillId="0" borderId="0" xfId="0" applyNumberFormat="1" applyFont="1" applyAlignment="1">
      <alignment vertical="center"/>
    </xf>
    <xf numFmtId="0" fontId="10" fillId="0" borderId="0" xfId="0" applyFont="1" applyFill="1" applyBorder="1" applyAlignment="1">
      <alignment horizontal="left"/>
    </xf>
    <xf numFmtId="0" fontId="9" fillId="0" borderId="4" xfId="0" quotePrefix="1" applyFont="1" applyFill="1" applyBorder="1" applyAlignment="1">
      <alignment horizontal="center"/>
    </xf>
    <xf numFmtId="0" fontId="9" fillId="0" borderId="4" xfId="0" applyFont="1" applyFill="1" applyBorder="1" applyAlignment="1">
      <alignment horizontal="left"/>
    </xf>
    <xf numFmtId="0" fontId="19" fillId="0" borderId="0" xfId="0" applyFont="1" applyBorder="1" applyAlignment="1">
      <alignment horizontal="left"/>
    </xf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6" borderId="5" xfId="0" applyFill="1" applyBorder="1"/>
    <xf numFmtId="43" fontId="9" fillId="0" borderId="2" xfId="12" applyFont="1" applyBorder="1" applyAlignment="1">
      <alignment horizontal="center"/>
    </xf>
    <xf numFmtId="0" fontId="9" fillId="0" borderId="2" xfId="11" applyFont="1" applyBorder="1" applyAlignment="1">
      <alignment horizontal="center"/>
    </xf>
    <xf numFmtId="0" fontId="8" fillId="0" borderId="3" xfId="11" applyFont="1" applyBorder="1" applyAlignment="1">
      <alignment horizontal="center" vertical="center"/>
    </xf>
    <xf numFmtId="0" fontId="8" fillId="0" borderId="0" xfId="11" applyFont="1" applyBorder="1" applyAlignment="1">
      <alignment horizontal="center" vertical="center"/>
    </xf>
    <xf numFmtId="2" fontId="9" fillId="0" borderId="2" xfId="0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43" fontId="9" fillId="0" borderId="2" xfId="1" applyFont="1" applyBorder="1" applyAlignment="1">
      <alignment horizontal="center"/>
    </xf>
    <xf numFmtId="165" fontId="9" fillId="0" borderId="2" xfId="1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13" fillId="0" borderId="2" xfId="7" applyFont="1" applyBorder="1"/>
    <xf numFmtId="0" fontId="13" fillId="0" borderId="2" xfId="7" applyNumberFormat="1" applyFont="1" applyBorder="1" applyAlignment="1"/>
    <xf numFmtId="0" fontId="9" fillId="0" borderId="2" xfId="9" applyNumberFormat="1" applyFont="1" applyBorder="1"/>
    <xf numFmtId="0" fontId="9" fillId="0" borderId="2" xfId="9" applyNumberFormat="1" applyFont="1" applyBorder="1" applyAlignment="1">
      <alignment horizontal="left" vertical="center"/>
    </xf>
    <xf numFmtId="0" fontId="9" fillId="0" borderId="2" xfId="9" applyNumberFormat="1" applyFont="1" applyBorder="1" applyAlignment="1">
      <alignment horizontal="center" vertical="center"/>
    </xf>
    <xf numFmtId="3" fontId="9" fillId="0" borderId="6" xfId="0" applyNumberFormat="1" applyFont="1" applyBorder="1" applyAlignment="1">
      <alignment horizontal="left"/>
    </xf>
    <xf numFmtId="3" fontId="9" fillId="0" borderId="0" xfId="0" applyNumberFormat="1" applyFont="1" applyAlignment="1">
      <alignment horizontal="left"/>
    </xf>
    <xf numFmtId="0" fontId="20" fillId="0" borderId="0" xfId="0" pivotButton="1" applyFont="1"/>
    <xf numFmtId="0" fontId="20" fillId="0" borderId="0" xfId="0" applyFont="1"/>
    <xf numFmtId="0" fontId="20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2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NumberFormat="1" applyFont="1" applyAlignment="1">
      <alignment horizontal="center" vertical="center"/>
    </xf>
    <xf numFmtId="164" fontId="9" fillId="0" borderId="0" xfId="0" applyNumberFormat="1" applyFont="1" applyFill="1" applyBorder="1"/>
    <xf numFmtId="164" fontId="8" fillId="0" borderId="3" xfId="0" applyNumberFormat="1" applyFont="1" applyFill="1" applyBorder="1" applyAlignment="1">
      <alignment horizontal="center" vertical="center"/>
    </xf>
    <xf numFmtId="164" fontId="9" fillId="0" borderId="4" xfId="0" quotePrefix="1" applyNumberFormat="1" applyFont="1" applyFill="1" applyBorder="1" applyAlignment="1">
      <alignment horizontal="center"/>
    </xf>
    <xf numFmtId="164" fontId="10" fillId="0" borderId="4" xfId="0" applyNumberFormat="1" applyFont="1" applyFill="1" applyBorder="1" applyAlignment="1">
      <alignment horizontal="center" vertical="center"/>
    </xf>
    <xf numFmtId="164" fontId="9" fillId="0" borderId="0" xfId="0" applyNumberFormat="1" applyFont="1"/>
    <xf numFmtId="0" fontId="8" fillId="0" borderId="4" xfId="11" applyFont="1" applyBorder="1" applyAlignment="1">
      <alignment horizontal="center" vertical="center"/>
    </xf>
    <xf numFmtId="43" fontId="9" fillId="0" borderId="4" xfId="12" quotePrefix="1" applyFont="1" applyBorder="1" applyAlignment="1">
      <alignment horizontal="center" vertical="center"/>
    </xf>
    <xf numFmtId="0" fontId="9" fillId="0" borderId="4" xfId="11" quotePrefix="1" applyFont="1" applyBorder="1" applyAlignment="1">
      <alignment horizontal="center" vertical="center"/>
    </xf>
    <xf numFmtId="0" fontId="6" fillId="0" borderId="4" xfId="11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center"/>
    </xf>
    <xf numFmtId="0" fontId="10" fillId="0" borderId="4" xfId="0" quotePrefix="1" applyFont="1" applyBorder="1" applyAlignment="1">
      <alignment horizontal="center"/>
    </xf>
    <xf numFmtId="0" fontId="21" fillId="0" borderId="0" xfId="0" pivotButton="1" applyFont="1"/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 indent="1"/>
    </xf>
    <xf numFmtId="0" fontId="21" fillId="0" borderId="0" xfId="0" applyNumberFormat="1" applyFont="1" applyAlignment="1">
      <alignment horizontal="center" vertical="center"/>
    </xf>
    <xf numFmtId="166" fontId="21" fillId="0" borderId="0" xfId="0" applyNumberFormat="1" applyFont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</cellXfs>
  <cellStyles count="13">
    <cellStyle name="Comma" xfId="1" builtinId="3"/>
    <cellStyle name="Comma 2" xfId="9" xr:uid="{00000000-0005-0000-0000-000001000000}"/>
    <cellStyle name="Comma 4" xfId="12" xr:uid="{00000000-0005-0000-0000-000002000000}"/>
    <cellStyle name="Normal" xfId="0" builtinId="0"/>
    <cellStyle name="Normal 2" xfId="2" xr:uid="{00000000-0005-0000-0000-000004000000}"/>
    <cellStyle name="Normal 3" xfId="4" xr:uid="{00000000-0005-0000-0000-000005000000}"/>
    <cellStyle name="Normal 4" xfId="7" xr:uid="{00000000-0005-0000-0000-000006000000}"/>
    <cellStyle name="Normal 5" xfId="10" xr:uid="{00000000-0005-0000-0000-000007000000}"/>
    <cellStyle name="Normal 5 2" xfId="3" xr:uid="{00000000-0005-0000-0000-000008000000}"/>
    <cellStyle name="Normal 6" xfId="11" xr:uid="{00000000-0005-0000-0000-000009000000}"/>
    <cellStyle name="Percent" xfId="6" builtinId="5"/>
    <cellStyle name="Percent 2" xfId="5" xr:uid="{00000000-0005-0000-0000-00000B000000}"/>
    <cellStyle name="Percent 3" xfId="8" xr:uid="{00000000-0005-0000-0000-00000C000000}"/>
  </cellStyles>
  <dxfs count="227"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2" formatCode="0.00"/>
    </dxf>
    <dxf>
      <numFmt numFmtId="2" formatCode="0.00"/>
    </dxf>
    <dxf>
      <numFmt numFmtId="166" formatCode="_(* #,##0_);_(* \(#,##0\);_(* &quot;-&quot;??_);_(@_)"/>
    </dxf>
    <dxf>
      <numFmt numFmtId="166" formatCode="_(* #,##0_);_(* \(#,##0\);_(* &quot;-&quot;??_);_(@_)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numFmt numFmtId="35" formatCode="_(* #,##0.00_);_(* \(#,##0.00\);_(* &quot;-&quot;??_);_(@_)"/>
    </dxf>
    <dxf>
      <alignment horizontal="general"/>
    </dxf>
    <dxf>
      <alignment horizontal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6" formatCode="_(* #,##0_);_(* \(#,##0\);_(* &quot;-&quot;??_);_(@_)"/>
    </dxf>
    <dxf>
      <numFmt numFmtId="166" formatCode="_(* #,##0_);_(* \(#,##0\);_(* &quot;-&quot;??_);_(@_)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horizontal="general"/>
    </dxf>
    <dxf>
      <alignment horizontal="general"/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6" formatCode="_(* #,##0_);_(* \(#,##0\);_(* &quot;-&quot;??_);_(@_)"/>
    </dxf>
    <dxf>
      <numFmt numFmtId="166" formatCode="_(* #,##0_);_(* \(#,##0\);_(* &quot;-&quot;??_);_(@_)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horizontal="general"/>
    </dxf>
    <dxf>
      <alignment horizontal="general"/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2" formatCode="0.00"/>
    </dxf>
    <dxf>
      <numFmt numFmtId="2" formatCode="0.00"/>
    </dxf>
    <dxf>
      <numFmt numFmtId="166" formatCode="_(* #,##0_);_(* \(#,##0\);_(* &quot;-&quot;??_);_(@_)"/>
    </dxf>
    <dxf>
      <numFmt numFmtId="166" formatCode="_(* #,##0_);_(* \(#,##0\);_(* &quot;-&quot;??_);_(@_)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numFmt numFmtId="35" formatCode="_(* #,##0.00_);_(* \(#,##0.00\);_(* &quot;-&quot;??_);_(@_)"/>
    </dxf>
    <dxf>
      <alignment horizontal="general"/>
    </dxf>
    <dxf>
      <alignment horizontal="general"/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6" formatCode="_(* #,##0_);_(* \(#,##0\);_(* &quot;-&quot;??_);_(@_)"/>
    </dxf>
    <dxf>
      <numFmt numFmtId="166" formatCode="_(* #,##0_);_(* \(#,##0\);_(* &quot;-&quot;??_);_(@_)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horizontal="general"/>
    </dxf>
    <dxf>
      <alignment horizontal="general"/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numFmt numFmtId="2" formatCode="0.00"/>
    </dxf>
    <dxf>
      <numFmt numFmtId="2" formatCode="0.0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0" formatCode="General"/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numFmt numFmtId="2" formatCode="0.00"/>
    </dxf>
    <dxf>
      <numFmt numFmtId="2" formatCode="0.0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0" formatCode="General"/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numFmt numFmtId="2" formatCode="0.00"/>
    </dxf>
    <dxf>
      <numFmt numFmtId="2" formatCode="0.00"/>
    </dxf>
    <dxf>
      <numFmt numFmtId="2" formatCode="0.0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0" formatCode="General"/>
    </dxf>
    <dxf>
      <numFmt numFmtId="0" formatCode="General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numFmt numFmtId="2" formatCode="0.00"/>
    </dxf>
    <dxf>
      <numFmt numFmtId="2" formatCode="0.00"/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mán Reyes" refreshedDate="44327.615391550928" createdVersion="5" refreshedVersion="7" minRefreshableVersion="3" recordCount="1600" xr:uid="{00000000-000A-0000-FFFF-FFFF02000000}">
  <cacheSource type="worksheet">
    <worksheetSource ref="A1:E1601" sheet="TableA2"/>
  </cacheSource>
  <cacheFields count="5">
    <cacheField name="year" numFmtId="0">
      <sharedItems containsString="0" containsBlank="1" containsNumber="1" containsInteger="1" minValue="1997" maxValue="2015" count="10">
        <n v="1997"/>
        <n v="2001"/>
        <n v="2002"/>
        <n v="2007"/>
        <n v="2009"/>
        <n v="2010"/>
        <n v="2011"/>
        <n v="2013"/>
        <n v="2015"/>
        <m/>
      </sharedItems>
    </cacheField>
    <cacheField name="category" numFmtId="0">
      <sharedItems containsBlank="1" count="10">
        <s v="All"/>
        <s v="Education level"/>
        <s v="Age group"/>
        <s v="Gender"/>
        <s v="Civil Status"/>
        <s v="Religion"/>
        <s v="Type of employment"/>
        <s v="Country"/>
        <m/>
        <s v="City size" u="1"/>
      </sharedItems>
    </cacheField>
    <cacheField name="level" numFmtId="0">
      <sharedItems containsBlank="1" count="41">
        <s v="All"/>
        <s v="Less than Primary"/>
        <s v="Complete Primary"/>
        <s v="Complete Secondary"/>
        <s v="Complete Tertiary"/>
        <s v="15-24"/>
        <s v="25-40"/>
        <s v="41-64"/>
        <s v="65+"/>
        <s v="Female"/>
        <s v="Male"/>
        <s v="Not married"/>
        <s v="Married"/>
        <s v="Not catholic"/>
        <s v="Catholic"/>
        <s v="Employer"/>
        <s v="Employee"/>
        <s v="Self-employed"/>
        <s v="Unemployed"/>
        <s v="Argentina"/>
        <s v="Bolivia"/>
        <s v="Brazil"/>
        <s v="Chile"/>
        <s v="Colombia"/>
        <s v="Costa Rica"/>
        <s v="Dominican Rep."/>
        <s v="Ecuador"/>
        <s v="Guatemala"/>
        <s v="Honduras"/>
        <s v="Mexico"/>
        <s v="Nicaragua"/>
        <s v="Panama"/>
        <s v="Peru"/>
        <s v="Paraguay"/>
        <s v="El Salvador"/>
        <s v="Uruguay"/>
        <s v="Venezuela"/>
        <m/>
        <s v="Under 100,000" u="1"/>
        <s v="100,000 to 1,000,000" u="1"/>
        <s v="More than 1,000,000" u="1"/>
      </sharedItems>
    </cacheField>
    <cacheField name="class" numFmtId="0">
      <sharedItems containsBlank="1" count="5">
        <s v="Very unfair"/>
        <s v="Unfair"/>
        <s v="Fair"/>
        <s v="Very fair"/>
        <m/>
      </sharedItems>
    </cacheField>
    <cacheField name="percent" numFmtId="0">
      <sharedItems containsString="0" containsBlank="1" containsNumber="1" minValue="0.17079419000000001" maxValue="67.522124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mán Reyes" refreshedDate="44327.623751967592" createdVersion="7" refreshedVersion="7" minRefreshableVersion="3" recordCount="20" xr:uid="{383170D3-9C43-48CF-87F0-A47B8CF96120}">
  <cacheSource type="worksheet">
    <worksheetSource ref="A1:E21" sheet="TableA1"/>
  </cacheSource>
  <cacheFields count="5">
    <cacheField name="Category" numFmtId="0">
      <sharedItems count="4">
        <s v="Access to services"/>
        <s v="Asset ownership"/>
        <s v="Socio-demographic"/>
        <s v="Education and Labor market"/>
      </sharedItems>
    </cacheField>
    <cacheField name="Variable" numFmtId="0">
      <sharedItems count="20">
        <s v="Access to a sewage (%)"/>
        <s v="Access to running water (%)"/>
        <s v="Assets index"/>
        <s v="Car (%)"/>
        <s v="Computer (%)"/>
        <s v="Fridge (%)"/>
        <s v="Homeowner (%)"/>
        <s v="Ideology (10 = right-wing)"/>
        <s v="Landline (%)"/>
        <s v="Mobile (%)"/>
        <s v="Washing machine (%)"/>
        <s v="Economically active (%)"/>
        <s v="Literate (%)"/>
        <s v="Parents with secondary education (%)"/>
        <s v="Secondary education or more (%)"/>
        <s v="Unemployed (% Labor Force)"/>
        <s v="Age"/>
        <s v="Catholic religion (%)"/>
        <s v="Male (%)"/>
        <s v="Married or civil union (%)"/>
      </sharedItems>
    </cacheField>
    <cacheField name="Obs" numFmtId="0">
      <sharedItems containsSemiMixedTypes="0" containsString="0" containsNumber="1" containsInteger="1" minValue="114297" maxValue="167436"/>
    </cacheField>
    <cacheField name="Mean" numFmtId="0">
      <sharedItems containsSemiMixedTypes="0" containsString="0" containsNumber="1" minValue="5.4774284362792898" maxValue="89.953857421875"/>
    </cacheField>
    <cacheField name="Std_Dev" numFmtId="43">
      <sharedItems containsSemiMixedTypes="0" containsString="0" containsNumber="1" minValue="0.29931932687759299" maxValue="16.1750869750975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0">
  <r>
    <x v="0"/>
    <x v="0"/>
    <x v="0"/>
    <x v="0"/>
    <n v="29.142689000000001"/>
  </r>
  <r>
    <x v="0"/>
    <x v="1"/>
    <x v="1"/>
    <x v="0"/>
    <n v="29.884736"/>
  </r>
  <r>
    <x v="0"/>
    <x v="1"/>
    <x v="2"/>
    <x v="0"/>
    <n v="30.058012000000002"/>
  </r>
  <r>
    <x v="0"/>
    <x v="1"/>
    <x v="3"/>
    <x v="0"/>
    <n v="28.006653"/>
  </r>
  <r>
    <x v="0"/>
    <x v="1"/>
    <x v="4"/>
    <x v="0"/>
    <n v="27.876405999999999"/>
  </r>
  <r>
    <x v="0"/>
    <x v="2"/>
    <x v="5"/>
    <x v="0"/>
    <n v="27.7637"/>
  </r>
  <r>
    <x v="0"/>
    <x v="2"/>
    <x v="6"/>
    <x v="0"/>
    <n v="27.477146000000001"/>
  </r>
  <r>
    <x v="0"/>
    <x v="2"/>
    <x v="7"/>
    <x v="0"/>
    <n v="31.807994000000001"/>
  </r>
  <r>
    <x v="0"/>
    <x v="2"/>
    <x v="8"/>
    <x v="0"/>
    <n v="32.054369000000001"/>
  </r>
  <r>
    <x v="0"/>
    <x v="3"/>
    <x v="9"/>
    <x v="0"/>
    <n v="30.198122999999999"/>
  </r>
  <r>
    <x v="0"/>
    <x v="3"/>
    <x v="10"/>
    <x v="0"/>
    <n v="28.045608999999999"/>
  </r>
  <r>
    <x v="0"/>
    <x v="4"/>
    <x v="11"/>
    <x v="0"/>
    <n v="29.627672"/>
  </r>
  <r>
    <x v="0"/>
    <x v="4"/>
    <x v="12"/>
    <x v="0"/>
    <n v="28.639406000000001"/>
  </r>
  <r>
    <x v="0"/>
    <x v="5"/>
    <x v="13"/>
    <x v="0"/>
    <n v="29.726872"/>
  </r>
  <r>
    <x v="0"/>
    <x v="5"/>
    <x v="14"/>
    <x v="0"/>
    <n v="29.047378999999999"/>
  </r>
  <r>
    <x v="0"/>
    <x v="6"/>
    <x v="15"/>
    <x v="0"/>
    <n v="34.539000999999999"/>
  </r>
  <r>
    <x v="0"/>
    <x v="6"/>
    <x v="16"/>
    <x v="0"/>
    <n v="28.432231000000002"/>
  </r>
  <r>
    <x v="0"/>
    <x v="6"/>
    <x v="17"/>
    <x v="0"/>
    <n v="28.507718000000001"/>
  </r>
  <r>
    <x v="0"/>
    <x v="6"/>
    <x v="18"/>
    <x v="0"/>
    <n v="30.389675"/>
  </r>
  <r>
    <x v="0"/>
    <x v="7"/>
    <x v="19"/>
    <x v="0"/>
    <n v="54.739539000000001"/>
  </r>
  <r>
    <x v="0"/>
    <x v="7"/>
    <x v="20"/>
    <x v="0"/>
    <n v="23.840205999999998"/>
  </r>
  <r>
    <x v="0"/>
    <x v="7"/>
    <x v="21"/>
    <x v="0"/>
    <n v="38.524590000000003"/>
  </r>
  <r>
    <x v="0"/>
    <x v="7"/>
    <x v="22"/>
    <x v="0"/>
    <n v="34.456806999999998"/>
  </r>
  <r>
    <x v="0"/>
    <x v="7"/>
    <x v="23"/>
    <x v="0"/>
    <n v="32.517524000000002"/>
  </r>
  <r>
    <x v="0"/>
    <x v="7"/>
    <x v="24"/>
    <x v="0"/>
    <n v="15.314401999999999"/>
  </r>
  <r>
    <x v="0"/>
    <x v="7"/>
    <x v="25"/>
    <x v="0"/>
    <m/>
  </r>
  <r>
    <x v="0"/>
    <x v="7"/>
    <x v="26"/>
    <x v="0"/>
    <n v="32.508834"/>
  </r>
  <r>
    <x v="0"/>
    <x v="7"/>
    <x v="27"/>
    <x v="0"/>
    <n v="24.757804"/>
  </r>
  <r>
    <x v="0"/>
    <x v="7"/>
    <x v="28"/>
    <x v="0"/>
    <n v="15.686275"/>
  </r>
  <r>
    <x v="0"/>
    <x v="7"/>
    <x v="29"/>
    <x v="0"/>
    <n v="32.033425999999999"/>
  </r>
  <r>
    <x v="0"/>
    <x v="7"/>
    <x v="30"/>
    <x v="0"/>
    <n v="19.289339999999999"/>
  </r>
  <r>
    <x v="0"/>
    <x v="7"/>
    <x v="31"/>
    <x v="0"/>
    <n v="20.620621"/>
  </r>
  <r>
    <x v="0"/>
    <x v="7"/>
    <x v="32"/>
    <x v="0"/>
    <n v="28.795299"/>
  </r>
  <r>
    <x v="0"/>
    <x v="7"/>
    <x v="33"/>
    <x v="0"/>
    <n v="35.670608000000001"/>
  </r>
  <r>
    <x v="0"/>
    <x v="7"/>
    <x v="34"/>
    <x v="0"/>
    <n v="16.565657000000002"/>
  </r>
  <r>
    <x v="0"/>
    <x v="7"/>
    <x v="35"/>
    <x v="0"/>
    <n v="26.485530000000001"/>
  </r>
  <r>
    <x v="0"/>
    <x v="7"/>
    <x v="36"/>
    <x v="0"/>
    <n v="37.062936999999998"/>
  </r>
  <r>
    <x v="0"/>
    <x v="0"/>
    <x v="0"/>
    <x v="1"/>
    <n v="51.342466000000002"/>
  </r>
  <r>
    <x v="0"/>
    <x v="1"/>
    <x v="1"/>
    <x v="1"/>
    <n v="50.183791999999997"/>
  </r>
  <r>
    <x v="0"/>
    <x v="1"/>
    <x v="2"/>
    <x v="1"/>
    <n v="51.295845"/>
  </r>
  <r>
    <x v="0"/>
    <x v="1"/>
    <x v="3"/>
    <x v="1"/>
    <n v="52.794460999999998"/>
  </r>
  <r>
    <x v="0"/>
    <x v="1"/>
    <x v="4"/>
    <x v="1"/>
    <n v="51.554518999999999"/>
  </r>
  <r>
    <x v="0"/>
    <x v="2"/>
    <x v="5"/>
    <x v="1"/>
    <n v="53.240783999999998"/>
  </r>
  <r>
    <x v="0"/>
    <x v="2"/>
    <x v="6"/>
    <x v="1"/>
    <n v="51.377285000000001"/>
  </r>
  <r>
    <x v="0"/>
    <x v="2"/>
    <x v="7"/>
    <x v="1"/>
    <n v="49.752485999999998"/>
  </r>
  <r>
    <x v="0"/>
    <x v="2"/>
    <x v="8"/>
    <x v="1"/>
    <n v="52.232703000000001"/>
  </r>
  <r>
    <x v="0"/>
    <x v="3"/>
    <x v="9"/>
    <x v="1"/>
    <n v="51.246951000000003"/>
  </r>
  <r>
    <x v="0"/>
    <x v="3"/>
    <x v="10"/>
    <x v="1"/>
    <n v="51.441749000000002"/>
  </r>
  <r>
    <x v="0"/>
    <x v="4"/>
    <x v="11"/>
    <x v="1"/>
    <n v="50.878433000000001"/>
  </r>
  <r>
    <x v="0"/>
    <x v="4"/>
    <x v="12"/>
    <x v="1"/>
    <n v="52.012121999999998"/>
  </r>
  <r>
    <x v="0"/>
    <x v="5"/>
    <x v="13"/>
    <x v="1"/>
    <n v="46.803938000000002"/>
  </r>
  <r>
    <x v="0"/>
    <x v="5"/>
    <x v="14"/>
    <x v="1"/>
    <n v="52.731940999999999"/>
  </r>
  <r>
    <x v="0"/>
    <x v="6"/>
    <x v="15"/>
    <x v="1"/>
    <n v="47.219422000000002"/>
  </r>
  <r>
    <x v="0"/>
    <x v="6"/>
    <x v="16"/>
    <x v="1"/>
    <n v="51.699877999999998"/>
  </r>
  <r>
    <x v="0"/>
    <x v="6"/>
    <x v="17"/>
    <x v="1"/>
    <n v="50.282775000000001"/>
  </r>
  <r>
    <x v="0"/>
    <x v="6"/>
    <x v="18"/>
    <x v="1"/>
    <n v="52.938409"/>
  </r>
  <r>
    <x v="0"/>
    <x v="7"/>
    <x v="19"/>
    <x v="1"/>
    <n v="40.990606"/>
  </r>
  <r>
    <x v="0"/>
    <x v="7"/>
    <x v="20"/>
    <x v="1"/>
    <n v="66.237112999999994"/>
  </r>
  <r>
    <x v="0"/>
    <x v="7"/>
    <x v="21"/>
    <x v="1"/>
    <n v="54.098360999999997"/>
  </r>
  <r>
    <x v="0"/>
    <x v="7"/>
    <x v="22"/>
    <x v="1"/>
    <n v="53.936967000000003"/>
  </r>
  <r>
    <x v="0"/>
    <x v="7"/>
    <x v="23"/>
    <x v="1"/>
    <n v="52.269025999999997"/>
  </r>
  <r>
    <x v="0"/>
    <x v="7"/>
    <x v="24"/>
    <x v="1"/>
    <n v="61.967545999999999"/>
  </r>
  <r>
    <x v="0"/>
    <x v="7"/>
    <x v="25"/>
    <x v="1"/>
    <m/>
  </r>
  <r>
    <x v="0"/>
    <x v="7"/>
    <x v="26"/>
    <x v="1"/>
    <n v="54.946995999999999"/>
  </r>
  <r>
    <x v="0"/>
    <x v="7"/>
    <x v="27"/>
    <x v="1"/>
    <n v="38.213132000000002"/>
  </r>
  <r>
    <x v="0"/>
    <x v="7"/>
    <x v="28"/>
    <x v="1"/>
    <n v="59.95872"/>
  </r>
  <r>
    <x v="0"/>
    <x v="7"/>
    <x v="29"/>
    <x v="1"/>
    <n v="39.182915999999999"/>
  </r>
  <r>
    <x v="0"/>
    <x v="7"/>
    <x v="30"/>
    <x v="1"/>
    <n v="43.248730999999999"/>
  </r>
  <r>
    <x v="0"/>
    <x v="7"/>
    <x v="31"/>
    <x v="1"/>
    <n v="58.458458"/>
  </r>
  <r>
    <x v="0"/>
    <x v="7"/>
    <x v="32"/>
    <x v="1"/>
    <n v="57.002938"/>
  </r>
  <r>
    <x v="0"/>
    <x v="7"/>
    <x v="33"/>
    <x v="1"/>
    <n v="52.356206999999998"/>
  </r>
  <r>
    <x v="0"/>
    <x v="7"/>
    <x v="34"/>
    <x v="1"/>
    <n v="44.343434000000002"/>
  </r>
  <r>
    <x v="0"/>
    <x v="7"/>
    <x v="35"/>
    <x v="1"/>
    <n v="52.386268999999999"/>
  </r>
  <r>
    <x v="0"/>
    <x v="7"/>
    <x v="36"/>
    <x v="1"/>
    <n v="48.164335999999999"/>
  </r>
  <r>
    <x v="0"/>
    <x v="0"/>
    <x v="0"/>
    <x v="2"/>
    <n v="14.317824"/>
  </r>
  <r>
    <x v="0"/>
    <x v="1"/>
    <x v="1"/>
    <x v="2"/>
    <n v="13.754386999999999"/>
  </r>
  <r>
    <x v="0"/>
    <x v="1"/>
    <x v="2"/>
    <x v="2"/>
    <n v="13.565058000000001"/>
  </r>
  <r>
    <x v="0"/>
    <x v="1"/>
    <x v="3"/>
    <x v="2"/>
    <n v="14.556501000000001"/>
  </r>
  <r>
    <x v="0"/>
    <x v="1"/>
    <x v="4"/>
    <x v="2"/>
    <n v="15.621578"/>
  </r>
  <r>
    <x v="0"/>
    <x v="2"/>
    <x v="5"/>
    <x v="2"/>
    <n v="13.913346000000001"/>
  </r>
  <r>
    <x v="0"/>
    <x v="2"/>
    <x v="6"/>
    <x v="2"/>
    <n v="15.108431"/>
  </r>
  <r>
    <x v="0"/>
    <x v="2"/>
    <x v="7"/>
    <x v="2"/>
    <n v="14.032501999999999"/>
  </r>
  <r>
    <x v="0"/>
    <x v="2"/>
    <x v="8"/>
    <x v="2"/>
    <n v="11.789904"/>
  </r>
  <r>
    <x v="0"/>
    <x v="3"/>
    <x v="9"/>
    <x v="2"/>
    <n v="13.4338"/>
  </r>
  <r>
    <x v="0"/>
    <x v="3"/>
    <x v="10"/>
    <x v="2"/>
    <n v="15.236729"/>
  </r>
  <r>
    <x v="0"/>
    <x v="4"/>
    <x v="11"/>
    <x v="2"/>
    <n v="14.351891999999999"/>
  </r>
  <r>
    <x v="0"/>
    <x v="4"/>
    <x v="12"/>
    <x v="2"/>
    <n v="14.167176"/>
  </r>
  <r>
    <x v="0"/>
    <x v="5"/>
    <x v="13"/>
    <x v="2"/>
    <n v="17.402847000000001"/>
  </r>
  <r>
    <x v="0"/>
    <x v="5"/>
    <x v="14"/>
    <x v="2"/>
    <n v="13.326942000000001"/>
  </r>
  <r>
    <x v="0"/>
    <x v="6"/>
    <x v="15"/>
    <x v="2"/>
    <n v="13.553857000000001"/>
  </r>
  <r>
    <x v="0"/>
    <x v="6"/>
    <x v="16"/>
    <x v="2"/>
    <n v="14.667261999999999"/>
  </r>
  <r>
    <x v="0"/>
    <x v="6"/>
    <x v="17"/>
    <x v="2"/>
    <n v="15.106548"/>
  </r>
  <r>
    <x v="0"/>
    <x v="6"/>
    <x v="18"/>
    <x v="2"/>
    <n v="12.401427999999999"/>
  </r>
  <r>
    <x v="0"/>
    <x v="7"/>
    <x v="19"/>
    <x v="2"/>
    <n v="4.0990605999999996"/>
  </r>
  <r>
    <x v="0"/>
    <x v="7"/>
    <x v="20"/>
    <x v="2"/>
    <n v="7.6030927999999998"/>
  </r>
  <r>
    <x v="0"/>
    <x v="7"/>
    <x v="21"/>
    <x v="2"/>
    <n v="5.6352459000000001"/>
  </r>
  <r>
    <x v="0"/>
    <x v="7"/>
    <x v="22"/>
    <x v="2"/>
    <n v="9.4108242000000004"/>
  </r>
  <r>
    <x v="0"/>
    <x v="7"/>
    <x v="23"/>
    <x v="2"/>
    <n v="8.6394257000000003"/>
  </r>
  <r>
    <x v="0"/>
    <x v="7"/>
    <x v="24"/>
    <x v="2"/>
    <n v="14.401623000000001"/>
  </r>
  <r>
    <x v="0"/>
    <x v="7"/>
    <x v="25"/>
    <x v="2"/>
    <m/>
  </r>
  <r>
    <x v="0"/>
    <x v="7"/>
    <x v="26"/>
    <x v="2"/>
    <n v="8.0388693"/>
  </r>
  <r>
    <x v="0"/>
    <x v="7"/>
    <x v="27"/>
    <x v="2"/>
    <n v="26.372443000000001"/>
  </r>
  <r>
    <x v="0"/>
    <x v="7"/>
    <x v="28"/>
    <x v="2"/>
    <n v="15.170279000000001"/>
  </r>
  <r>
    <x v="0"/>
    <x v="7"/>
    <x v="29"/>
    <x v="2"/>
    <n v="23.212627999999999"/>
  </r>
  <r>
    <x v="0"/>
    <x v="7"/>
    <x v="30"/>
    <x v="2"/>
    <n v="24.771574000000001"/>
  </r>
  <r>
    <x v="0"/>
    <x v="7"/>
    <x v="31"/>
    <x v="2"/>
    <n v="18.518519000000001"/>
  </r>
  <r>
    <x v="0"/>
    <x v="7"/>
    <x v="32"/>
    <x v="2"/>
    <n v="12.242899"/>
  </r>
  <r>
    <x v="0"/>
    <x v="7"/>
    <x v="33"/>
    <x v="2"/>
    <n v="6.9909029"/>
  </r>
  <r>
    <x v="0"/>
    <x v="7"/>
    <x v="34"/>
    <x v="2"/>
    <n v="30.404039999999998"/>
  </r>
  <r>
    <x v="0"/>
    <x v="7"/>
    <x v="35"/>
    <x v="2"/>
    <n v="17.599845999999999"/>
  </r>
  <r>
    <x v="0"/>
    <x v="7"/>
    <x v="36"/>
    <x v="2"/>
    <n v="10.402098000000001"/>
  </r>
  <r>
    <x v="0"/>
    <x v="0"/>
    <x v="0"/>
    <x v="3"/>
    <n v="5.1970213999999997"/>
  </r>
  <r>
    <x v="0"/>
    <x v="1"/>
    <x v="1"/>
    <x v="3"/>
    <n v="6.1770844"/>
  </r>
  <r>
    <x v="0"/>
    <x v="1"/>
    <x v="2"/>
    <x v="3"/>
    <n v="5.0810858999999997"/>
  </r>
  <r>
    <x v="0"/>
    <x v="1"/>
    <x v="3"/>
    <x v="3"/>
    <n v="4.6423848999999997"/>
  </r>
  <r>
    <x v="0"/>
    <x v="1"/>
    <x v="4"/>
    <x v="3"/>
    <n v="4.9474969"/>
  </r>
  <r>
    <x v="0"/>
    <x v="2"/>
    <x v="5"/>
    <x v="3"/>
    <n v="5.0821709999999998"/>
  </r>
  <r>
    <x v="0"/>
    <x v="2"/>
    <x v="6"/>
    <x v="3"/>
    <n v="6.0371378"/>
  </r>
  <r>
    <x v="0"/>
    <x v="2"/>
    <x v="7"/>
    <x v="3"/>
    <n v="4.4070182999999998"/>
  </r>
  <r>
    <x v="0"/>
    <x v="2"/>
    <x v="8"/>
    <x v="3"/>
    <n v="3.9230244000000001"/>
  </r>
  <r>
    <x v="0"/>
    <x v="3"/>
    <x v="9"/>
    <x v="3"/>
    <n v="5.1211253000000001"/>
  </r>
  <r>
    <x v="0"/>
    <x v="3"/>
    <x v="10"/>
    <x v="3"/>
    <n v="5.2759121000000002"/>
  </r>
  <r>
    <x v="0"/>
    <x v="4"/>
    <x v="11"/>
    <x v="3"/>
    <n v="5.1420022000000003"/>
  </r>
  <r>
    <x v="0"/>
    <x v="4"/>
    <x v="12"/>
    <x v="3"/>
    <n v="5.1812972000000004"/>
  </r>
  <r>
    <x v="0"/>
    <x v="5"/>
    <x v="13"/>
    <x v="3"/>
    <n v="6.0663425999999996"/>
  </r>
  <r>
    <x v="0"/>
    <x v="5"/>
    <x v="14"/>
    <x v="3"/>
    <n v="4.8937381000000002"/>
  </r>
  <r>
    <x v="0"/>
    <x v="6"/>
    <x v="15"/>
    <x v="3"/>
    <n v="4.6877198"/>
  </r>
  <r>
    <x v="0"/>
    <x v="6"/>
    <x v="16"/>
    <x v="3"/>
    <n v="5.2006290000000002"/>
  </r>
  <r>
    <x v="0"/>
    <x v="6"/>
    <x v="17"/>
    <x v="3"/>
    <n v="6.1029596000000002"/>
  </r>
  <r>
    <x v="0"/>
    <x v="6"/>
    <x v="18"/>
    <x v="3"/>
    <n v="4.2704880999999997"/>
  </r>
  <r>
    <x v="0"/>
    <x v="7"/>
    <x v="19"/>
    <x v="3"/>
    <n v="0.17079419000000001"/>
  </r>
  <r>
    <x v="0"/>
    <x v="7"/>
    <x v="20"/>
    <x v="3"/>
    <n v="2.3195876000000002"/>
  </r>
  <r>
    <x v="0"/>
    <x v="7"/>
    <x v="21"/>
    <x v="3"/>
    <n v="1.7418032999999999"/>
  </r>
  <r>
    <x v="0"/>
    <x v="7"/>
    <x v="22"/>
    <x v="3"/>
    <n v="2.1954020000000001"/>
  </r>
  <r>
    <x v="0"/>
    <x v="7"/>
    <x v="23"/>
    <x v="3"/>
    <n v="6.5740236999999997"/>
  </r>
  <r>
    <x v="0"/>
    <x v="7"/>
    <x v="24"/>
    <x v="3"/>
    <n v="8.3164300000000004"/>
  </r>
  <r>
    <x v="0"/>
    <x v="7"/>
    <x v="25"/>
    <x v="3"/>
    <m/>
  </r>
  <r>
    <x v="0"/>
    <x v="7"/>
    <x v="26"/>
    <x v="3"/>
    <n v="4.5053004000000003"/>
  </r>
  <r>
    <x v="0"/>
    <x v="7"/>
    <x v="27"/>
    <x v="3"/>
    <n v="10.65662"/>
  </r>
  <r>
    <x v="0"/>
    <x v="7"/>
    <x v="28"/>
    <x v="3"/>
    <n v="9.1847265"/>
  </r>
  <r>
    <x v="0"/>
    <x v="7"/>
    <x v="29"/>
    <x v="3"/>
    <n v="5.5710306000000003"/>
  </r>
  <r>
    <x v="0"/>
    <x v="7"/>
    <x v="30"/>
    <x v="3"/>
    <n v="12.690355"/>
  </r>
  <r>
    <x v="0"/>
    <x v="7"/>
    <x v="31"/>
    <x v="3"/>
    <n v="2.4024024000000002"/>
  </r>
  <r>
    <x v="0"/>
    <x v="7"/>
    <x v="32"/>
    <x v="3"/>
    <n v="1.9588639000000001"/>
  </r>
  <r>
    <x v="0"/>
    <x v="7"/>
    <x v="33"/>
    <x v="3"/>
    <n v="4.9822822000000002"/>
  </r>
  <r>
    <x v="0"/>
    <x v="7"/>
    <x v="34"/>
    <x v="3"/>
    <n v="8.6868686999999998"/>
  </r>
  <r>
    <x v="0"/>
    <x v="7"/>
    <x v="35"/>
    <x v="3"/>
    <n v="3.5283544999999998"/>
  </r>
  <r>
    <x v="0"/>
    <x v="7"/>
    <x v="36"/>
    <x v="3"/>
    <n v="4.3706294000000003"/>
  </r>
  <r>
    <x v="1"/>
    <x v="0"/>
    <x v="0"/>
    <x v="0"/>
    <n v="37.028218000000003"/>
  </r>
  <r>
    <x v="1"/>
    <x v="1"/>
    <x v="1"/>
    <x v="0"/>
    <n v="38.938800000000001"/>
  </r>
  <r>
    <x v="1"/>
    <x v="1"/>
    <x v="2"/>
    <x v="0"/>
    <n v="35.409756000000002"/>
  </r>
  <r>
    <x v="1"/>
    <x v="1"/>
    <x v="3"/>
    <x v="0"/>
    <n v="38.364033999999997"/>
  </r>
  <r>
    <x v="1"/>
    <x v="1"/>
    <x v="4"/>
    <x v="0"/>
    <n v="36.420195"/>
  </r>
  <r>
    <x v="1"/>
    <x v="2"/>
    <x v="5"/>
    <x v="0"/>
    <n v="32.414372"/>
  </r>
  <r>
    <x v="1"/>
    <x v="2"/>
    <x v="6"/>
    <x v="0"/>
    <n v="37.752662000000001"/>
  </r>
  <r>
    <x v="1"/>
    <x v="2"/>
    <x v="7"/>
    <x v="0"/>
    <n v="38.998972999999999"/>
  </r>
  <r>
    <x v="1"/>
    <x v="2"/>
    <x v="8"/>
    <x v="0"/>
    <n v="39.504323999999997"/>
  </r>
  <r>
    <x v="1"/>
    <x v="3"/>
    <x v="9"/>
    <x v="0"/>
    <n v="37.310184999999997"/>
  </r>
  <r>
    <x v="1"/>
    <x v="3"/>
    <x v="10"/>
    <x v="0"/>
    <n v="36.741754999999998"/>
  </r>
  <r>
    <x v="1"/>
    <x v="4"/>
    <x v="11"/>
    <x v="0"/>
    <n v="35.834491"/>
  </r>
  <r>
    <x v="1"/>
    <x v="4"/>
    <x v="12"/>
    <x v="0"/>
    <n v="37.986975999999999"/>
  </r>
  <r>
    <x v="1"/>
    <x v="5"/>
    <x v="13"/>
    <x v="0"/>
    <n v="34.714146"/>
  </r>
  <r>
    <x v="1"/>
    <x v="5"/>
    <x v="14"/>
    <x v="0"/>
    <n v="37.561633999999998"/>
  </r>
  <r>
    <x v="1"/>
    <x v="6"/>
    <x v="15"/>
    <x v="0"/>
    <n v="31.288309999999999"/>
  </r>
  <r>
    <x v="1"/>
    <x v="6"/>
    <x v="16"/>
    <x v="0"/>
    <n v="35.459054000000002"/>
  </r>
  <r>
    <x v="1"/>
    <x v="6"/>
    <x v="17"/>
    <x v="0"/>
    <n v="37.872900000000001"/>
  </r>
  <r>
    <x v="1"/>
    <x v="6"/>
    <x v="18"/>
    <x v="0"/>
    <n v="38.780647000000002"/>
  </r>
  <r>
    <x v="1"/>
    <x v="7"/>
    <x v="19"/>
    <x v="0"/>
    <n v="54.878391000000001"/>
  </r>
  <r>
    <x v="1"/>
    <x v="7"/>
    <x v="20"/>
    <x v="0"/>
    <n v="34.247871000000004"/>
  </r>
  <r>
    <x v="1"/>
    <x v="7"/>
    <x v="21"/>
    <x v="0"/>
    <n v="35.691657999999997"/>
  </r>
  <r>
    <x v="1"/>
    <x v="7"/>
    <x v="22"/>
    <x v="0"/>
    <n v="38.167968999999999"/>
  </r>
  <r>
    <x v="1"/>
    <x v="7"/>
    <x v="23"/>
    <x v="0"/>
    <n v="53.329728000000003"/>
  </r>
  <r>
    <x v="1"/>
    <x v="7"/>
    <x v="24"/>
    <x v="0"/>
    <n v="32.661718"/>
  </r>
  <r>
    <x v="1"/>
    <x v="7"/>
    <x v="25"/>
    <x v="0"/>
    <m/>
  </r>
  <r>
    <x v="1"/>
    <x v="7"/>
    <x v="26"/>
    <x v="0"/>
    <n v="32.547958000000001"/>
  </r>
  <r>
    <x v="1"/>
    <x v="7"/>
    <x v="27"/>
    <x v="0"/>
    <n v="30.749735999999999"/>
  </r>
  <r>
    <x v="1"/>
    <x v="7"/>
    <x v="28"/>
    <x v="0"/>
    <n v="28.270690999999999"/>
  </r>
  <r>
    <x v="1"/>
    <x v="7"/>
    <x v="29"/>
    <x v="0"/>
    <n v="29.694578"/>
  </r>
  <r>
    <x v="1"/>
    <x v="7"/>
    <x v="30"/>
    <x v="0"/>
    <n v="29.886246"/>
  </r>
  <r>
    <x v="1"/>
    <x v="7"/>
    <x v="31"/>
    <x v="0"/>
    <n v="54.017856999999999"/>
  </r>
  <r>
    <x v="1"/>
    <x v="7"/>
    <x v="32"/>
    <x v="0"/>
    <n v="36.879432999999999"/>
  </r>
  <r>
    <x v="1"/>
    <x v="7"/>
    <x v="33"/>
    <x v="0"/>
    <n v="54.694744999999998"/>
  </r>
  <r>
    <x v="1"/>
    <x v="7"/>
    <x v="34"/>
    <x v="0"/>
    <n v="34.557371000000003"/>
  </r>
  <r>
    <x v="1"/>
    <x v="7"/>
    <x v="35"/>
    <x v="0"/>
    <n v="31.326899000000001"/>
  </r>
  <r>
    <x v="1"/>
    <x v="7"/>
    <x v="36"/>
    <x v="0"/>
    <n v="24.789868999999999"/>
  </r>
  <r>
    <x v="1"/>
    <x v="0"/>
    <x v="0"/>
    <x v="1"/>
    <n v="51.706265999999999"/>
  </r>
  <r>
    <x v="1"/>
    <x v="1"/>
    <x v="1"/>
    <x v="1"/>
    <n v="49.034424999999999"/>
  </r>
  <r>
    <x v="1"/>
    <x v="1"/>
    <x v="2"/>
    <x v="1"/>
    <n v="52.233085000000003"/>
  </r>
  <r>
    <x v="1"/>
    <x v="1"/>
    <x v="3"/>
    <x v="1"/>
    <n v="52.809378000000002"/>
  </r>
  <r>
    <x v="1"/>
    <x v="1"/>
    <x v="4"/>
    <x v="1"/>
    <n v="53.544426999999999"/>
  </r>
  <r>
    <x v="1"/>
    <x v="2"/>
    <x v="5"/>
    <x v="1"/>
    <n v="53.575355000000002"/>
  </r>
  <r>
    <x v="1"/>
    <x v="2"/>
    <x v="6"/>
    <x v="1"/>
    <n v="51.161914000000003"/>
  </r>
  <r>
    <x v="1"/>
    <x v="2"/>
    <x v="7"/>
    <x v="1"/>
    <n v="51.207166999999998"/>
  </r>
  <r>
    <x v="1"/>
    <x v="2"/>
    <x v="8"/>
    <x v="1"/>
    <n v="50.730376"/>
  </r>
  <r>
    <x v="1"/>
    <x v="3"/>
    <x v="9"/>
    <x v="1"/>
    <n v="51.592025999999997"/>
  </r>
  <r>
    <x v="1"/>
    <x v="3"/>
    <x v="10"/>
    <x v="1"/>
    <n v="51.822327000000001"/>
  </r>
  <r>
    <x v="1"/>
    <x v="4"/>
    <x v="11"/>
    <x v="1"/>
    <n v="52.630609999999997"/>
  </r>
  <r>
    <x v="1"/>
    <x v="4"/>
    <x v="12"/>
    <x v="1"/>
    <n v="50.994118999999998"/>
  </r>
  <r>
    <x v="1"/>
    <x v="5"/>
    <x v="13"/>
    <x v="1"/>
    <n v="53.178398999999999"/>
  </r>
  <r>
    <x v="1"/>
    <x v="5"/>
    <x v="14"/>
    <x v="1"/>
    <n v="51.391326999999997"/>
  </r>
  <r>
    <x v="1"/>
    <x v="6"/>
    <x v="15"/>
    <x v="1"/>
    <n v="56.719811999999997"/>
  </r>
  <r>
    <x v="1"/>
    <x v="6"/>
    <x v="16"/>
    <x v="1"/>
    <n v="53.628673999999997"/>
  </r>
  <r>
    <x v="1"/>
    <x v="6"/>
    <x v="17"/>
    <x v="1"/>
    <n v="50.475351000000003"/>
  </r>
  <r>
    <x v="1"/>
    <x v="6"/>
    <x v="18"/>
    <x v="1"/>
    <n v="50.966431999999998"/>
  </r>
  <r>
    <x v="1"/>
    <x v="7"/>
    <x v="19"/>
    <x v="1"/>
    <n v="42.004798000000001"/>
  </r>
  <r>
    <x v="1"/>
    <x v="7"/>
    <x v="20"/>
    <x v="1"/>
    <n v="57.142856999999999"/>
  </r>
  <r>
    <x v="1"/>
    <x v="7"/>
    <x v="21"/>
    <x v="1"/>
    <n v="50.686377999999998"/>
  </r>
  <r>
    <x v="1"/>
    <x v="7"/>
    <x v="22"/>
    <x v="1"/>
    <n v="52.036504999999998"/>
  </r>
  <r>
    <x v="1"/>
    <x v="7"/>
    <x v="23"/>
    <x v="1"/>
    <n v="42.482683999999999"/>
  </r>
  <r>
    <x v="1"/>
    <x v="7"/>
    <x v="24"/>
    <x v="1"/>
    <n v="51.855778999999998"/>
  </r>
  <r>
    <x v="1"/>
    <x v="7"/>
    <x v="25"/>
    <x v="1"/>
    <m/>
  </r>
  <r>
    <x v="1"/>
    <x v="7"/>
    <x v="26"/>
    <x v="1"/>
    <n v="57.433714000000002"/>
  </r>
  <r>
    <x v="1"/>
    <x v="7"/>
    <x v="27"/>
    <x v="1"/>
    <n v="54.286234"/>
  </r>
  <r>
    <x v="1"/>
    <x v="7"/>
    <x v="28"/>
    <x v="1"/>
    <n v="63.453307000000002"/>
  </r>
  <r>
    <x v="1"/>
    <x v="7"/>
    <x v="29"/>
    <x v="1"/>
    <n v="52.93103"/>
  </r>
  <r>
    <x v="1"/>
    <x v="7"/>
    <x v="30"/>
    <x v="1"/>
    <n v="54.705274000000003"/>
  </r>
  <r>
    <x v="1"/>
    <x v="7"/>
    <x v="31"/>
    <x v="1"/>
    <n v="40.848213999999999"/>
  </r>
  <r>
    <x v="1"/>
    <x v="7"/>
    <x v="32"/>
    <x v="1"/>
    <n v="57.75076"/>
  </r>
  <r>
    <x v="1"/>
    <x v="7"/>
    <x v="33"/>
    <x v="1"/>
    <n v="39.769950999999999"/>
  </r>
  <r>
    <x v="1"/>
    <x v="7"/>
    <x v="34"/>
    <x v="1"/>
    <n v="49.069735000000001"/>
  </r>
  <r>
    <x v="1"/>
    <x v="7"/>
    <x v="35"/>
    <x v="1"/>
    <n v="60.536360000000002"/>
  </r>
  <r>
    <x v="1"/>
    <x v="7"/>
    <x v="36"/>
    <x v="1"/>
    <n v="47.398665999999999"/>
  </r>
  <r>
    <x v="1"/>
    <x v="0"/>
    <x v="0"/>
    <x v="2"/>
    <n v="9.5296730000000007"/>
  </r>
  <r>
    <x v="1"/>
    <x v="1"/>
    <x v="1"/>
    <x v="2"/>
    <n v="10.291482"/>
  </r>
  <r>
    <x v="1"/>
    <x v="1"/>
    <x v="2"/>
    <x v="2"/>
    <n v="10.720924999999999"/>
  </r>
  <r>
    <x v="1"/>
    <x v="1"/>
    <x v="3"/>
    <x v="2"/>
    <n v="7.0406950000000004"/>
  </r>
  <r>
    <x v="1"/>
    <x v="1"/>
    <x v="4"/>
    <x v="2"/>
    <n v="7.9537626000000001"/>
  </r>
  <r>
    <x v="1"/>
    <x v="2"/>
    <x v="5"/>
    <x v="2"/>
    <n v="12.166316999999999"/>
  </r>
  <r>
    <x v="1"/>
    <x v="2"/>
    <x v="6"/>
    <x v="2"/>
    <n v="9.4628256000000004"/>
  </r>
  <r>
    <x v="1"/>
    <x v="2"/>
    <x v="7"/>
    <x v="2"/>
    <n v="7.9113571"/>
  </r>
  <r>
    <x v="1"/>
    <x v="2"/>
    <x v="8"/>
    <x v="2"/>
    <n v="8.3652453999999992"/>
  </r>
  <r>
    <x v="1"/>
    <x v="3"/>
    <x v="9"/>
    <x v="2"/>
    <n v="9.4876465000000003"/>
  </r>
  <r>
    <x v="1"/>
    <x v="3"/>
    <x v="10"/>
    <x v="2"/>
    <n v="9.5723696999999994"/>
  </r>
  <r>
    <x v="1"/>
    <x v="4"/>
    <x v="11"/>
    <x v="2"/>
    <n v="9.9215149999999994"/>
  </r>
  <r>
    <x v="1"/>
    <x v="4"/>
    <x v="12"/>
    <x v="2"/>
    <n v="9.1846112000000009"/>
  </r>
  <r>
    <x v="1"/>
    <x v="5"/>
    <x v="13"/>
    <x v="2"/>
    <n v="10.735314000000001"/>
  </r>
  <r>
    <x v="1"/>
    <x v="5"/>
    <x v="14"/>
    <x v="2"/>
    <n v="9.1805356000000007"/>
  </r>
  <r>
    <x v="1"/>
    <x v="6"/>
    <x v="15"/>
    <x v="2"/>
    <n v="11.270977"/>
  </r>
  <r>
    <x v="1"/>
    <x v="6"/>
    <x v="16"/>
    <x v="2"/>
    <n v="9.4142328000000006"/>
  </r>
  <r>
    <x v="1"/>
    <x v="6"/>
    <x v="17"/>
    <x v="2"/>
    <n v="9.6286327000000007"/>
  </r>
  <r>
    <x v="1"/>
    <x v="6"/>
    <x v="18"/>
    <x v="2"/>
    <n v="7.9091448"/>
  </r>
  <r>
    <x v="1"/>
    <x v="7"/>
    <x v="19"/>
    <x v="2"/>
    <n v="2.1169007999999998"/>
  </r>
  <r>
    <x v="1"/>
    <x v="7"/>
    <x v="20"/>
    <x v="2"/>
    <n v="5.7710501000000001"/>
  </r>
  <r>
    <x v="1"/>
    <x v="7"/>
    <x v="21"/>
    <x v="2"/>
    <n v="12.777191"/>
  </r>
  <r>
    <x v="1"/>
    <x v="7"/>
    <x v="22"/>
    <x v="2"/>
    <n v="8.4135072999999991"/>
  </r>
  <r>
    <x v="1"/>
    <x v="7"/>
    <x v="23"/>
    <x v="2"/>
    <n v="3.5919354999999999"/>
  </r>
  <r>
    <x v="1"/>
    <x v="7"/>
    <x v="24"/>
    <x v="2"/>
    <n v="14.209968"/>
  </r>
  <r>
    <x v="1"/>
    <x v="7"/>
    <x v="25"/>
    <x v="2"/>
    <m/>
  </r>
  <r>
    <x v="1"/>
    <x v="7"/>
    <x v="26"/>
    <x v="2"/>
    <n v="6.5365004000000004"/>
  </r>
  <r>
    <x v="1"/>
    <x v="7"/>
    <x v="27"/>
    <x v="2"/>
    <n v="14.095082"/>
  </r>
  <r>
    <x v="1"/>
    <x v="7"/>
    <x v="28"/>
    <x v="2"/>
    <n v="6.6625512999999996"/>
  </r>
  <r>
    <x v="1"/>
    <x v="7"/>
    <x v="29"/>
    <x v="2"/>
    <n v="16.438845000000001"/>
  </r>
  <r>
    <x v="1"/>
    <x v="7"/>
    <x v="30"/>
    <x v="2"/>
    <n v="13.340228"/>
  </r>
  <r>
    <x v="1"/>
    <x v="7"/>
    <x v="31"/>
    <x v="2"/>
    <n v="4.6875"/>
  </r>
  <r>
    <x v="1"/>
    <x v="7"/>
    <x v="32"/>
    <x v="2"/>
    <n v="4.0526849"/>
  </r>
  <r>
    <x v="1"/>
    <x v="7"/>
    <x v="33"/>
    <x v="2"/>
    <n v="4.4560994999999997"/>
  </r>
  <r>
    <x v="1"/>
    <x v="7"/>
    <x v="34"/>
    <x v="2"/>
    <n v="14.78889"/>
  </r>
  <r>
    <x v="1"/>
    <x v="7"/>
    <x v="35"/>
    <x v="2"/>
    <n v="7.1526695"/>
  </r>
  <r>
    <x v="1"/>
    <x v="7"/>
    <x v="36"/>
    <x v="2"/>
    <n v="21.507131000000001"/>
  </r>
  <r>
    <x v="1"/>
    <x v="0"/>
    <x v="0"/>
    <x v="3"/>
    <n v="1.7358431999999999"/>
  </r>
  <r>
    <x v="1"/>
    <x v="1"/>
    <x v="1"/>
    <x v="3"/>
    <n v="1.735293"/>
  </r>
  <r>
    <x v="1"/>
    <x v="1"/>
    <x v="2"/>
    <x v="3"/>
    <n v="1.6362342000000001"/>
  </r>
  <r>
    <x v="1"/>
    <x v="1"/>
    <x v="3"/>
    <x v="3"/>
    <n v="1.7858924"/>
  </r>
  <r>
    <x v="1"/>
    <x v="1"/>
    <x v="4"/>
    <x v="3"/>
    <n v="2.0816151999999999"/>
  </r>
  <r>
    <x v="1"/>
    <x v="2"/>
    <x v="5"/>
    <x v="3"/>
    <n v="1.8439559999999999"/>
  </r>
  <r>
    <x v="1"/>
    <x v="2"/>
    <x v="6"/>
    <x v="3"/>
    <n v="1.6225984"/>
  </r>
  <r>
    <x v="1"/>
    <x v="2"/>
    <x v="7"/>
    <x v="3"/>
    <n v="1.8825023000000001"/>
  </r>
  <r>
    <x v="1"/>
    <x v="2"/>
    <x v="8"/>
    <x v="3"/>
    <n v="1.4000547000000001"/>
  </r>
  <r>
    <x v="1"/>
    <x v="3"/>
    <x v="9"/>
    <x v="3"/>
    <n v="1.6101428"/>
  </r>
  <r>
    <x v="1"/>
    <x v="3"/>
    <x v="10"/>
    <x v="3"/>
    <n v="1.8635482999999999"/>
  </r>
  <r>
    <x v="1"/>
    <x v="4"/>
    <x v="11"/>
    <x v="3"/>
    <n v="1.6133843000000001"/>
  </r>
  <r>
    <x v="1"/>
    <x v="4"/>
    <x v="12"/>
    <x v="3"/>
    <n v="1.8342943"/>
  </r>
  <r>
    <x v="1"/>
    <x v="5"/>
    <x v="13"/>
    <x v="3"/>
    <n v="1.3721413"/>
  </r>
  <r>
    <x v="1"/>
    <x v="5"/>
    <x v="14"/>
    <x v="3"/>
    <n v="1.8665037"/>
  </r>
  <r>
    <x v="1"/>
    <x v="6"/>
    <x v="15"/>
    <x v="3"/>
    <n v="0.72090129999999997"/>
  </r>
  <r>
    <x v="1"/>
    <x v="6"/>
    <x v="16"/>
    <x v="3"/>
    <n v="1.4980401000000001"/>
  </r>
  <r>
    <x v="1"/>
    <x v="6"/>
    <x v="17"/>
    <x v="3"/>
    <n v="2.0231165999999998"/>
  </r>
  <r>
    <x v="1"/>
    <x v="6"/>
    <x v="18"/>
    <x v="3"/>
    <n v="2.3437768999999999"/>
  </r>
  <r>
    <x v="1"/>
    <x v="7"/>
    <x v="19"/>
    <x v="3"/>
    <n v="0.99990983"/>
  </r>
  <r>
    <x v="1"/>
    <x v="7"/>
    <x v="20"/>
    <x v="3"/>
    <n v="2.8382214000000001"/>
  </r>
  <r>
    <x v="1"/>
    <x v="7"/>
    <x v="21"/>
    <x v="3"/>
    <n v="0.84477296999999996"/>
  </r>
  <r>
    <x v="1"/>
    <x v="7"/>
    <x v="22"/>
    <x v="3"/>
    <n v="1.3820189000000001"/>
  </r>
  <r>
    <x v="1"/>
    <x v="7"/>
    <x v="23"/>
    <x v="3"/>
    <n v="0.59565190999999995"/>
  </r>
  <r>
    <x v="1"/>
    <x v="7"/>
    <x v="24"/>
    <x v="3"/>
    <n v="1.2725344999999999"/>
  </r>
  <r>
    <x v="1"/>
    <x v="7"/>
    <x v="25"/>
    <x v="3"/>
    <m/>
  </r>
  <r>
    <x v="1"/>
    <x v="7"/>
    <x v="26"/>
    <x v="3"/>
    <n v="3.4818277000000002"/>
  </r>
  <r>
    <x v="1"/>
    <x v="7"/>
    <x v="27"/>
    <x v="3"/>
    <n v="0.86894817999999996"/>
  </r>
  <r>
    <x v="1"/>
    <x v="7"/>
    <x v="28"/>
    <x v="3"/>
    <n v="1.6134504000000001"/>
  </r>
  <r>
    <x v="1"/>
    <x v="7"/>
    <x v="29"/>
    <x v="3"/>
    <n v="0.93554625999999996"/>
  </r>
  <r>
    <x v="1"/>
    <x v="7"/>
    <x v="30"/>
    <x v="3"/>
    <n v="2.0682523000000002"/>
  </r>
  <r>
    <x v="1"/>
    <x v="7"/>
    <x v="31"/>
    <x v="3"/>
    <n v="0.44642857000000002"/>
  </r>
  <r>
    <x v="1"/>
    <x v="7"/>
    <x v="32"/>
    <x v="3"/>
    <n v="1.3171226"/>
  </r>
  <r>
    <x v="1"/>
    <x v="7"/>
    <x v="33"/>
    <x v="3"/>
    <n v="1.0792047"/>
  </r>
  <r>
    <x v="1"/>
    <x v="7"/>
    <x v="34"/>
    <x v="3"/>
    <n v="1.5840041"/>
  </r>
  <r>
    <x v="1"/>
    <x v="7"/>
    <x v="35"/>
    <x v="3"/>
    <n v="0.98407157000000001"/>
  </r>
  <r>
    <x v="1"/>
    <x v="7"/>
    <x v="36"/>
    <x v="3"/>
    <n v="6.3043332000000003"/>
  </r>
  <r>
    <x v="2"/>
    <x v="0"/>
    <x v="0"/>
    <x v="0"/>
    <n v="33.586094000000003"/>
  </r>
  <r>
    <x v="2"/>
    <x v="1"/>
    <x v="1"/>
    <x v="0"/>
    <n v="32.115270000000002"/>
  </r>
  <r>
    <x v="2"/>
    <x v="1"/>
    <x v="2"/>
    <x v="0"/>
    <n v="33.062882999999999"/>
  </r>
  <r>
    <x v="2"/>
    <x v="1"/>
    <x v="3"/>
    <x v="0"/>
    <n v="35.910001999999999"/>
  </r>
  <r>
    <x v="2"/>
    <x v="1"/>
    <x v="4"/>
    <x v="0"/>
    <n v="36.137143999999999"/>
  </r>
  <r>
    <x v="2"/>
    <x v="2"/>
    <x v="5"/>
    <x v="0"/>
    <n v="31.17362"/>
  </r>
  <r>
    <x v="2"/>
    <x v="2"/>
    <x v="6"/>
    <x v="0"/>
    <n v="33.385098999999997"/>
  </r>
  <r>
    <x v="2"/>
    <x v="2"/>
    <x v="7"/>
    <x v="0"/>
    <n v="35.289532000000001"/>
  </r>
  <r>
    <x v="2"/>
    <x v="2"/>
    <x v="8"/>
    <x v="0"/>
    <n v="34.904998999999997"/>
  </r>
  <r>
    <x v="2"/>
    <x v="3"/>
    <x v="9"/>
    <x v="0"/>
    <n v="33.555298999999998"/>
  </r>
  <r>
    <x v="2"/>
    <x v="3"/>
    <x v="10"/>
    <x v="0"/>
    <n v="33.618662"/>
  </r>
  <r>
    <x v="2"/>
    <x v="4"/>
    <x v="11"/>
    <x v="0"/>
    <n v="33.445346999999998"/>
  </r>
  <r>
    <x v="2"/>
    <x v="4"/>
    <x v="12"/>
    <x v="0"/>
    <n v="33.482137000000002"/>
  </r>
  <r>
    <x v="2"/>
    <x v="5"/>
    <x v="13"/>
    <x v="0"/>
    <n v="32.671992000000003"/>
  </r>
  <r>
    <x v="2"/>
    <x v="5"/>
    <x v="14"/>
    <x v="0"/>
    <n v="33.795029999999997"/>
  </r>
  <r>
    <x v="2"/>
    <x v="6"/>
    <x v="15"/>
    <x v="0"/>
    <n v="26.33943"/>
  </r>
  <r>
    <x v="2"/>
    <x v="6"/>
    <x v="16"/>
    <x v="0"/>
    <n v="35.821506999999997"/>
  </r>
  <r>
    <x v="2"/>
    <x v="6"/>
    <x v="17"/>
    <x v="0"/>
    <n v="32.560495000000003"/>
  </r>
  <r>
    <x v="2"/>
    <x v="6"/>
    <x v="18"/>
    <x v="0"/>
    <n v="35.727767999999998"/>
  </r>
  <r>
    <x v="2"/>
    <x v="7"/>
    <x v="19"/>
    <x v="0"/>
    <n v="63.688574000000003"/>
  </r>
  <r>
    <x v="2"/>
    <x v="7"/>
    <x v="20"/>
    <x v="0"/>
    <n v="23.647570999999999"/>
  </r>
  <r>
    <x v="2"/>
    <x v="7"/>
    <x v="21"/>
    <x v="0"/>
    <n v="32.920537000000003"/>
  </r>
  <r>
    <x v="2"/>
    <x v="7"/>
    <x v="22"/>
    <x v="0"/>
    <n v="30.460539000000001"/>
  </r>
  <r>
    <x v="2"/>
    <x v="7"/>
    <x v="23"/>
    <x v="0"/>
    <n v="41.498091000000002"/>
  </r>
  <r>
    <x v="2"/>
    <x v="7"/>
    <x v="24"/>
    <x v="0"/>
    <n v="16.111111000000001"/>
  </r>
  <r>
    <x v="2"/>
    <x v="7"/>
    <x v="25"/>
    <x v="0"/>
    <m/>
  </r>
  <r>
    <x v="2"/>
    <x v="7"/>
    <x v="26"/>
    <x v="0"/>
    <n v="36.331733999999997"/>
  </r>
  <r>
    <x v="2"/>
    <x v="7"/>
    <x v="27"/>
    <x v="0"/>
    <n v="33.817751999999999"/>
  </r>
  <r>
    <x v="2"/>
    <x v="7"/>
    <x v="28"/>
    <x v="0"/>
    <n v="19.116954"/>
  </r>
  <r>
    <x v="2"/>
    <x v="7"/>
    <x v="29"/>
    <x v="0"/>
    <n v="47.921509999999998"/>
  </r>
  <r>
    <x v="2"/>
    <x v="7"/>
    <x v="30"/>
    <x v="0"/>
    <n v="24.035281000000001"/>
  </r>
  <r>
    <x v="2"/>
    <x v="7"/>
    <x v="31"/>
    <x v="0"/>
    <n v="46.764961999999997"/>
  </r>
  <r>
    <x v="2"/>
    <x v="7"/>
    <x v="32"/>
    <x v="0"/>
    <n v="29.156210999999999"/>
  </r>
  <r>
    <x v="2"/>
    <x v="7"/>
    <x v="33"/>
    <x v="0"/>
    <n v="40.033726999999999"/>
  </r>
  <r>
    <x v="2"/>
    <x v="7"/>
    <x v="34"/>
    <x v="0"/>
    <n v="22.207868000000001"/>
  </r>
  <r>
    <x v="2"/>
    <x v="7"/>
    <x v="35"/>
    <x v="0"/>
    <n v="30.414158"/>
  </r>
  <r>
    <x v="2"/>
    <x v="7"/>
    <x v="36"/>
    <x v="0"/>
    <n v="24.287787000000002"/>
  </r>
  <r>
    <x v="2"/>
    <x v="0"/>
    <x v="0"/>
    <x v="1"/>
    <n v="53.297753999999998"/>
  </r>
  <r>
    <x v="2"/>
    <x v="1"/>
    <x v="1"/>
    <x v="1"/>
    <n v="53.929653000000002"/>
  </r>
  <r>
    <x v="2"/>
    <x v="1"/>
    <x v="2"/>
    <x v="1"/>
    <n v="52.967359999999999"/>
  </r>
  <r>
    <x v="2"/>
    <x v="1"/>
    <x v="3"/>
    <x v="1"/>
    <n v="53.243031000000002"/>
  </r>
  <r>
    <x v="2"/>
    <x v="1"/>
    <x v="4"/>
    <x v="1"/>
    <n v="53.273223999999999"/>
  </r>
  <r>
    <x v="2"/>
    <x v="2"/>
    <x v="5"/>
    <x v="1"/>
    <n v="52.625146000000001"/>
  </r>
  <r>
    <x v="2"/>
    <x v="2"/>
    <x v="6"/>
    <x v="1"/>
    <n v="53.559457000000002"/>
  </r>
  <r>
    <x v="2"/>
    <x v="2"/>
    <x v="7"/>
    <x v="1"/>
    <n v="53.504756999999998"/>
  </r>
  <r>
    <x v="2"/>
    <x v="2"/>
    <x v="8"/>
    <x v="1"/>
    <n v="53.188975999999997"/>
  </r>
  <r>
    <x v="2"/>
    <x v="3"/>
    <x v="9"/>
    <x v="1"/>
    <n v="53.346356999999998"/>
  </r>
  <r>
    <x v="2"/>
    <x v="3"/>
    <x v="10"/>
    <x v="1"/>
    <n v="53.246352999999999"/>
  </r>
  <r>
    <x v="2"/>
    <x v="4"/>
    <x v="11"/>
    <x v="1"/>
    <n v="52.200938000000001"/>
  </r>
  <r>
    <x v="2"/>
    <x v="4"/>
    <x v="12"/>
    <x v="1"/>
    <n v="54.290154999999999"/>
  </r>
  <r>
    <x v="2"/>
    <x v="5"/>
    <x v="13"/>
    <x v="1"/>
    <n v="53.722436000000002"/>
  </r>
  <r>
    <x v="2"/>
    <x v="5"/>
    <x v="14"/>
    <x v="1"/>
    <n v="53.244045"/>
  </r>
  <r>
    <x v="2"/>
    <x v="6"/>
    <x v="15"/>
    <x v="1"/>
    <n v="62.459293000000002"/>
  </r>
  <r>
    <x v="2"/>
    <x v="6"/>
    <x v="16"/>
    <x v="1"/>
    <n v="52.114856000000003"/>
  </r>
  <r>
    <x v="2"/>
    <x v="6"/>
    <x v="17"/>
    <x v="1"/>
    <n v="54.173637999999997"/>
  </r>
  <r>
    <x v="2"/>
    <x v="6"/>
    <x v="18"/>
    <x v="1"/>
    <n v="51.423955999999997"/>
  </r>
  <r>
    <x v="2"/>
    <x v="7"/>
    <x v="19"/>
    <x v="1"/>
    <n v="33.837420000000002"/>
  </r>
  <r>
    <x v="2"/>
    <x v="7"/>
    <x v="20"/>
    <x v="1"/>
    <n v="63.166448000000003"/>
  </r>
  <r>
    <x v="2"/>
    <x v="7"/>
    <x v="21"/>
    <x v="1"/>
    <n v="53.044376"/>
  </r>
  <r>
    <x v="2"/>
    <x v="7"/>
    <x v="22"/>
    <x v="1"/>
    <n v="60.406550000000003"/>
  </r>
  <r>
    <x v="2"/>
    <x v="7"/>
    <x v="23"/>
    <x v="1"/>
    <n v="49.211587999999999"/>
  </r>
  <r>
    <x v="2"/>
    <x v="7"/>
    <x v="24"/>
    <x v="1"/>
    <n v="58.888888999999999"/>
  </r>
  <r>
    <x v="2"/>
    <x v="7"/>
    <x v="25"/>
    <x v="1"/>
    <m/>
  </r>
  <r>
    <x v="2"/>
    <x v="7"/>
    <x v="26"/>
    <x v="1"/>
    <n v="51.988658999999998"/>
  </r>
  <r>
    <x v="2"/>
    <x v="7"/>
    <x v="27"/>
    <x v="1"/>
    <n v="53.320346999999998"/>
  </r>
  <r>
    <x v="2"/>
    <x v="7"/>
    <x v="28"/>
    <x v="1"/>
    <n v="62.497020999999997"/>
  </r>
  <r>
    <x v="2"/>
    <x v="7"/>
    <x v="29"/>
    <x v="1"/>
    <n v="44.352192000000002"/>
  </r>
  <r>
    <x v="2"/>
    <x v="7"/>
    <x v="30"/>
    <x v="1"/>
    <n v="54.355016999999997"/>
  </r>
  <r>
    <x v="2"/>
    <x v="7"/>
    <x v="31"/>
    <x v="1"/>
    <n v="45.030659"/>
  </r>
  <r>
    <x v="2"/>
    <x v="7"/>
    <x v="32"/>
    <x v="1"/>
    <n v="56.904710999999999"/>
  </r>
  <r>
    <x v="2"/>
    <x v="7"/>
    <x v="33"/>
    <x v="1"/>
    <n v="52.241447999999998"/>
  </r>
  <r>
    <x v="2"/>
    <x v="7"/>
    <x v="34"/>
    <x v="1"/>
    <n v="59.146825"/>
  </r>
  <r>
    <x v="2"/>
    <x v="7"/>
    <x v="35"/>
    <x v="1"/>
    <n v="61.196389000000003"/>
  </r>
  <r>
    <x v="2"/>
    <x v="7"/>
    <x v="36"/>
    <x v="1"/>
    <n v="50.312579999999997"/>
  </r>
  <r>
    <x v="2"/>
    <x v="0"/>
    <x v="0"/>
    <x v="2"/>
    <n v="10.937457"/>
  </r>
  <r>
    <x v="2"/>
    <x v="1"/>
    <x v="1"/>
    <x v="2"/>
    <n v="12.422545"/>
  </r>
  <r>
    <x v="2"/>
    <x v="1"/>
    <x v="2"/>
    <x v="2"/>
    <n v="11.322239"/>
  </r>
  <r>
    <x v="2"/>
    <x v="1"/>
    <x v="3"/>
    <x v="2"/>
    <n v="8.9054635999999991"/>
  </r>
  <r>
    <x v="2"/>
    <x v="1"/>
    <x v="4"/>
    <x v="2"/>
    <n v="8.4590730999999995"/>
  </r>
  <r>
    <x v="2"/>
    <x v="2"/>
    <x v="5"/>
    <x v="2"/>
    <n v="13.341797"/>
  </r>
  <r>
    <x v="2"/>
    <x v="2"/>
    <x v="6"/>
    <x v="2"/>
    <n v="10.749254000000001"/>
  </r>
  <r>
    <x v="2"/>
    <x v="2"/>
    <x v="7"/>
    <x v="2"/>
    <n v="9.4124721999999998"/>
  </r>
  <r>
    <x v="2"/>
    <x v="2"/>
    <x v="8"/>
    <x v="2"/>
    <n v="10.736772999999999"/>
  </r>
  <r>
    <x v="2"/>
    <x v="3"/>
    <x v="9"/>
    <x v="2"/>
    <n v="10.849114999999999"/>
  </r>
  <r>
    <x v="2"/>
    <x v="3"/>
    <x v="10"/>
    <x v="2"/>
    <n v="11.030882999999999"/>
  </r>
  <r>
    <x v="2"/>
    <x v="4"/>
    <x v="11"/>
    <x v="2"/>
    <n v="11.684877"/>
  </r>
  <r>
    <x v="2"/>
    <x v="4"/>
    <x v="12"/>
    <x v="2"/>
    <n v="10.437326000000001"/>
  </r>
  <r>
    <x v="2"/>
    <x v="5"/>
    <x v="13"/>
    <x v="2"/>
    <n v="11.602126999999999"/>
  </r>
  <r>
    <x v="2"/>
    <x v="5"/>
    <x v="14"/>
    <x v="2"/>
    <n v="10.718870000000001"/>
  </r>
  <r>
    <x v="2"/>
    <x v="6"/>
    <x v="15"/>
    <x v="2"/>
    <n v="9.2071225999999999"/>
  </r>
  <r>
    <x v="2"/>
    <x v="6"/>
    <x v="16"/>
    <x v="2"/>
    <n v="9.6269968000000006"/>
  </r>
  <r>
    <x v="2"/>
    <x v="6"/>
    <x v="17"/>
    <x v="2"/>
    <n v="11.324665"/>
  </r>
  <r>
    <x v="2"/>
    <x v="6"/>
    <x v="18"/>
    <x v="2"/>
    <n v="10.708584999999999"/>
  </r>
  <r>
    <x v="2"/>
    <x v="7"/>
    <x v="19"/>
    <x v="2"/>
    <n v="1.5132715000000001"/>
  </r>
  <r>
    <x v="2"/>
    <x v="7"/>
    <x v="20"/>
    <x v="2"/>
    <n v="11.094742"/>
  </r>
  <r>
    <x v="2"/>
    <x v="7"/>
    <x v="21"/>
    <x v="2"/>
    <n v="13.003095999999999"/>
  </r>
  <r>
    <x v="2"/>
    <x v="7"/>
    <x v="22"/>
    <x v="2"/>
    <n v="6.3545255999999997"/>
  </r>
  <r>
    <x v="2"/>
    <x v="7"/>
    <x v="23"/>
    <x v="2"/>
    <n v="6.7983057999999996"/>
  </r>
  <r>
    <x v="2"/>
    <x v="7"/>
    <x v="24"/>
    <x v="2"/>
    <n v="23.666667"/>
  </r>
  <r>
    <x v="2"/>
    <x v="7"/>
    <x v="25"/>
    <x v="2"/>
    <m/>
  </r>
  <r>
    <x v="2"/>
    <x v="7"/>
    <x v="26"/>
    <x v="2"/>
    <n v="9.8052308999999997"/>
  </r>
  <r>
    <x v="2"/>
    <x v="7"/>
    <x v="27"/>
    <x v="2"/>
    <n v="11.833656"/>
  </r>
  <r>
    <x v="2"/>
    <x v="7"/>
    <x v="28"/>
    <x v="2"/>
    <n v="16.967967999999999"/>
  </r>
  <r>
    <x v="2"/>
    <x v="7"/>
    <x v="29"/>
    <x v="2"/>
    <n v="4.5328084999999998"/>
  </r>
  <r>
    <x v="2"/>
    <x v="7"/>
    <x v="30"/>
    <x v="2"/>
    <n v="19.514883999999999"/>
  </r>
  <r>
    <x v="2"/>
    <x v="7"/>
    <x v="31"/>
    <x v="2"/>
    <n v="6.3583939999999997"/>
  </r>
  <r>
    <x v="2"/>
    <x v="7"/>
    <x v="32"/>
    <x v="2"/>
    <n v="9.9268595000000008"/>
  </r>
  <r>
    <x v="2"/>
    <x v="7"/>
    <x v="33"/>
    <x v="2"/>
    <n v="7.0043467000000001"/>
  </r>
  <r>
    <x v="2"/>
    <x v="7"/>
    <x v="34"/>
    <x v="2"/>
    <n v="15.489606999999999"/>
  </r>
  <r>
    <x v="2"/>
    <x v="7"/>
    <x v="35"/>
    <x v="2"/>
    <n v="7.5445981"/>
  </r>
  <r>
    <x v="2"/>
    <x v="7"/>
    <x v="36"/>
    <x v="2"/>
    <n v="20.416543000000001"/>
  </r>
  <r>
    <x v="2"/>
    <x v="0"/>
    <x v="0"/>
    <x v="3"/>
    <n v="2.1786948000000002"/>
  </r>
  <r>
    <x v="2"/>
    <x v="1"/>
    <x v="1"/>
    <x v="3"/>
    <n v="1.5325325000000001"/>
  </r>
  <r>
    <x v="2"/>
    <x v="1"/>
    <x v="2"/>
    <x v="3"/>
    <n v="2.6475173999999999"/>
  </r>
  <r>
    <x v="2"/>
    <x v="1"/>
    <x v="3"/>
    <x v="3"/>
    <n v="1.9415043000000001"/>
  </r>
  <r>
    <x v="2"/>
    <x v="1"/>
    <x v="4"/>
    <x v="3"/>
    <n v="2.1305584"/>
  </r>
  <r>
    <x v="2"/>
    <x v="2"/>
    <x v="5"/>
    <x v="3"/>
    <n v="2.8594368000000001"/>
  </r>
  <r>
    <x v="2"/>
    <x v="2"/>
    <x v="6"/>
    <x v="3"/>
    <n v="2.3061900999999998"/>
  </r>
  <r>
    <x v="2"/>
    <x v="2"/>
    <x v="7"/>
    <x v="3"/>
    <n v="1.7932386"/>
  </r>
  <r>
    <x v="2"/>
    <x v="2"/>
    <x v="8"/>
    <x v="3"/>
    <n v="1.1692521"/>
  </r>
  <r>
    <x v="2"/>
    <x v="3"/>
    <x v="9"/>
    <x v="3"/>
    <n v="2.2492285999999999"/>
  </r>
  <r>
    <x v="2"/>
    <x v="3"/>
    <x v="10"/>
    <x v="3"/>
    <n v="2.1041018"/>
  </r>
  <r>
    <x v="2"/>
    <x v="4"/>
    <x v="11"/>
    <x v="3"/>
    <n v="2.6688380999999999"/>
  </r>
  <r>
    <x v="2"/>
    <x v="4"/>
    <x v="12"/>
    <x v="3"/>
    <n v="1.7903818"/>
  </r>
  <r>
    <x v="2"/>
    <x v="5"/>
    <x v="13"/>
    <x v="3"/>
    <n v="2.0034448999999999"/>
  </r>
  <r>
    <x v="2"/>
    <x v="5"/>
    <x v="14"/>
    <x v="3"/>
    <n v="2.2420555000000002"/>
  </r>
  <r>
    <x v="2"/>
    <x v="6"/>
    <x v="15"/>
    <x v="3"/>
    <n v="1.9941544"/>
  </r>
  <r>
    <x v="2"/>
    <x v="6"/>
    <x v="16"/>
    <x v="3"/>
    <n v="2.4366403999999999"/>
  </r>
  <r>
    <x v="2"/>
    <x v="6"/>
    <x v="17"/>
    <x v="3"/>
    <n v="1.9412015"/>
  </r>
  <r>
    <x v="2"/>
    <x v="6"/>
    <x v="18"/>
    <x v="3"/>
    <n v="2.1396913999999998"/>
  </r>
  <r>
    <x v="2"/>
    <x v="7"/>
    <x v="19"/>
    <x v="3"/>
    <n v="0.96073496000000003"/>
  </r>
  <r>
    <x v="2"/>
    <x v="7"/>
    <x v="20"/>
    <x v="3"/>
    <n v="2.0912397999999999"/>
  </r>
  <r>
    <x v="2"/>
    <x v="7"/>
    <x v="21"/>
    <x v="3"/>
    <n v="1.0319917000000001"/>
  </r>
  <r>
    <x v="2"/>
    <x v="7"/>
    <x v="22"/>
    <x v="3"/>
    <n v="2.7783848999999998"/>
  </r>
  <r>
    <x v="2"/>
    <x v="7"/>
    <x v="23"/>
    <x v="3"/>
    <n v="2.4920159000000002"/>
  </r>
  <r>
    <x v="2"/>
    <x v="7"/>
    <x v="24"/>
    <x v="3"/>
    <n v="1.3333333000000001"/>
  </r>
  <r>
    <x v="2"/>
    <x v="7"/>
    <x v="25"/>
    <x v="3"/>
    <m/>
  </r>
  <r>
    <x v="2"/>
    <x v="7"/>
    <x v="26"/>
    <x v="3"/>
    <n v="1.8743761999999999"/>
  </r>
  <r>
    <x v="2"/>
    <x v="7"/>
    <x v="27"/>
    <x v="3"/>
    <n v="1.0282454000000001"/>
  </r>
  <r>
    <x v="2"/>
    <x v="7"/>
    <x v="28"/>
    <x v="3"/>
    <n v="1.4180562000000001"/>
  </r>
  <r>
    <x v="2"/>
    <x v="7"/>
    <x v="29"/>
    <x v="3"/>
    <n v="3.1934897000000002"/>
  </r>
  <r>
    <x v="2"/>
    <x v="7"/>
    <x v="30"/>
    <x v="3"/>
    <n v="2.0948180999999999"/>
  </r>
  <r>
    <x v="2"/>
    <x v="7"/>
    <x v="31"/>
    <x v="3"/>
    <n v="1.8459852999999999"/>
  </r>
  <r>
    <x v="2"/>
    <x v="7"/>
    <x v="32"/>
    <x v="3"/>
    <n v="4.0122178999999996"/>
  </r>
  <r>
    <x v="2"/>
    <x v="7"/>
    <x v="33"/>
    <x v="3"/>
    <n v="0.72047806000000003"/>
  </r>
  <r>
    <x v="2"/>
    <x v="7"/>
    <x v="34"/>
    <x v="3"/>
    <n v="3.1556997999999998"/>
  </r>
  <r>
    <x v="2"/>
    <x v="7"/>
    <x v="35"/>
    <x v="3"/>
    <n v="0.84485451"/>
  </r>
  <r>
    <x v="2"/>
    <x v="7"/>
    <x v="36"/>
    <x v="3"/>
    <n v="4.9830896999999998"/>
  </r>
  <r>
    <x v="3"/>
    <x v="0"/>
    <x v="0"/>
    <x v="0"/>
    <n v="27.686924999999999"/>
  </r>
  <r>
    <x v="3"/>
    <x v="1"/>
    <x v="1"/>
    <x v="0"/>
    <n v="27.81307"/>
  </r>
  <r>
    <x v="3"/>
    <x v="1"/>
    <x v="2"/>
    <x v="0"/>
    <n v="26.960719999999998"/>
  </r>
  <r>
    <x v="3"/>
    <x v="1"/>
    <x v="3"/>
    <x v="0"/>
    <n v="28.651873999999999"/>
  </r>
  <r>
    <x v="3"/>
    <x v="1"/>
    <x v="4"/>
    <x v="0"/>
    <n v="28.636679000000001"/>
  </r>
  <r>
    <x v="3"/>
    <x v="2"/>
    <x v="5"/>
    <x v="0"/>
    <n v="23.795838"/>
  </r>
  <r>
    <x v="3"/>
    <x v="2"/>
    <x v="6"/>
    <x v="0"/>
    <n v="28.626411999999998"/>
  </r>
  <r>
    <x v="3"/>
    <x v="2"/>
    <x v="7"/>
    <x v="0"/>
    <n v="28.956672000000001"/>
  </r>
  <r>
    <x v="3"/>
    <x v="2"/>
    <x v="8"/>
    <x v="0"/>
    <n v="28.132686"/>
  </r>
  <r>
    <x v="3"/>
    <x v="3"/>
    <x v="9"/>
    <x v="0"/>
    <n v="27.732638000000001"/>
  </r>
  <r>
    <x v="3"/>
    <x v="3"/>
    <x v="10"/>
    <x v="0"/>
    <n v="27.640554000000002"/>
  </r>
  <r>
    <x v="3"/>
    <x v="4"/>
    <x v="11"/>
    <x v="0"/>
    <n v="26.921710999999998"/>
  </r>
  <r>
    <x v="3"/>
    <x v="4"/>
    <x v="12"/>
    <x v="0"/>
    <n v="28.155923999999999"/>
  </r>
  <r>
    <x v="3"/>
    <x v="5"/>
    <x v="13"/>
    <x v="0"/>
    <n v="27.371362000000001"/>
  </r>
  <r>
    <x v="3"/>
    <x v="5"/>
    <x v="14"/>
    <x v="0"/>
    <n v="27.900867000000002"/>
  </r>
  <r>
    <x v="3"/>
    <x v="6"/>
    <x v="15"/>
    <x v="0"/>
    <n v="22.538492000000002"/>
  </r>
  <r>
    <x v="3"/>
    <x v="6"/>
    <x v="16"/>
    <x v="0"/>
    <n v="28.228065000000001"/>
  </r>
  <r>
    <x v="3"/>
    <x v="6"/>
    <x v="17"/>
    <x v="0"/>
    <n v="27.909976"/>
  </r>
  <r>
    <x v="3"/>
    <x v="6"/>
    <x v="18"/>
    <x v="0"/>
    <n v="27.339261"/>
  </r>
  <r>
    <x v="3"/>
    <x v="7"/>
    <x v="19"/>
    <x v="0"/>
    <n v="31.476544000000001"/>
  </r>
  <r>
    <x v="3"/>
    <x v="7"/>
    <x v="20"/>
    <x v="0"/>
    <n v="14.446367"/>
  </r>
  <r>
    <x v="3"/>
    <x v="7"/>
    <x v="21"/>
    <x v="0"/>
    <n v="33.104630999999998"/>
  </r>
  <r>
    <x v="3"/>
    <x v="7"/>
    <x v="22"/>
    <x v="0"/>
    <n v="44.836938000000004"/>
  </r>
  <r>
    <x v="3"/>
    <x v="7"/>
    <x v="23"/>
    <x v="0"/>
    <n v="28.792231999999998"/>
  </r>
  <r>
    <x v="3"/>
    <x v="7"/>
    <x v="24"/>
    <x v="0"/>
    <n v="16.922350000000002"/>
  </r>
  <r>
    <x v="3"/>
    <x v="7"/>
    <x v="25"/>
    <x v="0"/>
    <n v="27.712745999999999"/>
  </r>
  <r>
    <x v="3"/>
    <x v="7"/>
    <x v="26"/>
    <x v="0"/>
    <n v="23.962743"/>
  </r>
  <r>
    <x v="3"/>
    <x v="7"/>
    <x v="27"/>
    <x v="0"/>
    <n v="28.32152"/>
  </r>
  <r>
    <x v="3"/>
    <x v="7"/>
    <x v="28"/>
    <x v="0"/>
    <n v="28.410594"/>
  </r>
  <r>
    <x v="3"/>
    <x v="7"/>
    <x v="29"/>
    <x v="0"/>
    <n v="24.442539"/>
  </r>
  <r>
    <x v="3"/>
    <x v="7"/>
    <x v="30"/>
    <x v="0"/>
    <n v="23.190124999999998"/>
  </r>
  <r>
    <x v="3"/>
    <x v="7"/>
    <x v="31"/>
    <x v="0"/>
    <n v="32.391826999999999"/>
  </r>
  <r>
    <x v="3"/>
    <x v="7"/>
    <x v="32"/>
    <x v="0"/>
    <n v="25.865051999999999"/>
  </r>
  <r>
    <x v="3"/>
    <x v="7"/>
    <x v="33"/>
    <x v="0"/>
    <n v="54.6965"/>
  </r>
  <r>
    <x v="3"/>
    <x v="7"/>
    <x v="34"/>
    <x v="0"/>
    <n v="26.571874000000001"/>
  </r>
  <r>
    <x v="3"/>
    <x v="7"/>
    <x v="35"/>
    <x v="0"/>
    <n v="20.759716999999998"/>
  </r>
  <r>
    <x v="3"/>
    <x v="7"/>
    <x v="36"/>
    <x v="0"/>
    <n v="10.742758"/>
  </r>
  <r>
    <x v="3"/>
    <x v="0"/>
    <x v="0"/>
    <x v="1"/>
    <n v="50.313056000000003"/>
  </r>
  <r>
    <x v="3"/>
    <x v="1"/>
    <x v="1"/>
    <x v="1"/>
    <n v="48.450417000000002"/>
  </r>
  <r>
    <x v="3"/>
    <x v="1"/>
    <x v="2"/>
    <x v="1"/>
    <n v="50.217264999999998"/>
  </r>
  <r>
    <x v="3"/>
    <x v="1"/>
    <x v="3"/>
    <x v="1"/>
    <n v="52.035291999999998"/>
  </r>
  <r>
    <x v="3"/>
    <x v="1"/>
    <x v="4"/>
    <x v="1"/>
    <n v="53.147433999999997"/>
  </r>
  <r>
    <x v="3"/>
    <x v="2"/>
    <x v="5"/>
    <x v="1"/>
    <n v="51.718229000000001"/>
  </r>
  <r>
    <x v="3"/>
    <x v="2"/>
    <x v="6"/>
    <x v="1"/>
    <n v="49.388370999999999"/>
  </r>
  <r>
    <x v="3"/>
    <x v="2"/>
    <x v="7"/>
    <x v="1"/>
    <n v="50.391451000000004"/>
  </r>
  <r>
    <x v="3"/>
    <x v="2"/>
    <x v="8"/>
    <x v="1"/>
    <n v="50.782642000000003"/>
  </r>
  <r>
    <x v="3"/>
    <x v="3"/>
    <x v="9"/>
    <x v="1"/>
    <n v="50.633771000000003"/>
  </r>
  <r>
    <x v="3"/>
    <x v="3"/>
    <x v="10"/>
    <x v="1"/>
    <n v="49.987730999999997"/>
  </r>
  <r>
    <x v="3"/>
    <x v="4"/>
    <x v="11"/>
    <x v="1"/>
    <n v="50.923006000000001"/>
  </r>
  <r>
    <x v="3"/>
    <x v="4"/>
    <x v="12"/>
    <x v="1"/>
    <n v="49.972129000000002"/>
  </r>
  <r>
    <x v="3"/>
    <x v="5"/>
    <x v="13"/>
    <x v="1"/>
    <n v="50.657755000000002"/>
  </r>
  <r>
    <x v="3"/>
    <x v="5"/>
    <x v="14"/>
    <x v="1"/>
    <n v="50.182650000000002"/>
  </r>
  <r>
    <x v="3"/>
    <x v="6"/>
    <x v="15"/>
    <x v="1"/>
    <n v="55.445385000000002"/>
  </r>
  <r>
    <x v="3"/>
    <x v="6"/>
    <x v="16"/>
    <x v="1"/>
    <n v="50.062475999999997"/>
  </r>
  <r>
    <x v="3"/>
    <x v="6"/>
    <x v="17"/>
    <x v="1"/>
    <n v="49.107438000000002"/>
  </r>
  <r>
    <x v="3"/>
    <x v="6"/>
    <x v="18"/>
    <x v="1"/>
    <n v="54.868243999999997"/>
  </r>
  <r>
    <x v="3"/>
    <x v="7"/>
    <x v="19"/>
    <x v="1"/>
    <n v="58.186275000000002"/>
  </r>
  <r>
    <x v="3"/>
    <x v="7"/>
    <x v="20"/>
    <x v="1"/>
    <n v="54.152248999999998"/>
  </r>
  <r>
    <x v="3"/>
    <x v="7"/>
    <x v="21"/>
    <x v="1"/>
    <n v="53.173242000000002"/>
  </r>
  <r>
    <x v="3"/>
    <x v="7"/>
    <x v="22"/>
    <x v="1"/>
    <n v="45.393372999999997"/>
  </r>
  <r>
    <x v="3"/>
    <x v="7"/>
    <x v="23"/>
    <x v="1"/>
    <n v="52.586258999999998"/>
  </r>
  <r>
    <x v="3"/>
    <x v="7"/>
    <x v="24"/>
    <x v="1"/>
    <n v="53.505350999999997"/>
  </r>
  <r>
    <x v="3"/>
    <x v="7"/>
    <x v="25"/>
    <x v="1"/>
    <n v="46.617032999999999"/>
  </r>
  <r>
    <x v="3"/>
    <x v="7"/>
    <x v="26"/>
    <x v="1"/>
    <n v="53.429296999999998"/>
  </r>
  <r>
    <x v="3"/>
    <x v="7"/>
    <x v="27"/>
    <x v="1"/>
    <n v="47.240492000000003"/>
  </r>
  <r>
    <x v="3"/>
    <x v="7"/>
    <x v="28"/>
    <x v="1"/>
    <n v="50.442064999999999"/>
  </r>
  <r>
    <x v="3"/>
    <x v="7"/>
    <x v="29"/>
    <x v="1"/>
    <n v="50.514580000000002"/>
  </r>
  <r>
    <x v="3"/>
    <x v="7"/>
    <x v="30"/>
    <x v="1"/>
    <n v="46.386929000000002"/>
  </r>
  <r>
    <x v="3"/>
    <x v="7"/>
    <x v="31"/>
    <x v="1"/>
    <n v="49.321429000000002"/>
  </r>
  <r>
    <x v="3"/>
    <x v="7"/>
    <x v="32"/>
    <x v="1"/>
    <n v="65.397924000000003"/>
  </r>
  <r>
    <x v="3"/>
    <x v="7"/>
    <x v="33"/>
    <x v="1"/>
    <n v="39.078423000000001"/>
  </r>
  <r>
    <x v="3"/>
    <x v="7"/>
    <x v="34"/>
    <x v="1"/>
    <n v="46.386566000000002"/>
  </r>
  <r>
    <x v="3"/>
    <x v="7"/>
    <x v="35"/>
    <x v="1"/>
    <n v="58.745583000000003"/>
  </r>
  <r>
    <x v="3"/>
    <x v="7"/>
    <x v="36"/>
    <x v="1"/>
    <n v="32.354129999999998"/>
  </r>
  <r>
    <x v="3"/>
    <x v="0"/>
    <x v="0"/>
    <x v="2"/>
    <n v="17.775445999999999"/>
  </r>
  <r>
    <x v="3"/>
    <x v="1"/>
    <x v="1"/>
    <x v="2"/>
    <n v="18.584268000000002"/>
  </r>
  <r>
    <x v="3"/>
    <x v="1"/>
    <x v="2"/>
    <x v="2"/>
    <n v="18.398520000000001"/>
  </r>
  <r>
    <x v="3"/>
    <x v="1"/>
    <x v="3"/>
    <x v="2"/>
    <n v="16.349274000000001"/>
  </r>
  <r>
    <x v="3"/>
    <x v="1"/>
    <x v="4"/>
    <x v="2"/>
    <n v="15.251499000000001"/>
  </r>
  <r>
    <x v="3"/>
    <x v="2"/>
    <x v="5"/>
    <x v="2"/>
    <n v="20.045361"/>
  </r>
  <r>
    <x v="3"/>
    <x v="2"/>
    <x v="6"/>
    <x v="2"/>
    <n v="17.599377"/>
  </r>
  <r>
    <x v="3"/>
    <x v="2"/>
    <x v="7"/>
    <x v="2"/>
    <n v="16.721705"/>
  </r>
  <r>
    <x v="3"/>
    <x v="2"/>
    <x v="8"/>
    <x v="2"/>
    <n v="17.015628"/>
  </r>
  <r>
    <x v="3"/>
    <x v="3"/>
    <x v="9"/>
    <x v="2"/>
    <n v="17.609238000000001"/>
  </r>
  <r>
    <x v="3"/>
    <x v="3"/>
    <x v="10"/>
    <x v="2"/>
    <n v="17.944044000000002"/>
  </r>
  <r>
    <x v="3"/>
    <x v="4"/>
    <x v="11"/>
    <x v="2"/>
    <n v="17.469248"/>
  </r>
  <r>
    <x v="3"/>
    <x v="4"/>
    <x v="12"/>
    <x v="2"/>
    <n v="18.015765999999999"/>
  </r>
  <r>
    <x v="3"/>
    <x v="5"/>
    <x v="13"/>
    <x v="2"/>
    <n v="17.476889"/>
  </r>
  <r>
    <x v="3"/>
    <x v="5"/>
    <x v="14"/>
    <x v="2"/>
    <n v="17.856183000000001"/>
  </r>
  <r>
    <x v="3"/>
    <x v="6"/>
    <x v="15"/>
    <x v="2"/>
    <n v="17.683814000000002"/>
  </r>
  <r>
    <x v="3"/>
    <x v="6"/>
    <x v="16"/>
    <x v="2"/>
    <n v="17.267240999999999"/>
  </r>
  <r>
    <x v="3"/>
    <x v="6"/>
    <x v="17"/>
    <x v="2"/>
    <n v="18.575896"/>
  </r>
  <r>
    <x v="3"/>
    <x v="6"/>
    <x v="18"/>
    <x v="2"/>
    <n v="13.973576"/>
  </r>
  <r>
    <x v="3"/>
    <x v="7"/>
    <x v="19"/>
    <x v="2"/>
    <n v="9.1341167999999993"/>
  </r>
  <r>
    <x v="3"/>
    <x v="7"/>
    <x v="20"/>
    <x v="2"/>
    <n v="28.287196999999999"/>
  </r>
  <r>
    <x v="3"/>
    <x v="7"/>
    <x v="21"/>
    <x v="2"/>
    <n v="10.806175"/>
  </r>
  <r>
    <x v="3"/>
    <x v="7"/>
    <x v="22"/>
    <x v="2"/>
    <n v="8.3791157999999992"/>
  </r>
  <r>
    <x v="3"/>
    <x v="7"/>
    <x v="23"/>
    <x v="2"/>
    <n v="16.704449"/>
  </r>
  <r>
    <x v="3"/>
    <x v="7"/>
    <x v="24"/>
    <x v="2"/>
    <n v="26.243099000000001"/>
  </r>
  <r>
    <x v="3"/>
    <x v="7"/>
    <x v="25"/>
    <x v="2"/>
    <n v="20.288159"/>
  </r>
  <r>
    <x v="3"/>
    <x v="7"/>
    <x v="26"/>
    <x v="2"/>
    <n v="20.745131000000001"/>
  </r>
  <r>
    <x v="3"/>
    <x v="7"/>
    <x v="27"/>
    <x v="2"/>
    <n v="16.112587999999999"/>
  </r>
  <r>
    <x v="3"/>
    <x v="7"/>
    <x v="28"/>
    <x v="2"/>
    <n v="17.468364999999999"/>
  </r>
  <r>
    <x v="3"/>
    <x v="7"/>
    <x v="29"/>
    <x v="2"/>
    <n v="20.154374000000001"/>
  </r>
  <r>
    <x v="3"/>
    <x v="7"/>
    <x v="30"/>
    <x v="2"/>
    <n v="24.637145"/>
  </r>
  <r>
    <x v="3"/>
    <x v="7"/>
    <x v="31"/>
    <x v="2"/>
    <n v="11.647138"/>
  </r>
  <r>
    <x v="3"/>
    <x v="7"/>
    <x v="32"/>
    <x v="2"/>
    <n v="8.0449827000000003"/>
  </r>
  <r>
    <x v="3"/>
    <x v="7"/>
    <x v="33"/>
    <x v="2"/>
    <n v="5.5161718999999998"/>
  </r>
  <r>
    <x v="3"/>
    <x v="7"/>
    <x v="34"/>
    <x v="2"/>
    <n v="20.592894000000001"/>
  </r>
  <r>
    <x v="3"/>
    <x v="7"/>
    <x v="35"/>
    <x v="2"/>
    <n v="19.34629"/>
  </r>
  <r>
    <x v="3"/>
    <x v="7"/>
    <x v="36"/>
    <x v="2"/>
    <n v="38.350282"/>
  </r>
  <r>
    <x v="3"/>
    <x v="0"/>
    <x v="0"/>
    <x v="3"/>
    <n v="4.2245730000000004"/>
  </r>
  <r>
    <x v="3"/>
    <x v="1"/>
    <x v="1"/>
    <x v="3"/>
    <n v="5.1522448000000001"/>
  </r>
  <r>
    <x v="3"/>
    <x v="1"/>
    <x v="2"/>
    <x v="3"/>
    <n v="4.4234955999999999"/>
  </r>
  <r>
    <x v="3"/>
    <x v="1"/>
    <x v="3"/>
    <x v="3"/>
    <n v="2.9635598000000001"/>
  </r>
  <r>
    <x v="3"/>
    <x v="1"/>
    <x v="4"/>
    <x v="3"/>
    <n v="2.964388"/>
  </r>
  <r>
    <x v="3"/>
    <x v="2"/>
    <x v="5"/>
    <x v="3"/>
    <n v="4.4405720999999998"/>
  </r>
  <r>
    <x v="3"/>
    <x v="2"/>
    <x v="6"/>
    <x v="3"/>
    <n v="4.3858398000000003"/>
  </r>
  <r>
    <x v="3"/>
    <x v="2"/>
    <x v="7"/>
    <x v="3"/>
    <n v="3.9301721999999999"/>
  </r>
  <r>
    <x v="3"/>
    <x v="2"/>
    <x v="8"/>
    <x v="3"/>
    <n v="4.0690451000000003"/>
  </r>
  <r>
    <x v="3"/>
    <x v="3"/>
    <x v="9"/>
    <x v="3"/>
    <n v="4.0243530999999999"/>
  </r>
  <r>
    <x v="3"/>
    <x v="3"/>
    <x v="10"/>
    <x v="3"/>
    <n v="4.4276713000000001"/>
  </r>
  <r>
    <x v="3"/>
    <x v="4"/>
    <x v="11"/>
    <x v="3"/>
    <n v="4.6860350999999998"/>
  </r>
  <r>
    <x v="3"/>
    <x v="4"/>
    <x v="12"/>
    <x v="3"/>
    <n v="3.8561812"/>
  </r>
  <r>
    <x v="3"/>
    <x v="5"/>
    <x v="13"/>
    <x v="3"/>
    <n v="4.4939948999999997"/>
  </r>
  <r>
    <x v="3"/>
    <x v="5"/>
    <x v="14"/>
    <x v="3"/>
    <n v="4.0603005000000003"/>
  </r>
  <r>
    <x v="3"/>
    <x v="6"/>
    <x v="15"/>
    <x v="3"/>
    <n v="4.3323093000000004"/>
  </r>
  <r>
    <x v="3"/>
    <x v="6"/>
    <x v="16"/>
    <x v="3"/>
    <n v="4.4422185000000001"/>
  </r>
  <r>
    <x v="3"/>
    <x v="6"/>
    <x v="17"/>
    <x v="3"/>
    <n v="4.4066900000000002"/>
  </r>
  <r>
    <x v="3"/>
    <x v="6"/>
    <x v="18"/>
    <x v="3"/>
    <n v="3.8189183"/>
  </r>
  <r>
    <x v="3"/>
    <x v="7"/>
    <x v="19"/>
    <x v="3"/>
    <n v="1.2030642"/>
  </r>
  <r>
    <x v="3"/>
    <x v="7"/>
    <x v="20"/>
    <x v="3"/>
    <n v="3.1141869"/>
  </r>
  <r>
    <x v="3"/>
    <x v="7"/>
    <x v="21"/>
    <x v="3"/>
    <n v="2.9159519999999999"/>
  </r>
  <r>
    <x v="3"/>
    <x v="7"/>
    <x v="22"/>
    <x v="3"/>
    <n v="1.3905733"/>
  </r>
  <r>
    <x v="3"/>
    <x v="7"/>
    <x v="23"/>
    <x v="3"/>
    <n v="1.9170601"/>
  </r>
  <r>
    <x v="3"/>
    <x v="7"/>
    <x v="24"/>
    <x v="3"/>
    <n v="3.329199"/>
  </r>
  <r>
    <x v="3"/>
    <x v="7"/>
    <x v="25"/>
    <x v="3"/>
    <n v="5.3820620999999997"/>
  </r>
  <r>
    <x v="3"/>
    <x v="7"/>
    <x v="26"/>
    <x v="3"/>
    <n v="1.8628281"/>
  </r>
  <r>
    <x v="3"/>
    <x v="7"/>
    <x v="27"/>
    <x v="3"/>
    <n v="8.3254003999999995"/>
  </r>
  <r>
    <x v="3"/>
    <x v="7"/>
    <x v="28"/>
    <x v="3"/>
    <n v="3.6789765999999999"/>
  </r>
  <r>
    <x v="3"/>
    <x v="7"/>
    <x v="29"/>
    <x v="3"/>
    <n v="4.8885076999999999"/>
  </r>
  <r>
    <x v="3"/>
    <x v="7"/>
    <x v="30"/>
    <x v="3"/>
    <n v="5.7858003"/>
  </r>
  <r>
    <x v="3"/>
    <x v="7"/>
    <x v="31"/>
    <x v="3"/>
    <n v="6.6396059000000003"/>
  </r>
  <r>
    <x v="3"/>
    <x v="7"/>
    <x v="32"/>
    <x v="3"/>
    <n v="0.69204151999999997"/>
  </r>
  <r>
    <x v="3"/>
    <x v="7"/>
    <x v="33"/>
    <x v="3"/>
    <n v="0.70890562999999995"/>
  </r>
  <r>
    <x v="3"/>
    <x v="7"/>
    <x v="34"/>
    <x v="3"/>
    <n v="6.4486659"/>
  </r>
  <r>
    <x v="3"/>
    <x v="7"/>
    <x v="35"/>
    <x v="3"/>
    <n v="1.1484099000000001"/>
  </r>
  <r>
    <x v="3"/>
    <x v="7"/>
    <x v="36"/>
    <x v="3"/>
    <n v="18.55283"/>
  </r>
  <r>
    <x v="4"/>
    <x v="0"/>
    <x v="0"/>
    <x v="0"/>
    <n v="24.525943999999999"/>
  </r>
  <r>
    <x v="4"/>
    <x v="1"/>
    <x v="1"/>
    <x v="0"/>
    <n v="25.073560000000001"/>
  </r>
  <r>
    <x v="4"/>
    <x v="1"/>
    <x v="2"/>
    <x v="0"/>
    <n v="24.321455"/>
  </r>
  <r>
    <x v="4"/>
    <x v="1"/>
    <x v="3"/>
    <x v="0"/>
    <n v="23.209347999999999"/>
  </r>
  <r>
    <x v="4"/>
    <x v="1"/>
    <x v="4"/>
    <x v="0"/>
    <n v="26.991612"/>
  </r>
  <r>
    <x v="4"/>
    <x v="2"/>
    <x v="5"/>
    <x v="0"/>
    <n v="21.978387999999999"/>
  </r>
  <r>
    <x v="4"/>
    <x v="2"/>
    <x v="6"/>
    <x v="0"/>
    <n v="24.901426000000001"/>
  </r>
  <r>
    <x v="4"/>
    <x v="2"/>
    <x v="7"/>
    <x v="0"/>
    <n v="25.381872000000001"/>
  </r>
  <r>
    <x v="4"/>
    <x v="2"/>
    <x v="8"/>
    <x v="0"/>
    <n v="25.52505"/>
  </r>
  <r>
    <x v="4"/>
    <x v="3"/>
    <x v="9"/>
    <x v="0"/>
    <n v="24.566330000000001"/>
  </r>
  <r>
    <x v="4"/>
    <x v="3"/>
    <x v="10"/>
    <x v="0"/>
    <n v="24.483930999999998"/>
  </r>
  <r>
    <x v="4"/>
    <x v="4"/>
    <x v="11"/>
    <x v="0"/>
    <n v="23.775932999999998"/>
  </r>
  <r>
    <x v="4"/>
    <x v="4"/>
    <x v="12"/>
    <x v="0"/>
    <n v="25.099564000000001"/>
  </r>
  <r>
    <x v="4"/>
    <x v="5"/>
    <x v="13"/>
    <x v="0"/>
    <n v="24.813907"/>
  </r>
  <r>
    <x v="4"/>
    <x v="5"/>
    <x v="14"/>
    <x v="0"/>
    <n v="24.452241999999998"/>
  </r>
  <r>
    <x v="4"/>
    <x v="6"/>
    <x v="15"/>
    <x v="0"/>
    <n v="22.648374"/>
  </r>
  <r>
    <x v="4"/>
    <x v="6"/>
    <x v="16"/>
    <x v="0"/>
    <n v="23.848253"/>
  </r>
  <r>
    <x v="4"/>
    <x v="6"/>
    <x v="17"/>
    <x v="0"/>
    <n v="24.945753"/>
  </r>
  <r>
    <x v="4"/>
    <x v="6"/>
    <x v="18"/>
    <x v="0"/>
    <n v="25.330369000000001"/>
  </r>
  <r>
    <x v="4"/>
    <x v="7"/>
    <x v="19"/>
    <x v="0"/>
    <n v="44.270187"/>
  </r>
  <r>
    <x v="4"/>
    <x v="7"/>
    <x v="20"/>
    <x v="0"/>
    <n v="14.814814999999999"/>
  </r>
  <r>
    <x v="4"/>
    <x v="7"/>
    <x v="21"/>
    <x v="0"/>
    <n v="24.978687000000001"/>
  </r>
  <r>
    <x v="4"/>
    <x v="7"/>
    <x v="22"/>
    <x v="0"/>
    <n v="27.686098000000001"/>
  </r>
  <r>
    <x v="4"/>
    <x v="7"/>
    <x v="23"/>
    <x v="0"/>
    <n v="27.576450999999999"/>
  </r>
  <r>
    <x v="4"/>
    <x v="7"/>
    <x v="24"/>
    <x v="0"/>
    <n v="17.230443999999999"/>
  </r>
  <r>
    <x v="4"/>
    <x v="7"/>
    <x v="25"/>
    <x v="0"/>
    <n v="22.723790000000001"/>
  </r>
  <r>
    <x v="4"/>
    <x v="7"/>
    <x v="26"/>
    <x v="0"/>
    <n v="18.460191999999999"/>
  </r>
  <r>
    <x v="4"/>
    <x v="7"/>
    <x v="27"/>
    <x v="0"/>
    <n v="27.679262000000001"/>
  </r>
  <r>
    <x v="4"/>
    <x v="7"/>
    <x v="28"/>
    <x v="0"/>
    <n v="29.239231"/>
  </r>
  <r>
    <x v="4"/>
    <x v="7"/>
    <x v="29"/>
    <x v="0"/>
    <n v="32.130583999999999"/>
  </r>
  <r>
    <x v="4"/>
    <x v="7"/>
    <x v="30"/>
    <x v="0"/>
    <n v="25.752825999999999"/>
  </r>
  <r>
    <x v="4"/>
    <x v="7"/>
    <x v="31"/>
    <x v="0"/>
    <n v="18.124341000000001"/>
  </r>
  <r>
    <x v="4"/>
    <x v="7"/>
    <x v="32"/>
    <x v="0"/>
    <n v="21.327434"/>
  </r>
  <r>
    <x v="4"/>
    <x v="7"/>
    <x v="33"/>
    <x v="0"/>
    <n v="30.227519000000001"/>
  </r>
  <r>
    <x v="4"/>
    <x v="7"/>
    <x v="34"/>
    <x v="0"/>
    <n v="25.865210000000001"/>
  </r>
  <r>
    <x v="4"/>
    <x v="7"/>
    <x v="35"/>
    <x v="0"/>
    <n v="9.5067264999999992"/>
  </r>
  <r>
    <x v="4"/>
    <x v="7"/>
    <x v="36"/>
    <x v="0"/>
    <n v="22.067685999999998"/>
  </r>
  <r>
    <x v="4"/>
    <x v="0"/>
    <x v="0"/>
    <x v="1"/>
    <n v="53.515881999999998"/>
  </r>
  <r>
    <x v="4"/>
    <x v="1"/>
    <x v="1"/>
    <x v="1"/>
    <n v="51.700451999999999"/>
  </r>
  <r>
    <x v="4"/>
    <x v="1"/>
    <x v="2"/>
    <x v="1"/>
    <n v="53.729916000000003"/>
  </r>
  <r>
    <x v="4"/>
    <x v="1"/>
    <x v="3"/>
    <x v="1"/>
    <n v="54.901620999999999"/>
  </r>
  <r>
    <x v="4"/>
    <x v="1"/>
    <x v="4"/>
    <x v="1"/>
    <n v="55.554741999999997"/>
  </r>
  <r>
    <x v="4"/>
    <x v="2"/>
    <x v="5"/>
    <x v="1"/>
    <n v="53.638646999999999"/>
  </r>
  <r>
    <x v="4"/>
    <x v="2"/>
    <x v="6"/>
    <x v="1"/>
    <n v="53.296545999999999"/>
  </r>
  <r>
    <x v="4"/>
    <x v="2"/>
    <x v="7"/>
    <x v="1"/>
    <n v="53.731785000000002"/>
  </r>
  <r>
    <x v="4"/>
    <x v="2"/>
    <x v="8"/>
    <x v="1"/>
    <n v="53.403160999999997"/>
  </r>
  <r>
    <x v="4"/>
    <x v="3"/>
    <x v="9"/>
    <x v="1"/>
    <n v="54.261716"/>
  </r>
  <r>
    <x v="4"/>
    <x v="3"/>
    <x v="10"/>
    <x v="1"/>
    <n v="52.740009000000001"/>
  </r>
  <r>
    <x v="4"/>
    <x v="4"/>
    <x v="11"/>
    <x v="1"/>
    <n v="53.283005000000003"/>
  </r>
  <r>
    <x v="4"/>
    <x v="4"/>
    <x v="12"/>
    <x v="1"/>
    <n v="53.699505000000002"/>
  </r>
  <r>
    <x v="4"/>
    <x v="5"/>
    <x v="13"/>
    <x v="1"/>
    <n v="53.316837"/>
  </r>
  <r>
    <x v="4"/>
    <x v="5"/>
    <x v="14"/>
    <x v="1"/>
    <n v="53.593988000000003"/>
  </r>
  <r>
    <x v="4"/>
    <x v="6"/>
    <x v="15"/>
    <x v="1"/>
    <n v="47.400199000000001"/>
  </r>
  <r>
    <x v="4"/>
    <x v="6"/>
    <x v="16"/>
    <x v="1"/>
    <n v="53.594268"/>
  </r>
  <r>
    <x v="4"/>
    <x v="6"/>
    <x v="17"/>
    <x v="1"/>
    <n v="53.221519000000001"/>
  </r>
  <r>
    <x v="4"/>
    <x v="6"/>
    <x v="18"/>
    <x v="1"/>
    <n v="54.002622000000002"/>
  </r>
  <r>
    <x v="4"/>
    <x v="7"/>
    <x v="19"/>
    <x v="1"/>
    <n v="51.276045000000003"/>
  </r>
  <r>
    <x v="4"/>
    <x v="7"/>
    <x v="20"/>
    <x v="1"/>
    <n v="48.853616000000002"/>
  </r>
  <r>
    <x v="4"/>
    <x v="7"/>
    <x v="21"/>
    <x v="1"/>
    <n v="58.397272000000001"/>
  </r>
  <r>
    <x v="4"/>
    <x v="7"/>
    <x v="22"/>
    <x v="1"/>
    <n v="57.388826000000002"/>
  </r>
  <r>
    <x v="4"/>
    <x v="7"/>
    <x v="23"/>
    <x v="1"/>
    <n v="53.262025999999999"/>
  </r>
  <r>
    <x v="4"/>
    <x v="7"/>
    <x v="24"/>
    <x v="1"/>
    <n v="52.325581"/>
  </r>
  <r>
    <x v="4"/>
    <x v="7"/>
    <x v="25"/>
    <x v="1"/>
    <n v="48.830337999999998"/>
  </r>
  <r>
    <x v="4"/>
    <x v="7"/>
    <x v="26"/>
    <x v="1"/>
    <n v="52.580927000000003"/>
  </r>
  <r>
    <x v="4"/>
    <x v="7"/>
    <x v="27"/>
    <x v="1"/>
    <n v="57.538012000000002"/>
  </r>
  <r>
    <x v="4"/>
    <x v="7"/>
    <x v="28"/>
    <x v="1"/>
    <n v="50.151586000000002"/>
  </r>
  <r>
    <x v="4"/>
    <x v="7"/>
    <x v="29"/>
    <x v="1"/>
    <n v="52.233677"/>
  </r>
  <r>
    <x v="4"/>
    <x v="7"/>
    <x v="30"/>
    <x v="1"/>
    <n v="54.959077999999998"/>
  </r>
  <r>
    <x v="4"/>
    <x v="7"/>
    <x v="31"/>
    <x v="1"/>
    <n v="54.899895000000001"/>
  </r>
  <r>
    <x v="4"/>
    <x v="7"/>
    <x v="32"/>
    <x v="1"/>
    <n v="67.522124000000005"/>
  </r>
  <r>
    <x v="4"/>
    <x v="7"/>
    <x v="33"/>
    <x v="1"/>
    <n v="52.416035000000001"/>
  </r>
  <r>
    <x v="4"/>
    <x v="7"/>
    <x v="34"/>
    <x v="1"/>
    <n v="48.043368999999998"/>
  </r>
  <r>
    <x v="4"/>
    <x v="7"/>
    <x v="35"/>
    <x v="1"/>
    <n v="56.681614000000003"/>
  </r>
  <r>
    <x v="4"/>
    <x v="7"/>
    <x v="36"/>
    <x v="1"/>
    <n v="44.297832"/>
  </r>
  <r>
    <x v="4"/>
    <x v="0"/>
    <x v="0"/>
    <x v="2"/>
    <n v="19.426942"/>
  </r>
  <r>
    <x v="4"/>
    <x v="1"/>
    <x v="1"/>
    <x v="2"/>
    <n v="20.237245999999999"/>
  </r>
  <r>
    <x v="4"/>
    <x v="1"/>
    <x v="2"/>
    <x v="2"/>
    <n v="19.528189000000001"/>
  </r>
  <r>
    <x v="4"/>
    <x v="1"/>
    <x v="3"/>
    <x v="2"/>
    <n v="19.777191999999999"/>
  </r>
  <r>
    <x v="4"/>
    <x v="1"/>
    <x v="4"/>
    <x v="2"/>
    <n v="14.940175999999999"/>
  </r>
  <r>
    <x v="4"/>
    <x v="2"/>
    <x v="5"/>
    <x v="2"/>
    <n v="21.721824999999999"/>
  </r>
  <r>
    <x v="4"/>
    <x v="2"/>
    <x v="6"/>
    <x v="2"/>
    <n v="19.314782000000001"/>
  </r>
  <r>
    <x v="4"/>
    <x v="2"/>
    <x v="7"/>
    <x v="2"/>
    <n v="18.278544"/>
  </r>
  <r>
    <x v="4"/>
    <x v="2"/>
    <x v="8"/>
    <x v="2"/>
    <n v="18.909246"/>
  </r>
  <r>
    <x v="4"/>
    <x v="3"/>
    <x v="9"/>
    <x v="2"/>
    <n v="18.725563999999999"/>
  </r>
  <r>
    <x v="4"/>
    <x v="3"/>
    <x v="10"/>
    <x v="2"/>
    <n v="20.156569000000001"/>
  </r>
  <r>
    <x v="4"/>
    <x v="4"/>
    <x v="11"/>
    <x v="2"/>
    <n v="20.169316999999999"/>
  </r>
  <r>
    <x v="4"/>
    <x v="4"/>
    <x v="12"/>
    <x v="2"/>
    <n v="18.846046999999999"/>
  </r>
  <r>
    <x v="4"/>
    <x v="5"/>
    <x v="13"/>
    <x v="2"/>
    <n v="19.238351999999999"/>
  </r>
  <r>
    <x v="4"/>
    <x v="5"/>
    <x v="14"/>
    <x v="2"/>
    <n v="19.483049999999999"/>
  </r>
  <r>
    <x v="4"/>
    <x v="6"/>
    <x v="15"/>
    <x v="2"/>
    <n v="26.783662"/>
  </r>
  <r>
    <x v="4"/>
    <x v="6"/>
    <x v="16"/>
    <x v="2"/>
    <n v="19.945402000000001"/>
  </r>
  <r>
    <x v="4"/>
    <x v="6"/>
    <x v="17"/>
    <x v="2"/>
    <n v="19.317287"/>
  </r>
  <r>
    <x v="4"/>
    <x v="6"/>
    <x v="18"/>
    <x v="2"/>
    <n v="17.391594000000001"/>
  </r>
  <r>
    <x v="4"/>
    <x v="7"/>
    <x v="19"/>
    <x v="2"/>
    <n v="4.0825586999999999"/>
  </r>
  <r>
    <x v="4"/>
    <x v="7"/>
    <x v="20"/>
    <x v="2"/>
    <n v="33.950617000000001"/>
  </r>
  <r>
    <x v="4"/>
    <x v="7"/>
    <x v="21"/>
    <x v="2"/>
    <n v="15.345269"/>
  </r>
  <r>
    <x v="4"/>
    <x v="7"/>
    <x v="22"/>
    <x v="2"/>
    <n v="13.027215999999999"/>
  </r>
  <r>
    <x v="4"/>
    <x v="7"/>
    <x v="23"/>
    <x v="2"/>
    <n v="16.747375000000002"/>
  </r>
  <r>
    <x v="4"/>
    <x v="7"/>
    <x v="24"/>
    <x v="2"/>
    <n v="25.898520000000001"/>
  </r>
  <r>
    <x v="4"/>
    <x v="7"/>
    <x v="25"/>
    <x v="2"/>
    <n v="22.886935000000001"/>
  </r>
  <r>
    <x v="4"/>
    <x v="7"/>
    <x v="26"/>
    <x v="2"/>
    <n v="26.421697000000002"/>
  </r>
  <r>
    <x v="4"/>
    <x v="7"/>
    <x v="27"/>
    <x v="2"/>
    <n v="12.874696"/>
  </r>
  <r>
    <x v="4"/>
    <x v="7"/>
    <x v="28"/>
    <x v="2"/>
    <n v="16.962816"/>
  </r>
  <r>
    <x v="4"/>
    <x v="7"/>
    <x v="29"/>
    <x v="2"/>
    <n v="13.402062000000001"/>
  </r>
  <r>
    <x v="4"/>
    <x v="7"/>
    <x v="30"/>
    <x v="2"/>
    <n v="16.544611"/>
  </r>
  <r>
    <x v="4"/>
    <x v="7"/>
    <x v="31"/>
    <x v="2"/>
    <n v="22.866174999999998"/>
  </r>
  <r>
    <x v="4"/>
    <x v="7"/>
    <x v="32"/>
    <x v="2"/>
    <n v="10.619469"/>
  </r>
  <r>
    <x v="4"/>
    <x v="7"/>
    <x v="33"/>
    <x v="2"/>
    <n v="15.297941"/>
  </r>
  <r>
    <x v="4"/>
    <x v="7"/>
    <x v="34"/>
    <x v="2"/>
    <n v="22.533109"/>
  </r>
  <r>
    <x v="4"/>
    <x v="7"/>
    <x v="35"/>
    <x v="2"/>
    <n v="32.197308999999997"/>
  </r>
  <r>
    <x v="4"/>
    <x v="7"/>
    <x v="36"/>
    <x v="2"/>
    <n v="29.966975000000001"/>
  </r>
  <r>
    <x v="4"/>
    <x v="0"/>
    <x v="0"/>
    <x v="3"/>
    <n v="2.5312321999999998"/>
  </r>
  <r>
    <x v="4"/>
    <x v="1"/>
    <x v="1"/>
    <x v="3"/>
    <n v="2.9887429000000001"/>
  </r>
  <r>
    <x v="4"/>
    <x v="1"/>
    <x v="2"/>
    <x v="3"/>
    <n v="2.4204403999999999"/>
  </r>
  <r>
    <x v="4"/>
    <x v="1"/>
    <x v="3"/>
    <x v="3"/>
    <n v="2.1118389"/>
  </r>
  <r>
    <x v="4"/>
    <x v="1"/>
    <x v="4"/>
    <x v="3"/>
    <n v="2.5134699"/>
  </r>
  <r>
    <x v="4"/>
    <x v="2"/>
    <x v="5"/>
    <x v="3"/>
    <n v="2.6611405000000001"/>
  </r>
  <r>
    <x v="4"/>
    <x v="2"/>
    <x v="6"/>
    <x v="3"/>
    <n v="2.4872459999999998"/>
  </r>
  <r>
    <x v="4"/>
    <x v="2"/>
    <x v="7"/>
    <x v="3"/>
    <n v="2.6077997000000002"/>
  </r>
  <r>
    <x v="4"/>
    <x v="2"/>
    <x v="8"/>
    <x v="3"/>
    <n v="2.1625434000000001"/>
  </r>
  <r>
    <x v="4"/>
    <x v="3"/>
    <x v="9"/>
    <x v="3"/>
    <n v="2.4463906"/>
  </r>
  <r>
    <x v="4"/>
    <x v="3"/>
    <x v="10"/>
    <x v="3"/>
    <n v="2.6194907999999999"/>
  </r>
  <r>
    <x v="4"/>
    <x v="4"/>
    <x v="11"/>
    <x v="3"/>
    <n v="2.7717448999999998"/>
  </r>
  <r>
    <x v="4"/>
    <x v="4"/>
    <x v="12"/>
    <x v="3"/>
    <n v="2.3548841"/>
  </r>
  <r>
    <x v="4"/>
    <x v="5"/>
    <x v="13"/>
    <x v="3"/>
    <n v="2.6309038999999999"/>
  </r>
  <r>
    <x v="4"/>
    <x v="5"/>
    <x v="14"/>
    <x v="3"/>
    <n v="2.4707197999999999"/>
  </r>
  <r>
    <x v="4"/>
    <x v="6"/>
    <x v="15"/>
    <x v="3"/>
    <n v="3.1677647000000002"/>
  </r>
  <r>
    <x v="4"/>
    <x v="6"/>
    <x v="16"/>
    <x v="3"/>
    <n v="2.6120768000000001"/>
  </r>
  <r>
    <x v="4"/>
    <x v="6"/>
    <x v="17"/>
    <x v="3"/>
    <n v="2.5154413"/>
  </r>
  <r>
    <x v="4"/>
    <x v="6"/>
    <x v="18"/>
    <x v="3"/>
    <n v="3.2754154999999998"/>
  </r>
  <r>
    <x v="4"/>
    <x v="7"/>
    <x v="19"/>
    <x v="3"/>
    <n v="0.37120945"/>
  </r>
  <r>
    <x v="4"/>
    <x v="7"/>
    <x v="20"/>
    <x v="3"/>
    <n v="2.3809524"/>
  </r>
  <r>
    <x v="4"/>
    <x v="7"/>
    <x v="21"/>
    <x v="3"/>
    <n v="1.2787724"/>
  </r>
  <r>
    <x v="4"/>
    <x v="7"/>
    <x v="22"/>
    <x v="3"/>
    <n v="1.8978605"/>
  </r>
  <r>
    <x v="4"/>
    <x v="7"/>
    <x v="23"/>
    <x v="3"/>
    <n v="2.4141479000000001"/>
  </r>
  <r>
    <x v="4"/>
    <x v="7"/>
    <x v="24"/>
    <x v="3"/>
    <n v="4.5454545"/>
  </r>
  <r>
    <x v="4"/>
    <x v="7"/>
    <x v="25"/>
    <x v="3"/>
    <n v="5.5589367000000003"/>
  </r>
  <r>
    <x v="4"/>
    <x v="7"/>
    <x v="26"/>
    <x v="3"/>
    <n v="2.5371828999999999"/>
  </r>
  <r>
    <x v="4"/>
    <x v="7"/>
    <x v="27"/>
    <x v="3"/>
    <n v="1.9080294"/>
  </r>
  <r>
    <x v="4"/>
    <x v="7"/>
    <x v="28"/>
    <x v="3"/>
    <n v="3.6463671999999998"/>
  </r>
  <r>
    <x v="4"/>
    <x v="7"/>
    <x v="29"/>
    <x v="3"/>
    <n v="2.2336770000000001"/>
  </r>
  <r>
    <x v="4"/>
    <x v="7"/>
    <x v="30"/>
    <x v="3"/>
    <n v="2.7434858000000002"/>
  </r>
  <r>
    <x v="4"/>
    <x v="7"/>
    <x v="31"/>
    <x v="3"/>
    <n v="4.1095889999999997"/>
  </r>
  <r>
    <x v="4"/>
    <x v="7"/>
    <x v="32"/>
    <x v="3"/>
    <n v="0.53097344999999996"/>
  </r>
  <r>
    <x v="4"/>
    <x v="7"/>
    <x v="33"/>
    <x v="3"/>
    <n v="2.0585049"/>
  </r>
  <r>
    <x v="4"/>
    <x v="7"/>
    <x v="34"/>
    <x v="3"/>
    <n v="3.5583122"/>
  </r>
  <r>
    <x v="4"/>
    <x v="7"/>
    <x v="35"/>
    <x v="3"/>
    <n v="1.6143498000000001"/>
  </r>
  <r>
    <x v="4"/>
    <x v="7"/>
    <x v="36"/>
    <x v="3"/>
    <n v="3.6675065999999998"/>
  </r>
  <r>
    <x v="5"/>
    <x v="0"/>
    <x v="0"/>
    <x v="0"/>
    <n v="24.852412999999999"/>
  </r>
  <r>
    <x v="5"/>
    <x v="1"/>
    <x v="1"/>
    <x v="0"/>
    <n v="26.53125"/>
  </r>
  <r>
    <x v="5"/>
    <x v="1"/>
    <x v="2"/>
    <x v="0"/>
    <n v="24.332843"/>
  </r>
  <r>
    <x v="5"/>
    <x v="1"/>
    <x v="3"/>
    <x v="0"/>
    <n v="23.684068"/>
  </r>
  <r>
    <x v="5"/>
    <x v="1"/>
    <x v="4"/>
    <x v="0"/>
    <n v="25.326065"/>
  </r>
  <r>
    <x v="5"/>
    <x v="2"/>
    <x v="5"/>
    <x v="0"/>
    <n v="22.252628000000001"/>
  </r>
  <r>
    <x v="5"/>
    <x v="2"/>
    <x v="6"/>
    <x v="0"/>
    <n v="25.363804999999999"/>
  </r>
  <r>
    <x v="5"/>
    <x v="2"/>
    <x v="7"/>
    <x v="0"/>
    <n v="25.033086000000001"/>
  </r>
  <r>
    <x v="5"/>
    <x v="2"/>
    <x v="8"/>
    <x v="0"/>
    <n v="27.858585000000001"/>
  </r>
  <r>
    <x v="5"/>
    <x v="3"/>
    <x v="9"/>
    <x v="0"/>
    <n v="25.094601999999998"/>
  </r>
  <r>
    <x v="5"/>
    <x v="3"/>
    <x v="10"/>
    <x v="0"/>
    <n v="24.601589000000001"/>
  </r>
  <r>
    <x v="5"/>
    <x v="4"/>
    <x v="11"/>
    <x v="0"/>
    <n v="24.785485999999999"/>
  </r>
  <r>
    <x v="5"/>
    <x v="4"/>
    <x v="12"/>
    <x v="0"/>
    <n v="24.914384999999999"/>
  </r>
  <r>
    <x v="5"/>
    <x v="5"/>
    <x v="13"/>
    <x v="0"/>
    <n v="24.253374000000001"/>
  </r>
  <r>
    <x v="5"/>
    <x v="5"/>
    <x v="14"/>
    <x v="0"/>
    <n v="25.100148000000001"/>
  </r>
  <r>
    <x v="5"/>
    <x v="6"/>
    <x v="15"/>
    <x v="0"/>
    <n v="18.391611999999999"/>
  </r>
  <r>
    <x v="5"/>
    <x v="6"/>
    <x v="16"/>
    <x v="0"/>
    <n v="24.606069000000002"/>
  </r>
  <r>
    <x v="5"/>
    <x v="6"/>
    <x v="17"/>
    <x v="0"/>
    <n v="24.141307999999999"/>
  </r>
  <r>
    <x v="5"/>
    <x v="6"/>
    <x v="18"/>
    <x v="0"/>
    <n v="30.548157"/>
  </r>
  <r>
    <x v="5"/>
    <x v="7"/>
    <x v="19"/>
    <x v="0"/>
    <n v="33.976940999999997"/>
  </r>
  <r>
    <x v="5"/>
    <x v="7"/>
    <x v="20"/>
    <x v="0"/>
    <n v="16.530427"/>
  </r>
  <r>
    <x v="5"/>
    <x v="7"/>
    <x v="21"/>
    <x v="0"/>
    <n v="16.695651999999999"/>
  </r>
  <r>
    <x v="5"/>
    <x v="7"/>
    <x v="22"/>
    <x v="0"/>
    <n v="37.268841000000002"/>
  </r>
  <r>
    <x v="5"/>
    <x v="7"/>
    <x v="23"/>
    <x v="0"/>
    <n v="32.236657000000001"/>
  </r>
  <r>
    <x v="5"/>
    <x v="7"/>
    <x v="24"/>
    <x v="0"/>
    <n v="19.875775999999998"/>
  </r>
  <r>
    <x v="5"/>
    <x v="7"/>
    <x v="25"/>
    <x v="0"/>
    <n v="42.317839999999997"/>
  </r>
  <r>
    <x v="5"/>
    <x v="7"/>
    <x v="26"/>
    <x v="0"/>
    <n v="17.364747000000001"/>
  </r>
  <r>
    <x v="5"/>
    <x v="7"/>
    <x v="27"/>
    <x v="0"/>
    <n v="25.427827000000001"/>
  </r>
  <r>
    <x v="5"/>
    <x v="7"/>
    <x v="28"/>
    <x v="0"/>
    <n v="35.518394999999998"/>
  </r>
  <r>
    <x v="5"/>
    <x v="7"/>
    <x v="29"/>
    <x v="0"/>
    <n v="30.703986"/>
  </r>
  <r>
    <x v="5"/>
    <x v="7"/>
    <x v="30"/>
    <x v="0"/>
    <n v="14.463369999999999"/>
  </r>
  <r>
    <x v="5"/>
    <x v="7"/>
    <x v="31"/>
    <x v="0"/>
    <n v="18.314256"/>
  </r>
  <r>
    <x v="5"/>
    <x v="7"/>
    <x v="32"/>
    <x v="0"/>
    <n v="19.982158999999999"/>
  </r>
  <r>
    <x v="5"/>
    <x v="7"/>
    <x v="33"/>
    <x v="0"/>
    <n v="31.291173000000001"/>
  </r>
  <r>
    <x v="5"/>
    <x v="7"/>
    <x v="34"/>
    <x v="0"/>
    <n v="20.487969"/>
  </r>
  <r>
    <x v="5"/>
    <x v="7"/>
    <x v="35"/>
    <x v="0"/>
    <n v="13.297872"/>
  </r>
  <r>
    <x v="5"/>
    <x v="7"/>
    <x v="36"/>
    <x v="0"/>
    <n v="19.144452999999999"/>
  </r>
  <r>
    <x v="5"/>
    <x v="0"/>
    <x v="0"/>
    <x v="1"/>
    <n v="53.183017999999997"/>
  </r>
  <r>
    <x v="5"/>
    <x v="1"/>
    <x v="1"/>
    <x v="1"/>
    <n v="52.812085000000003"/>
  </r>
  <r>
    <x v="5"/>
    <x v="1"/>
    <x v="2"/>
    <x v="1"/>
    <n v="52.849860999999997"/>
  </r>
  <r>
    <x v="5"/>
    <x v="1"/>
    <x v="3"/>
    <x v="1"/>
    <n v="53.494746999999997"/>
  </r>
  <r>
    <x v="5"/>
    <x v="1"/>
    <x v="4"/>
    <x v="1"/>
    <n v="54.793019999999999"/>
  </r>
  <r>
    <x v="5"/>
    <x v="2"/>
    <x v="5"/>
    <x v="1"/>
    <n v="52.892575000000001"/>
  </r>
  <r>
    <x v="5"/>
    <x v="2"/>
    <x v="6"/>
    <x v="1"/>
    <n v="53.599480999999997"/>
  </r>
  <r>
    <x v="5"/>
    <x v="2"/>
    <x v="7"/>
    <x v="1"/>
    <n v="53.435094999999997"/>
  </r>
  <r>
    <x v="5"/>
    <x v="2"/>
    <x v="8"/>
    <x v="1"/>
    <n v="51.172884000000003"/>
  </r>
  <r>
    <x v="5"/>
    <x v="3"/>
    <x v="9"/>
    <x v="1"/>
    <n v="53.960365000000003"/>
  </r>
  <r>
    <x v="5"/>
    <x v="3"/>
    <x v="10"/>
    <x v="1"/>
    <n v="52.377952999999998"/>
  </r>
  <r>
    <x v="5"/>
    <x v="4"/>
    <x v="11"/>
    <x v="1"/>
    <n v="52.356929999999998"/>
  </r>
  <r>
    <x v="5"/>
    <x v="4"/>
    <x v="12"/>
    <x v="1"/>
    <n v="53.844948000000002"/>
  </r>
  <r>
    <x v="5"/>
    <x v="5"/>
    <x v="13"/>
    <x v="1"/>
    <n v="54.141472"/>
  </r>
  <r>
    <x v="5"/>
    <x v="5"/>
    <x v="14"/>
    <x v="1"/>
    <n v="52.906734"/>
  </r>
  <r>
    <x v="5"/>
    <x v="6"/>
    <x v="15"/>
    <x v="1"/>
    <n v="59.560785000000003"/>
  </r>
  <r>
    <x v="5"/>
    <x v="6"/>
    <x v="16"/>
    <x v="1"/>
    <n v="53.38653"/>
  </r>
  <r>
    <x v="5"/>
    <x v="6"/>
    <x v="17"/>
    <x v="1"/>
    <n v="54.019786000000003"/>
  </r>
  <r>
    <x v="5"/>
    <x v="6"/>
    <x v="18"/>
    <x v="1"/>
    <n v="50.167012"/>
  </r>
  <r>
    <x v="5"/>
    <x v="7"/>
    <x v="19"/>
    <x v="1"/>
    <n v="53.624755"/>
  </r>
  <r>
    <x v="5"/>
    <x v="7"/>
    <x v="20"/>
    <x v="1"/>
    <n v="55.585830999999999"/>
  </r>
  <r>
    <x v="5"/>
    <x v="7"/>
    <x v="21"/>
    <x v="1"/>
    <n v="61.217390999999999"/>
  </r>
  <r>
    <x v="5"/>
    <x v="7"/>
    <x v="22"/>
    <x v="1"/>
    <n v="50.629900999999997"/>
  </r>
  <r>
    <x v="5"/>
    <x v="7"/>
    <x v="23"/>
    <x v="1"/>
    <n v="52.542386"/>
  </r>
  <r>
    <x v="5"/>
    <x v="7"/>
    <x v="24"/>
    <x v="1"/>
    <n v="53.209110000000003"/>
  </r>
  <r>
    <x v="5"/>
    <x v="7"/>
    <x v="25"/>
    <x v="1"/>
    <n v="45.375292000000002"/>
  </r>
  <r>
    <x v="5"/>
    <x v="7"/>
    <x v="26"/>
    <x v="1"/>
    <n v="48.167538999999998"/>
  </r>
  <r>
    <x v="5"/>
    <x v="7"/>
    <x v="27"/>
    <x v="1"/>
    <n v="57.351830999999997"/>
  </r>
  <r>
    <x v="5"/>
    <x v="7"/>
    <x v="28"/>
    <x v="1"/>
    <n v="43.303956999999997"/>
  </r>
  <r>
    <x v="5"/>
    <x v="7"/>
    <x v="29"/>
    <x v="1"/>
    <n v="53.859203000000001"/>
  </r>
  <r>
    <x v="5"/>
    <x v="7"/>
    <x v="30"/>
    <x v="1"/>
    <n v="59.333123999999998"/>
  </r>
  <r>
    <x v="5"/>
    <x v="7"/>
    <x v="31"/>
    <x v="1"/>
    <n v="48.387096999999997"/>
  </r>
  <r>
    <x v="5"/>
    <x v="7"/>
    <x v="32"/>
    <x v="1"/>
    <n v="65.566458999999995"/>
  </r>
  <r>
    <x v="5"/>
    <x v="7"/>
    <x v="33"/>
    <x v="1"/>
    <n v="48.397013999999999"/>
  </r>
  <r>
    <x v="5"/>
    <x v="7"/>
    <x v="34"/>
    <x v="1"/>
    <n v="61.556500999999997"/>
  </r>
  <r>
    <x v="5"/>
    <x v="7"/>
    <x v="35"/>
    <x v="1"/>
    <n v="59.485816"/>
  </r>
  <r>
    <x v="5"/>
    <x v="7"/>
    <x v="36"/>
    <x v="1"/>
    <n v="40.582858000000002"/>
  </r>
  <r>
    <x v="5"/>
    <x v="0"/>
    <x v="0"/>
    <x v="2"/>
    <n v="19.414724"/>
  </r>
  <r>
    <x v="5"/>
    <x v="1"/>
    <x v="1"/>
    <x v="2"/>
    <n v="18.378671000000001"/>
  </r>
  <r>
    <x v="5"/>
    <x v="1"/>
    <x v="2"/>
    <x v="2"/>
    <n v="20.067822"/>
  </r>
  <r>
    <x v="5"/>
    <x v="1"/>
    <x v="3"/>
    <x v="2"/>
    <n v="20.174918999999999"/>
  </r>
  <r>
    <x v="5"/>
    <x v="1"/>
    <x v="4"/>
    <x v="2"/>
    <n v="17.696559000000001"/>
  </r>
  <r>
    <x v="5"/>
    <x v="2"/>
    <x v="5"/>
    <x v="2"/>
    <n v="21.718484"/>
  </r>
  <r>
    <x v="5"/>
    <x v="2"/>
    <x v="6"/>
    <x v="2"/>
    <n v="18.625126999999999"/>
  </r>
  <r>
    <x v="5"/>
    <x v="2"/>
    <x v="7"/>
    <x v="2"/>
    <n v="19.163264999999999"/>
  </r>
  <r>
    <x v="5"/>
    <x v="2"/>
    <x v="8"/>
    <x v="2"/>
    <n v="18.498861999999999"/>
  </r>
  <r>
    <x v="5"/>
    <x v="3"/>
    <x v="9"/>
    <x v="2"/>
    <n v="18.454471000000002"/>
  </r>
  <r>
    <x v="5"/>
    <x v="3"/>
    <x v="10"/>
    <x v="2"/>
    <n v="20.409217000000002"/>
  </r>
  <r>
    <x v="5"/>
    <x v="4"/>
    <x v="11"/>
    <x v="2"/>
    <n v="19.919523999999999"/>
  </r>
  <r>
    <x v="5"/>
    <x v="4"/>
    <x v="12"/>
    <x v="2"/>
    <n v="18.986530999999999"/>
  </r>
  <r>
    <x v="5"/>
    <x v="5"/>
    <x v="13"/>
    <x v="2"/>
    <n v="19.179677999999999"/>
  </r>
  <r>
    <x v="5"/>
    <x v="5"/>
    <x v="14"/>
    <x v="2"/>
    <n v="19.454650999999998"/>
  </r>
  <r>
    <x v="5"/>
    <x v="6"/>
    <x v="15"/>
    <x v="2"/>
    <n v="18.995080999999999"/>
  </r>
  <r>
    <x v="5"/>
    <x v="6"/>
    <x v="16"/>
    <x v="2"/>
    <n v="19.731425000000002"/>
  </r>
  <r>
    <x v="5"/>
    <x v="6"/>
    <x v="17"/>
    <x v="2"/>
    <n v="19.011164999999998"/>
  </r>
  <r>
    <x v="5"/>
    <x v="6"/>
    <x v="18"/>
    <x v="2"/>
    <n v="16.202672"/>
  </r>
  <r>
    <x v="5"/>
    <x v="7"/>
    <x v="19"/>
    <x v="2"/>
    <n v="11.782894000000001"/>
  </r>
  <r>
    <x v="5"/>
    <x v="7"/>
    <x v="20"/>
    <x v="2"/>
    <n v="26.067212000000001"/>
  </r>
  <r>
    <x v="5"/>
    <x v="7"/>
    <x v="21"/>
    <x v="2"/>
    <n v="20.347826000000001"/>
  </r>
  <r>
    <x v="5"/>
    <x v="7"/>
    <x v="22"/>
    <x v="2"/>
    <n v="11.72762"/>
  </r>
  <r>
    <x v="5"/>
    <x v="7"/>
    <x v="23"/>
    <x v="2"/>
    <n v="13.002227"/>
  </r>
  <r>
    <x v="5"/>
    <x v="7"/>
    <x v="24"/>
    <x v="2"/>
    <n v="24.327121999999999"/>
  </r>
  <r>
    <x v="5"/>
    <x v="7"/>
    <x v="25"/>
    <x v="2"/>
    <n v="9.1638196999999995"/>
  </r>
  <r>
    <x v="5"/>
    <x v="7"/>
    <x v="26"/>
    <x v="2"/>
    <n v="32.984293000000001"/>
  </r>
  <r>
    <x v="5"/>
    <x v="7"/>
    <x v="27"/>
    <x v="2"/>
    <n v="14.990311"/>
  </r>
  <r>
    <x v="5"/>
    <x v="7"/>
    <x v="28"/>
    <x v="2"/>
    <n v="18.239685999999999"/>
  </r>
  <r>
    <x v="5"/>
    <x v="7"/>
    <x v="29"/>
    <x v="2"/>
    <n v="13.994911"/>
  </r>
  <r>
    <x v="5"/>
    <x v="7"/>
    <x v="30"/>
    <x v="2"/>
    <n v="21.450291"/>
  </r>
  <r>
    <x v="5"/>
    <x v="7"/>
    <x v="31"/>
    <x v="2"/>
    <n v="26.534859999999998"/>
  </r>
  <r>
    <x v="5"/>
    <x v="7"/>
    <x v="32"/>
    <x v="2"/>
    <n v="13.559322"/>
  </r>
  <r>
    <x v="5"/>
    <x v="7"/>
    <x v="33"/>
    <x v="2"/>
    <n v="15.985946"/>
  </r>
  <r>
    <x v="5"/>
    <x v="7"/>
    <x v="34"/>
    <x v="2"/>
    <n v="16.302247000000001"/>
  </r>
  <r>
    <x v="5"/>
    <x v="7"/>
    <x v="35"/>
    <x v="2"/>
    <n v="25.797872000000002"/>
  </r>
  <r>
    <x v="5"/>
    <x v="7"/>
    <x v="36"/>
    <x v="2"/>
    <n v="33.496749000000001"/>
  </r>
  <r>
    <x v="5"/>
    <x v="0"/>
    <x v="0"/>
    <x v="3"/>
    <n v="2.5498443000000002"/>
  </r>
  <r>
    <x v="5"/>
    <x v="1"/>
    <x v="1"/>
    <x v="3"/>
    <n v="2.2779935999999998"/>
  </r>
  <r>
    <x v="5"/>
    <x v="1"/>
    <x v="2"/>
    <x v="3"/>
    <n v="2.7494741999999999"/>
  </r>
  <r>
    <x v="5"/>
    <x v="1"/>
    <x v="3"/>
    <x v="3"/>
    <n v="2.6462650000000001"/>
  </r>
  <r>
    <x v="5"/>
    <x v="1"/>
    <x v="4"/>
    <x v="3"/>
    <n v="2.1843564"/>
  </r>
  <r>
    <x v="5"/>
    <x v="2"/>
    <x v="5"/>
    <x v="3"/>
    <n v="3.1363126000000001"/>
  </r>
  <r>
    <x v="5"/>
    <x v="2"/>
    <x v="6"/>
    <x v="3"/>
    <n v="2.4115871000000002"/>
  </r>
  <r>
    <x v="5"/>
    <x v="2"/>
    <x v="7"/>
    <x v="3"/>
    <n v="2.3685539000000002"/>
  </r>
  <r>
    <x v="5"/>
    <x v="2"/>
    <x v="8"/>
    <x v="3"/>
    <n v="2.4696693000000001"/>
  </r>
  <r>
    <x v="5"/>
    <x v="3"/>
    <x v="9"/>
    <x v="3"/>
    <n v="2.4905618999999999"/>
  </r>
  <r>
    <x v="5"/>
    <x v="3"/>
    <x v="10"/>
    <x v="3"/>
    <n v="2.6112405999999999"/>
  </r>
  <r>
    <x v="5"/>
    <x v="4"/>
    <x v="11"/>
    <x v="3"/>
    <n v="2.9380603000000001"/>
  </r>
  <r>
    <x v="5"/>
    <x v="4"/>
    <x v="12"/>
    <x v="3"/>
    <n v="2.2541357"/>
  </r>
  <r>
    <x v="5"/>
    <x v="5"/>
    <x v="13"/>
    <x v="3"/>
    <n v="2.4254763000000001"/>
  </r>
  <r>
    <x v="5"/>
    <x v="5"/>
    <x v="14"/>
    <x v="3"/>
    <n v="2.5384674999999999"/>
  </r>
  <r>
    <x v="5"/>
    <x v="6"/>
    <x v="15"/>
    <x v="3"/>
    <n v="3.0525224"/>
  </r>
  <r>
    <x v="5"/>
    <x v="6"/>
    <x v="16"/>
    <x v="3"/>
    <n v="2.2759762000000001"/>
  </r>
  <r>
    <x v="5"/>
    <x v="6"/>
    <x v="17"/>
    <x v="3"/>
    <n v="2.8277408999999998"/>
  </r>
  <r>
    <x v="5"/>
    <x v="6"/>
    <x v="18"/>
    <x v="3"/>
    <n v="3.0821586999999999"/>
  </r>
  <r>
    <x v="5"/>
    <x v="7"/>
    <x v="19"/>
    <x v="3"/>
    <n v="0.61541025000000005"/>
  </r>
  <r>
    <x v="5"/>
    <x v="7"/>
    <x v="20"/>
    <x v="3"/>
    <n v="1.8165304"/>
  </r>
  <r>
    <x v="5"/>
    <x v="7"/>
    <x v="21"/>
    <x v="3"/>
    <n v="1.7391304000000001"/>
  </r>
  <r>
    <x v="5"/>
    <x v="7"/>
    <x v="22"/>
    <x v="3"/>
    <n v="0.37363749000000002"/>
  </r>
  <r>
    <x v="5"/>
    <x v="7"/>
    <x v="23"/>
    <x v="3"/>
    <n v="2.2187312000000001"/>
  </r>
  <r>
    <x v="5"/>
    <x v="7"/>
    <x v="24"/>
    <x v="3"/>
    <n v="2.5879916999999999"/>
  </r>
  <r>
    <x v="5"/>
    <x v="7"/>
    <x v="25"/>
    <x v="3"/>
    <n v="3.1430484000000001"/>
  </r>
  <r>
    <x v="5"/>
    <x v="7"/>
    <x v="26"/>
    <x v="3"/>
    <n v="1.4834206000000001"/>
  </r>
  <r>
    <x v="5"/>
    <x v="7"/>
    <x v="27"/>
    <x v="3"/>
    <n v="2.2300319000000002"/>
  </r>
  <r>
    <x v="5"/>
    <x v="7"/>
    <x v="28"/>
    <x v="3"/>
    <n v="2.9379616999999998"/>
  </r>
  <r>
    <x v="5"/>
    <x v="7"/>
    <x v="29"/>
    <x v="3"/>
    <n v="1.4418998999999999"/>
  </r>
  <r>
    <x v="5"/>
    <x v="7"/>
    <x v="30"/>
    <x v="3"/>
    <n v="4.7532148999999997"/>
  </r>
  <r>
    <x v="5"/>
    <x v="7"/>
    <x v="31"/>
    <x v="3"/>
    <n v="6.7637877"/>
  </r>
  <r>
    <x v="5"/>
    <x v="7"/>
    <x v="32"/>
    <x v="3"/>
    <n v="0.89206065999999995"/>
  </r>
  <r>
    <x v="5"/>
    <x v="7"/>
    <x v="33"/>
    <x v="3"/>
    <n v="4.3258673999999999"/>
  </r>
  <r>
    <x v="5"/>
    <x v="7"/>
    <x v="34"/>
    <x v="3"/>
    <n v="1.6532838999999999"/>
  </r>
  <r>
    <x v="5"/>
    <x v="7"/>
    <x v="35"/>
    <x v="3"/>
    <n v="1.4184397"/>
  </r>
  <r>
    <x v="5"/>
    <x v="7"/>
    <x v="36"/>
    <x v="3"/>
    <n v="6.7759410999999998"/>
  </r>
  <r>
    <x v="6"/>
    <x v="0"/>
    <x v="0"/>
    <x v="0"/>
    <n v="24.481276000000001"/>
  </r>
  <r>
    <x v="6"/>
    <x v="1"/>
    <x v="1"/>
    <x v="0"/>
    <n v="27.333572"/>
  </r>
  <r>
    <x v="6"/>
    <x v="1"/>
    <x v="2"/>
    <x v="0"/>
    <n v="23.38307"/>
  </r>
  <r>
    <x v="6"/>
    <x v="1"/>
    <x v="3"/>
    <x v="0"/>
    <n v="23.625019999999999"/>
  </r>
  <r>
    <x v="6"/>
    <x v="1"/>
    <x v="4"/>
    <x v="0"/>
    <n v="24.164515999999999"/>
  </r>
  <r>
    <x v="6"/>
    <x v="2"/>
    <x v="5"/>
    <x v="0"/>
    <n v="20.892160000000001"/>
  </r>
  <r>
    <x v="6"/>
    <x v="2"/>
    <x v="6"/>
    <x v="0"/>
    <n v="25.111577"/>
  </r>
  <r>
    <x v="6"/>
    <x v="2"/>
    <x v="7"/>
    <x v="0"/>
    <n v="25.996642999999999"/>
  </r>
  <r>
    <x v="6"/>
    <x v="2"/>
    <x v="8"/>
    <x v="0"/>
    <n v="24.451459"/>
  </r>
  <r>
    <x v="6"/>
    <x v="3"/>
    <x v="9"/>
    <x v="0"/>
    <n v="24.647879"/>
  </r>
  <r>
    <x v="6"/>
    <x v="3"/>
    <x v="10"/>
    <x v="0"/>
    <n v="24.3062"/>
  </r>
  <r>
    <x v="6"/>
    <x v="4"/>
    <x v="11"/>
    <x v="0"/>
    <n v="24.717079999999999"/>
  </r>
  <r>
    <x v="6"/>
    <x v="4"/>
    <x v="12"/>
    <x v="0"/>
    <n v="24.235510000000001"/>
  </r>
  <r>
    <x v="6"/>
    <x v="5"/>
    <x v="13"/>
    <x v="0"/>
    <n v="26.504004999999999"/>
  </r>
  <r>
    <x v="6"/>
    <x v="5"/>
    <x v="14"/>
    <x v="0"/>
    <n v="23.531981999999999"/>
  </r>
  <r>
    <x v="6"/>
    <x v="6"/>
    <x v="15"/>
    <x v="0"/>
    <n v="19.322842000000001"/>
  </r>
  <r>
    <x v="6"/>
    <x v="6"/>
    <x v="16"/>
    <x v="0"/>
    <n v="24.605910000000002"/>
  </r>
  <r>
    <x v="6"/>
    <x v="6"/>
    <x v="17"/>
    <x v="0"/>
    <n v="24.497239"/>
  </r>
  <r>
    <x v="6"/>
    <x v="6"/>
    <x v="18"/>
    <x v="0"/>
    <n v="28.635021999999999"/>
  </r>
  <r>
    <x v="6"/>
    <x v="7"/>
    <x v="19"/>
    <x v="0"/>
    <n v="22.010117000000001"/>
  </r>
  <r>
    <x v="6"/>
    <x v="7"/>
    <x v="20"/>
    <x v="0"/>
    <n v="12.588652"/>
  </r>
  <r>
    <x v="6"/>
    <x v="7"/>
    <x v="21"/>
    <x v="0"/>
    <n v="26.689188999999999"/>
  </r>
  <r>
    <x v="6"/>
    <x v="7"/>
    <x v="22"/>
    <x v="0"/>
    <n v="48.996805999999999"/>
  </r>
  <r>
    <x v="6"/>
    <x v="7"/>
    <x v="23"/>
    <x v="0"/>
    <n v="29.131803000000001"/>
  </r>
  <r>
    <x v="6"/>
    <x v="7"/>
    <x v="24"/>
    <x v="0"/>
    <n v="24.460432000000001"/>
  </r>
  <r>
    <x v="6"/>
    <x v="7"/>
    <x v="25"/>
    <x v="0"/>
    <n v="54.015686000000002"/>
  </r>
  <r>
    <x v="6"/>
    <x v="7"/>
    <x v="26"/>
    <x v="0"/>
    <n v="10.909091"/>
  </r>
  <r>
    <x v="6"/>
    <x v="7"/>
    <x v="27"/>
    <x v="0"/>
    <n v="25.001072000000001"/>
  </r>
  <r>
    <x v="6"/>
    <x v="7"/>
    <x v="28"/>
    <x v="0"/>
    <n v="36.415187000000003"/>
  </r>
  <r>
    <x v="6"/>
    <x v="7"/>
    <x v="29"/>
    <x v="0"/>
    <n v="23.347639000000001"/>
  </r>
  <r>
    <x v="6"/>
    <x v="7"/>
    <x v="30"/>
    <x v="0"/>
    <n v="10.663822"/>
  </r>
  <r>
    <x v="6"/>
    <x v="7"/>
    <x v="31"/>
    <x v="0"/>
    <n v="15.625"/>
  </r>
  <r>
    <x v="6"/>
    <x v="7"/>
    <x v="32"/>
    <x v="0"/>
    <n v="23.478261"/>
  </r>
  <r>
    <x v="6"/>
    <x v="7"/>
    <x v="33"/>
    <x v="0"/>
    <n v="21.598084"/>
  </r>
  <r>
    <x v="6"/>
    <x v="7"/>
    <x v="34"/>
    <x v="0"/>
    <n v="27.171468000000001"/>
  </r>
  <r>
    <x v="6"/>
    <x v="7"/>
    <x v="35"/>
    <x v="0"/>
    <n v="11.150758"/>
  </r>
  <r>
    <x v="6"/>
    <x v="7"/>
    <x v="36"/>
    <x v="0"/>
    <n v="17.203434999999999"/>
  </r>
  <r>
    <x v="6"/>
    <x v="0"/>
    <x v="0"/>
    <x v="1"/>
    <n v="55.080240000000003"/>
  </r>
  <r>
    <x v="6"/>
    <x v="1"/>
    <x v="1"/>
    <x v="1"/>
    <n v="54.745257000000002"/>
  </r>
  <r>
    <x v="6"/>
    <x v="1"/>
    <x v="2"/>
    <x v="1"/>
    <n v="54.440142000000002"/>
  </r>
  <r>
    <x v="6"/>
    <x v="1"/>
    <x v="3"/>
    <x v="1"/>
    <n v="54.849407999999997"/>
  </r>
  <r>
    <x v="6"/>
    <x v="1"/>
    <x v="4"/>
    <x v="1"/>
    <n v="59.06514"/>
  </r>
  <r>
    <x v="6"/>
    <x v="2"/>
    <x v="5"/>
    <x v="1"/>
    <n v="55.277810000000002"/>
  </r>
  <r>
    <x v="6"/>
    <x v="2"/>
    <x v="6"/>
    <x v="1"/>
    <n v="54.994352999999997"/>
  </r>
  <r>
    <x v="6"/>
    <x v="2"/>
    <x v="7"/>
    <x v="1"/>
    <n v="55.040123999999999"/>
  </r>
  <r>
    <x v="6"/>
    <x v="2"/>
    <x v="8"/>
    <x v="1"/>
    <n v="55.137407000000003"/>
  </r>
  <r>
    <x v="6"/>
    <x v="3"/>
    <x v="9"/>
    <x v="1"/>
    <n v="56.119703000000001"/>
  </r>
  <r>
    <x v="6"/>
    <x v="3"/>
    <x v="10"/>
    <x v="1"/>
    <n v="53.987912000000001"/>
  </r>
  <r>
    <x v="6"/>
    <x v="4"/>
    <x v="11"/>
    <x v="1"/>
    <n v="53.825913999999997"/>
  </r>
  <r>
    <x v="6"/>
    <x v="4"/>
    <x v="12"/>
    <x v="1"/>
    <n v="56.089224000000002"/>
  </r>
  <r>
    <x v="6"/>
    <x v="5"/>
    <x v="13"/>
    <x v="1"/>
    <n v="53.941600999999999"/>
  </r>
  <r>
    <x v="6"/>
    <x v="5"/>
    <x v="14"/>
    <x v="1"/>
    <n v="55.637312999999999"/>
  </r>
  <r>
    <x v="6"/>
    <x v="6"/>
    <x v="15"/>
    <x v="1"/>
    <n v="54.118000000000002"/>
  </r>
  <r>
    <x v="6"/>
    <x v="6"/>
    <x v="16"/>
    <x v="1"/>
    <n v="54.385013999999998"/>
  </r>
  <r>
    <x v="6"/>
    <x v="6"/>
    <x v="17"/>
    <x v="1"/>
    <n v="54.294899999999998"/>
  </r>
  <r>
    <x v="6"/>
    <x v="6"/>
    <x v="18"/>
    <x v="1"/>
    <n v="53.970846999999999"/>
  </r>
  <r>
    <x v="6"/>
    <x v="7"/>
    <x v="19"/>
    <x v="1"/>
    <n v="61.651988000000003"/>
  </r>
  <r>
    <x v="6"/>
    <x v="7"/>
    <x v="20"/>
    <x v="1"/>
    <n v="65.514184"/>
  </r>
  <r>
    <x v="6"/>
    <x v="7"/>
    <x v="21"/>
    <x v="1"/>
    <n v="58.445945999999999"/>
  </r>
  <r>
    <x v="6"/>
    <x v="7"/>
    <x v="22"/>
    <x v="1"/>
    <n v="45.089295999999997"/>
  </r>
  <r>
    <x v="6"/>
    <x v="7"/>
    <x v="23"/>
    <x v="1"/>
    <n v="58.690184000000002"/>
  </r>
  <r>
    <x v="6"/>
    <x v="7"/>
    <x v="24"/>
    <x v="1"/>
    <n v="50.976362000000002"/>
  </r>
  <r>
    <x v="6"/>
    <x v="7"/>
    <x v="25"/>
    <x v="1"/>
    <n v="38.402614"/>
  </r>
  <r>
    <x v="6"/>
    <x v="7"/>
    <x v="26"/>
    <x v="1"/>
    <n v="44.675325000000001"/>
  </r>
  <r>
    <x v="6"/>
    <x v="7"/>
    <x v="27"/>
    <x v="1"/>
    <n v="58.176399000000004"/>
  </r>
  <r>
    <x v="6"/>
    <x v="7"/>
    <x v="28"/>
    <x v="1"/>
    <n v="51.226773999999999"/>
  </r>
  <r>
    <x v="6"/>
    <x v="7"/>
    <x v="29"/>
    <x v="1"/>
    <n v="61.373390999999998"/>
  </r>
  <r>
    <x v="6"/>
    <x v="7"/>
    <x v="30"/>
    <x v="1"/>
    <n v="62.039304999999999"/>
  </r>
  <r>
    <x v="6"/>
    <x v="7"/>
    <x v="31"/>
    <x v="1"/>
    <n v="50.520833000000003"/>
  </r>
  <r>
    <x v="6"/>
    <x v="7"/>
    <x v="32"/>
    <x v="1"/>
    <n v="62.347825999999998"/>
  </r>
  <r>
    <x v="6"/>
    <x v="7"/>
    <x v="33"/>
    <x v="1"/>
    <n v="55.649901999999997"/>
  </r>
  <r>
    <x v="6"/>
    <x v="7"/>
    <x v="34"/>
    <x v="1"/>
    <n v="54.414960000000001"/>
  </r>
  <r>
    <x v="6"/>
    <x v="7"/>
    <x v="35"/>
    <x v="1"/>
    <n v="60.392507000000002"/>
  </r>
  <r>
    <x v="6"/>
    <x v="7"/>
    <x v="36"/>
    <x v="1"/>
    <n v="50.146959000000003"/>
  </r>
  <r>
    <x v="6"/>
    <x v="0"/>
    <x v="0"/>
    <x v="2"/>
    <n v="18.159362999999999"/>
  </r>
  <r>
    <x v="6"/>
    <x v="1"/>
    <x v="1"/>
    <x v="2"/>
    <n v="15.555147"/>
  </r>
  <r>
    <x v="6"/>
    <x v="1"/>
    <x v="2"/>
    <x v="2"/>
    <n v="19.780434"/>
  </r>
  <r>
    <x v="6"/>
    <x v="1"/>
    <x v="3"/>
    <x v="2"/>
    <n v="19.653562000000001"/>
  </r>
  <r>
    <x v="6"/>
    <x v="1"/>
    <x v="4"/>
    <x v="2"/>
    <n v="14.351789"/>
  </r>
  <r>
    <x v="6"/>
    <x v="2"/>
    <x v="5"/>
    <x v="2"/>
    <n v="21.355512000000001"/>
  </r>
  <r>
    <x v="6"/>
    <x v="2"/>
    <x v="6"/>
    <x v="2"/>
    <n v="17.766967999999999"/>
  </r>
  <r>
    <x v="6"/>
    <x v="2"/>
    <x v="7"/>
    <x v="2"/>
    <n v="16.454522999999998"/>
  </r>
  <r>
    <x v="6"/>
    <x v="2"/>
    <x v="8"/>
    <x v="2"/>
    <n v="18.751474999999999"/>
  </r>
  <r>
    <x v="6"/>
    <x v="3"/>
    <x v="9"/>
    <x v="2"/>
    <n v="17.084039000000001"/>
  </r>
  <r>
    <x v="6"/>
    <x v="3"/>
    <x v="10"/>
    <x v="2"/>
    <n v="19.289373999999999"/>
  </r>
  <r>
    <x v="6"/>
    <x v="4"/>
    <x v="11"/>
    <x v="2"/>
    <n v="19.046496999999999"/>
  </r>
  <r>
    <x v="6"/>
    <x v="4"/>
    <x v="12"/>
    <x v="2"/>
    <n v="17.479398"/>
  </r>
  <r>
    <x v="6"/>
    <x v="5"/>
    <x v="13"/>
    <x v="2"/>
    <n v="17.202033"/>
  </r>
  <r>
    <x v="6"/>
    <x v="5"/>
    <x v="14"/>
    <x v="2"/>
    <n v="18.592794000000001"/>
  </r>
  <r>
    <x v="6"/>
    <x v="6"/>
    <x v="15"/>
    <x v="2"/>
    <n v="22.917438000000001"/>
  </r>
  <r>
    <x v="6"/>
    <x v="6"/>
    <x v="16"/>
    <x v="2"/>
    <n v="18.759236000000001"/>
  </r>
  <r>
    <x v="6"/>
    <x v="6"/>
    <x v="17"/>
    <x v="2"/>
    <n v="18.609627"/>
  </r>
  <r>
    <x v="6"/>
    <x v="6"/>
    <x v="18"/>
    <x v="2"/>
    <n v="15.094306"/>
  </r>
  <r>
    <x v="6"/>
    <x v="7"/>
    <x v="19"/>
    <x v="2"/>
    <n v="15.851944"/>
  </r>
  <r>
    <x v="6"/>
    <x v="7"/>
    <x v="20"/>
    <x v="2"/>
    <n v="20.656027999999999"/>
  </r>
  <r>
    <x v="6"/>
    <x v="7"/>
    <x v="21"/>
    <x v="2"/>
    <n v="14.10473"/>
  </r>
  <r>
    <x v="6"/>
    <x v="7"/>
    <x v="22"/>
    <x v="2"/>
    <n v="5.3194547999999999"/>
  </r>
  <r>
    <x v="6"/>
    <x v="7"/>
    <x v="23"/>
    <x v="2"/>
    <n v="9.9695757"/>
  </r>
  <r>
    <x v="6"/>
    <x v="7"/>
    <x v="24"/>
    <x v="2"/>
    <n v="22.096608"/>
  </r>
  <r>
    <x v="6"/>
    <x v="7"/>
    <x v="25"/>
    <x v="2"/>
    <n v="5.2663774999999999"/>
  </r>
  <r>
    <x v="6"/>
    <x v="7"/>
    <x v="26"/>
    <x v="2"/>
    <n v="40.865800999999998"/>
  </r>
  <r>
    <x v="6"/>
    <x v="7"/>
    <x v="27"/>
    <x v="2"/>
    <n v="14.98016"/>
  </r>
  <r>
    <x v="6"/>
    <x v="7"/>
    <x v="28"/>
    <x v="2"/>
    <n v="8.9712744999999998"/>
  </r>
  <r>
    <x v="6"/>
    <x v="7"/>
    <x v="29"/>
    <x v="2"/>
    <n v="13.390558"/>
  </r>
  <r>
    <x v="6"/>
    <x v="7"/>
    <x v="30"/>
    <x v="2"/>
    <n v="23.048921"/>
  </r>
  <r>
    <x v="6"/>
    <x v="7"/>
    <x v="31"/>
    <x v="2"/>
    <n v="27.1875"/>
  </r>
  <r>
    <x v="6"/>
    <x v="7"/>
    <x v="32"/>
    <x v="2"/>
    <n v="13.043478"/>
  </r>
  <r>
    <x v="6"/>
    <x v="7"/>
    <x v="33"/>
    <x v="2"/>
    <n v="20.748965999999999"/>
  </r>
  <r>
    <x v="6"/>
    <x v="7"/>
    <x v="34"/>
    <x v="2"/>
    <n v="15.183306"/>
  </r>
  <r>
    <x v="6"/>
    <x v="7"/>
    <x v="35"/>
    <x v="2"/>
    <n v="27.564674"/>
  </r>
  <r>
    <x v="6"/>
    <x v="7"/>
    <x v="36"/>
    <x v="2"/>
    <n v="28.883141999999999"/>
  </r>
  <r>
    <x v="6"/>
    <x v="0"/>
    <x v="0"/>
    <x v="3"/>
    <n v="2.2791212999999999"/>
  </r>
  <r>
    <x v="6"/>
    <x v="1"/>
    <x v="1"/>
    <x v="3"/>
    <n v="2.3660234999999998"/>
  </r>
  <r>
    <x v="6"/>
    <x v="1"/>
    <x v="2"/>
    <x v="3"/>
    <n v="2.3963549999999998"/>
  </r>
  <r>
    <x v="6"/>
    <x v="1"/>
    <x v="3"/>
    <x v="3"/>
    <n v="1.8720109"/>
  </r>
  <r>
    <x v="6"/>
    <x v="1"/>
    <x v="4"/>
    <x v="3"/>
    <n v="2.4185550999999998"/>
  </r>
  <r>
    <x v="6"/>
    <x v="2"/>
    <x v="5"/>
    <x v="3"/>
    <n v="2.4745186000000001"/>
  </r>
  <r>
    <x v="6"/>
    <x v="2"/>
    <x v="6"/>
    <x v="3"/>
    <n v="2.1271018000000002"/>
  </r>
  <r>
    <x v="6"/>
    <x v="2"/>
    <x v="7"/>
    <x v="3"/>
    <n v="2.5087093"/>
  </r>
  <r>
    <x v="6"/>
    <x v="2"/>
    <x v="8"/>
    <x v="3"/>
    <n v="1.6596591000000001"/>
  </r>
  <r>
    <x v="6"/>
    <x v="3"/>
    <x v="9"/>
    <x v="3"/>
    <n v="2.1483783000000001"/>
  </r>
  <r>
    <x v="6"/>
    <x v="3"/>
    <x v="10"/>
    <x v="3"/>
    <n v="2.4165135000000002"/>
  </r>
  <r>
    <x v="6"/>
    <x v="4"/>
    <x v="11"/>
    <x v="3"/>
    <n v="2.4105088000000001"/>
  </r>
  <r>
    <x v="6"/>
    <x v="4"/>
    <x v="12"/>
    <x v="3"/>
    <n v="2.1958687000000001"/>
  </r>
  <r>
    <x v="6"/>
    <x v="5"/>
    <x v="13"/>
    <x v="3"/>
    <n v="2.3523603"/>
  </r>
  <r>
    <x v="6"/>
    <x v="5"/>
    <x v="14"/>
    <x v="3"/>
    <n v="2.2379107999999999"/>
  </r>
  <r>
    <x v="6"/>
    <x v="6"/>
    <x v="15"/>
    <x v="3"/>
    <n v="3.6417212000000001"/>
  </r>
  <r>
    <x v="6"/>
    <x v="6"/>
    <x v="16"/>
    <x v="3"/>
    <n v="2.2498393000000001"/>
  </r>
  <r>
    <x v="6"/>
    <x v="6"/>
    <x v="17"/>
    <x v="3"/>
    <n v="2.5982349999999999"/>
  </r>
  <r>
    <x v="6"/>
    <x v="6"/>
    <x v="18"/>
    <x v="3"/>
    <n v="2.2998248999999999"/>
  </r>
  <r>
    <x v="6"/>
    <x v="7"/>
    <x v="19"/>
    <x v="3"/>
    <n v="0.48595155000000001"/>
  </r>
  <r>
    <x v="6"/>
    <x v="7"/>
    <x v="20"/>
    <x v="3"/>
    <n v="1.2411348"/>
  </r>
  <r>
    <x v="6"/>
    <x v="7"/>
    <x v="21"/>
    <x v="3"/>
    <n v="0.76013514000000004"/>
  </r>
  <r>
    <x v="6"/>
    <x v="7"/>
    <x v="22"/>
    <x v="3"/>
    <n v="0.59444315999999997"/>
  </r>
  <r>
    <x v="6"/>
    <x v="7"/>
    <x v="23"/>
    <x v="3"/>
    <n v="2.2084370999999998"/>
  </r>
  <r>
    <x v="6"/>
    <x v="7"/>
    <x v="24"/>
    <x v="3"/>
    <n v="2.4665982"/>
  </r>
  <r>
    <x v="6"/>
    <x v="7"/>
    <x v="25"/>
    <x v="3"/>
    <n v="2.3153226"/>
  </r>
  <r>
    <x v="6"/>
    <x v="7"/>
    <x v="26"/>
    <x v="3"/>
    <n v="3.5497835000000002"/>
  </r>
  <r>
    <x v="6"/>
    <x v="7"/>
    <x v="27"/>
    <x v="3"/>
    <n v="1.8423693000000001"/>
  </r>
  <r>
    <x v="6"/>
    <x v="7"/>
    <x v="28"/>
    <x v="3"/>
    <n v="3.3867641000000002"/>
  </r>
  <r>
    <x v="6"/>
    <x v="7"/>
    <x v="29"/>
    <x v="3"/>
    <n v="1.888412"/>
  </r>
  <r>
    <x v="6"/>
    <x v="7"/>
    <x v="30"/>
    <x v="3"/>
    <n v="4.2479526999999999"/>
  </r>
  <r>
    <x v="6"/>
    <x v="7"/>
    <x v="31"/>
    <x v="3"/>
    <n v="6.6666667000000004"/>
  </r>
  <r>
    <x v="6"/>
    <x v="7"/>
    <x v="32"/>
    <x v="3"/>
    <n v="1.1304348"/>
  </r>
  <r>
    <x v="6"/>
    <x v="7"/>
    <x v="33"/>
    <x v="3"/>
    <n v="2.0030481"/>
  </r>
  <r>
    <x v="6"/>
    <x v="7"/>
    <x v="34"/>
    <x v="3"/>
    <n v="3.2302662999999998"/>
  </r>
  <r>
    <x v="6"/>
    <x v="7"/>
    <x v="35"/>
    <x v="3"/>
    <n v="0.89206065999999995"/>
  </r>
  <r>
    <x v="6"/>
    <x v="7"/>
    <x v="36"/>
    <x v="3"/>
    <n v="3.7664635"/>
  </r>
  <r>
    <x v="7"/>
    <x v="0"/>
    <x v="0"/>
    <x v="0"/>
    <n v="25.944358999999999"/>
  </r>
  <r>
    <x v="7"/>
    <x v="1"/>
    <x v="1"/>
    <x v="0"/>
    <n v="25.952902999999999"/>
  </r>
  <r>
    <x v="7"/>
    <x v="1"/>
    <x v="2"/>
    <x v="0"/>
    <n v="26.747999"/>
  </r>
  <r>
    <x v="7"/>
    <x v="1"/>
    <x v="3"/>
    <x v="0"/>
    <n v="24.710937999999999"/>
  </r>
  <r>
    <x v="7"/>
    <x v="1"/>
    <x v="4"/>
    <x v="0"/>
    <n v="25.453030999999999"/>
  </r>
  <r>
    <x v="7"/>
    <x v="2"/>
    <x v="5"/>
    <x v="0"/>
    <n v="22.920591000000002"/>
  </r>
  <r>
    <x v="7"/>
    <x v="2"/>
    <x v="6"/>
    <x v="0"/>
    <n v="26.933026999999999"/>
  </r>
  <r>
    <x v="7"/>
    <x v="2"/>
    <x v="7"/>
    <x v="0"/>
    <n v="26.999236"/>
  </r>
  <r>
    <x v="7"/>
    <x v="2"/>
    <x v="8"/>
    <x v="0"/>
    <n v="24.939415"/>
  </r>
  <r>
    <x v="7"/>
    <x v="3"/>
    <x v="9"/>
    <x v="0"/>
    <n v="25.733777"/>
  </r>
  <r>
    <x v="7"/>
    <x v="3"/>
    <x v="10"/>
    <x v="0"/>
    <n v="26.162979"/>
  </r>
  <r>
    <x v="7"/>
    <x v="4"/>
    <x v="11"/>
    <x v="0"/>
    <n v="24.927471000000001"/>
  </r>
  <r>
    <x v="7"/>
    <x v="4"/>
    <x v="12"/>
    <x v="0"/>
    <n v="26.715878"/>
  </r>
  <r>
    <x v="7"/>
    <x v="5"/>
    <x v="13"/>
    <x v="0"/>
    <n v="26.210394999999998"/>
  </r>
  <r>
    <x v="7"/>
    <x v="5"/>
    <x v="14"/>
    <x v="0"/>
    <n v="25.883241000000002"/>
  </r>
  <r>
    <x v="7"/>
    <x v="6"/>
    <x v="15"/>
    <x v="0"/>
    <n v="26.826124"/>
  </r>
  <r>
    <x v="7"/>
    <x v="6"/>
    <x v="16"/>
    <x v="0"/>
    <n v="26.632973"/>
  </r>
  <r>
    <x v="7"/>
    <x v="6"/>
    <x v="17"/>
    <x v="0"/>
    <n v="25.767897000000001"/>
  </r>
  <r>
    <x v="7"/>
    <x v="6"/>
    <x v="18"/>
    <x v="0"/>
    <n v="28.077974000000001"/>
  </r>
  <r>
    <x v="7"/>
    <x v="7"/>
    <x v="19"/>
    <x v="0"/>
    <n v="19.249293999999999"/>
  </r>
  <r>
    <x v="7"/>
    <x v="7"/>
    <x v="20"/>
    <x v="0"/>
    <n v="11.753731"/>
  </r>
  <r>
    <x v="7"/>
    <x v="7"/>
    <x v="21"/>
    <x v="0"/>
    <n v="33.073593000000002"/>
  </r>
  <r>
    <x v="7"/>
    <x v="7"/>
    <x v="22"/>
    <x v="0"/>
    <n v="53.471696999999999"/>
  </r>
  <r>
    <x v="7"/>
    <x v="7"/>
    <x v="23"/>
    <x v="0"/>
    <n v="36.083834000000003"/>
  </r>
  <r>
    <x v="7"/>
    <x v="7"/>
    <x v="24"/>
    <x v="0"/>
    <n v="36.441586000000001"/>
  </r>
  <r>
    <x v="7"/>
    <x v="7"/>
    <x v="25"/>
    <x v="0"/>
    <n v="24.704919"/>
  </r>
  <r>
    <x v="7"/>
    <x v="7"/>
    <x v="26"/>
    <x v="0"/>
    <n v="8.2819383000000002"/>
  </r>
  <r>
    <x v="7"/>
    <x v="7"/>
    <x v="27"/>
    <x v="0"/>
    <n v="28.861827000000002"/>
  </r>
  <r>
    <x v="7"/>
    <x v="7"/>
    <x v="28"/>
    <x v="0"/>
    <n v="36.787528999999999"/>
  </r>
  <r>
    <x v="7"/>
    <x v="7"/>
    <x v="29"/>
    <x v="0"/>
    <n v="34.446396999999997"/>
  </r>
  <r>
    <x v="7"/>
    <x v="7"/>
    <x v="30"/>
    <x v="0"/>
    <n v="9.4173276999999995"/>
  </r>
  <r>
    <x v="7"/>
    <x v="7"/>
    <x v="31"/>
    <x v="0"/>
    <n v="21.670190000000002"/>
  </r>
  <r>
    <x v="7"/>
    <x v="7"/>
    <x v="32"/>
    <x v="0"/>
    <n v="18.710833000000001"/>
  </r>
  <r>
    <x v="7"/>
    <x v="7"/>
    <x v="33"/>
    <x v="0"/>
    <n v="43.138514000000001"/>
  </r>
  <r>
    <x v="7"/>
    <x v="7"/>
    <x v="34"/>
    <x v="0"/>
    <n v="11.035743"/>
  </r>
  <r>
    <x v="7"/>
    <x v="7"/>
    <x v="35"/>
    <x v="0"/>
    <n v="11.511424"/>
  </r>
  <r>
    <x v="7"/>
    <x v="7"/>
    <x v="36"/>
    <x v="0"/>
    <n v="22.832618"/>
  </r>
  <r>
    <x v="7"/>
    <x v="0"/>
    <x v="0"/>
    <x v="1"/>
    <n v="47.093170999999998"/>
  </r>
  <r>
    <x v="7"/>
    <x v="1"/>
    <x v="1"/>
    <x v="1"/>
    <n v="47.571565999999997"/>
  </r>
  <r>
    <x v="7"/>
    <x v="1"/>
    <x v="2"/>
    <x v="1"/>
    <n v="46.050545999999997"/>
  </r>
  <r>
    <x v="7"/>
    <x v="1"/>
    <x v="3"/>
    <x v="1"/>
    <n v="47.390528000000003"/>
  </r>
  <r>
    <x v="7"/>
    <x v="1"/>
    <x v="4"/>
    <x v="1"/>
    <n v="49.370381000000002"/>
  </r>
  <r>
    <x v="7"/>
    <x v="2"/>
    <x v="5"/>
    <x v="1"/>
    <n v="46.818071000000003"/>
  </r>
  <r>
    <x v="7"/>
    <x v="2"/>
    <x v="6"/>
    <x v="1"/>
    <n v="46.715190999999997"/>
  </r>
  <r>
    <x v="7"/>
    <x v="2"/>
    <x v="7"/>
    <x v="1"/>
    <n v="47.360472000000001"/>
  </r>
  <r>
    <x v="7"/>
    <x v="2"/>
    <x v="8"/>
    <x v="1"/>
    <n v="48.231000000000002"/>
  </r>
  <r>
    <x v="7"/>
    <x v="3"/>
    <x v="9"/>
    <x v="1"/>
    <n v="48.298416000000003"/>
  </r>
  <r>
    <x v="7"/>
    <x v="3"/>
    <x v="10"/>
    <x v="1"/>
    <n v="45.841923000000001"/>
  </r>
  <r>
    <x v="7"/>
    <x v="4"/>
    <x v="11"/>
    <x v="1"/>
    <n v="47.744047999999999"/>
  </r>
  <r>
    <x v="7"/>
    <x v="4"/>
    <x v="12"/>
    <x v="1"/>
    <n v="46.554324000000001"/>
  </r>
  <r>
    <x v="7"/>
    <x v="5"/>
    <x v="13"/>
    <x v="1"/>
    <n v="47.441603000000001"/>
  </r>
  <r>
    <x v="7"/>
    <x v="5"/>
    <x v="14"/>
    <x v="1"/>
    <n v="46.853107000000001"/>
  </r>
  <r>
    <x v="7"/>
    <x v="6"/>
    <x v="15"/>
    <x v="1"/>
    <n v="48.842041999999999"/>
  </r>
  <r>
    <x v="7"/>
    <x v="6"/>
    <x v="16"/>
    <x v="1"/>
    <n v="46.085259000000001"/>
  </r>
  <r>
    <x v="7"/>
    <x v="6"/>
    <x v="17"/>
    <x v="1"/>
    <n v="47.041300999999997"/>
  </r>
  <r>
    <x v="7"/>
    <x v="6"/>
    <x v="18"/>
    <x v="1"/>
    <n v="47.006877000000003"/>
  </r>
  <r>
    <x v="7"/>
    <x v="7"/>
    <x v="19"/>
    <x v="1"/>
    <n v="55.790149999999997"/>
  </r>
  <r>
    <x v="7"/>
    <x v="7"/>
    <x v="20"/>
    <x v="1"/>
    <n v="51.679104000000002"/>
  </r>
  <r>
    <x v="7"/>
    <x v="7"/>
    <x v="21"/>
    <x v="1"/>
    <n v="47.878788"/>
  </r>
  <r>
    <x v="7"/>
    <x v="7"/>
    <x v="22"/>
    <x v="1"/>
    <n v="36.036512999999999"/>
  </r>
  <r>
    <x v="7"/>
    <x v="7"/>
    <x v="23"/>
    <x v="1"/>
    <n v="49.300061999999997"/>
  </r>
  <r>
    <x v="7"/>
    <x v="7"/>
    <x v="24"/>
    <x v="1"/>
    <n v="47.695605999999998"/>
  </r>
  <r>
    <x v="7"/>
    <x v="7"/>
    <x v="25"/>
    <x v="1"/>
    <n v="47.906542000000002"/>
  </r>
  <r>
    <x v="7"/>
    <x v="7"/>
    <x v="26"/>
    <x v="1"/>
    <n v="30.396476"/>
  </r>
  <r>
    <x v="7"/>
    <x v="7"/>
    <x v="27"/>
    <x v="1"/>
    <n v="47.392060000000001"/>
  </r>
  <r>
    <x v="7"/>
    <x v="7"/>
    <x v="28"/>
    <x v="1"/>
    <n v="50.264285000000001"/>
  </r>
  <r>
    <x v="7"/>
    <x v="7"/>
    <x v="29"/>
    <x v="1"/>
    <n v="45.518453000000001"/>
  </r>
  <r>
    <x v="7"/>
    <x v="7"/>
    <x v="30"/>
    <x v="1"/>
    <n v="45.532375999999999"/>
  </r>
  <r>
    <x v="7"/>
    <x v="7"/>
    <x v="31"/>
    <x v="1"/>
    <n v="41.543340000000001"/>
  </r>
  <r>
    <x v="7"/>
    <x v="7"/>
    <x v="32"/>
    <x v="1"/>
    <n v="63.294539"/>
  </r>
  <r>
    <x v="7"/>
    <x v="7"/>
    <x v="33"/>
    <x v="1"/>
    <n v="47.077714"/>
  </r>
  <r>
    <x v="7"/>
    <x v="7"/>
    <x v="34"/>
    <x v="1"/>
    <n v="58.877138000000002"/>
  </r>
  <r>
    <x v="7"/>
    <x v="7"/>
    <x v="35"/>
    <x v="1"/>
    <n v="51.933216000000002"/>
  </r>
  <r>
    <x v="7"/>
    <x v="7"/>
    <x v="36"/>
    <x v="1"/>
    <n v="32.789700000000003"/>
  </r>
  <r>
    <x v="7"/>
    <x v="0"/>
    <x v="0"/>
    <x v="2"/>
    <n v="23.612489"/>
  </r>
  <r>
    <x v="7"/>
    <x v="1"/>
    <x v="1"/>
    <x v="2"/>
    <n v="23.262875000000001"/>
  </r>
  <r>
    <x v="7"/>
    <x v="1"/>
    <x v="2"/>
    <x v="2"/>
    <n v="23.759246999999998"/>
  </r>
  <r>
    <x v="7"/>
    <x v="1"/>
    <x v="3"/>
    <x v="2"/>
    <n v="24.610568000000001"/>
  </r>
  <r>
    <x v="7"/>
    <x v="1"/>
    <x v="4"/>
    <x v="2"/>
    <n v="21.770271999999999"/>
  </r>
  <r>
    <x v="7"/>
    <x v="2"/>
    <x v="5"/>
    <x v="2"/>
    <n v="27.052202999999999"/>
  </r>
  <r>
    <x v="7"/>
    <x v="2"/>
    <x v="6"/>
    <x v="2"/>
    <n v="22.827107000000002"/>
  </r>
  <r>
    <x v="7"/>
    <x v="2"/>
    <x v="7"/>
    <x v="2"/>
    <n v="22.417003999999999"/>
  </r>
  <r>
    <x v="7"/>
    <x v="2"/>
    <x v="8"/>
    <x v="2"/>
    <n v="23.420425000000002"/>
  </r>
  <r>
    <x v="7"/>
    <x v="3"/>
    <x v="9"/>
    <x v="2"/>
    <n v="22.801179000000001"/>
  </r>
  <r>
    <x v="7"/>
    <x v="3"/>
    <x v="10"/>
    <x v="2"/>
    <n v="24.454765999999999"/>
  </r>
  <r>
    <x v="7"/>
    <x v="4"/>
    <x v="11"/>
    <x v="2"/>
    <n v="23.866973000000002"/>
  </r>
  <r>
    <x v="7"/>
    <x v="4"/>
    <x v="12"/>
    <x v="2"/>
    <n v="23.454470000000001"/>
  </r>
  <r>
    <x v="7"/>
    <x v="5"/>
    <x v="13"/>
    <x v="2"/>
    <n v="23.316005000000001"/>
  </r>
  <r>
    <x v="7"/>
    <x v="5"/>
    <x v="14"/>
    <x v="2"/>
    <n v="23.763822999999999"/>
  </r>
  <r>
    <x v="7"/>
    <x v="6"/>
    <x v="15"/>
    <x v="2"/>
    <n v="22.417359999999999"/>
  </r>
  <r>
    <x v="7"/>
    <x v="6"/>
    <x v="16"/>
    <x v="2"/>
    <n v="23.681479"/>
  </r>
  <r>
    <x v="7"/>
    <x v="6"/>
    <x v="17"/>
    <x v="2"/>
    <n v="23.822137999999999"/>
  </r>
  <r>
    <x v="7"/>
    <x v="6"/>
    <x v="18"/>
    <x v="2"/>
    <n v="21.584900000000001"/>
  </r>
  <r>
    <x v="7"/>
    <x v="7"/>
    <x v="19"/>
    <x v="2"/>
    <n v="23.468385999999999"/>
  </r>
  <r>
    <x v="7"/>
    <x v="7"/>
    <x v="20"/>
    <x v="2"/>
    <n v="33.768656999999997"/>
  </r>
  <r>
    <x v="7"/>
    <x v="7"/>
    <x v="21"/>
    <x v="2"/>
    <n v="16.883116999999999"/>
  </r>
  <r>
    <x v="7"/>
    <x v="7"/>
    <x v="22"/>
    <x v="2"/>
    <n v="8.8218986000000008"/>
  </r>
  <r>
    <x v="7"/>
    <x v="7"/>
    <x v="23"/>
    <x v="2"/>
    <n v="13.740816000000001"/>
  </r>
  <r>
    <x v="7"/>
    <x v="7"/>
    <x v="24"/>
    <x v="2"/>
    <n v="13.504823"/>
  </r>
  <r>
    <x v="7"/>
    <x v="7"/>
    <x v="25"/>
    <x v="2"/>
    <n v="24.421942000000001"/>
  </r>
  <r>
    <x v="7"/>
    <x v="7"/>
    <x v="26"/>
    <x v="2"/>
    <n v="53.480176"/>
  </r>
  <r>
    <x v="7"/>
    <x v="7"/>
    <x v="27"/>
    <x v="2"/>
    <n v="20.530225999999999"/>
  </r>
  <r>
    <x v="7"/>
    <x v="7"/>
    <x v="28"/>
    <x v="2"/>
    <n v="10.611508000000001"/>
  </r>
  <r>
    <x v="7"/>
    <x v="7"/>
    <x v="29"/>
    <x v="2"/>
    <n v="17.135325000000002"/>
  </r>
  <r>
    <x v="7"/>
    <x v="7"/>
    <x v="30"/>
    <x v="2"/>
    <n v="39.511923000000003"/>
  </r>
  <r>
    <x v="7"/>
    <x v="7"/>
    <x v="31"/>
    <x v="2"/>
    <n v="29.704017"/>
  </r>
  <r>
    <x v="7"/>
    <x v="7"/>
    <x v="32"/>
    <x v="2"/>
    <n v="16.830797"/>
  </r>
  <r>
    <x v="7"/>
    <x v="7"/>
    <x v="33"/>
    <x v="2"/>
    <n v="8.8417898000000008"/>
  </r>
  <r>
    <x v="7"/>
    <x v="7"/>
    <x v="34"/>
    <x v="2"/>
    <n v="26.956633"/>
  </r>
  <r>
    <x v="7"/>
    <x v="7"/>
    <x v="35"/>
    <x v="2"/>
    <n v="33.743409"/>
  </r>
  <r>
    <x v="7"/>
    <x v="7"/>
    <x v="36"/>
    <x v="2"/>
    <n v="34.849784999999997"/>
  </r>
  <r>
    <x v="7"/>
    <x v="0"/>
    <x v="0"/>
    <x v="3"/>
    <n v="3.3499807000000001"/>
  </r>
  <r>
    <x v="7"/>
    <x v="1"/>
    <x v="1"/>
    <x v="3"/>
    <n v="3.212656"/>
  </r>
  <r>
    <x v="7"/>
    <x v="1"/>
    <x v="2"/>
    <x v="3"/>
    <n v="3.4422079000000001"/>
  </r>
  <r>
    <x v="7"/>
    <x v="1"/>
    <x v="3"/>
    <x v="3"/>
    <n v="3.2879662000000001"/>
  </r>
  <r>
    <x v="7"/>
    <x v="1"/>
    <x v="4"/>
    <x v="3"/>
    <n v="3.4063148000000001"/>
  </r>
  <r>
    <x v="7"/>
    <x v="2"/>
    <x v="5"/>
    <x v="3"/>
    <n v="3.2091359000000002"/>
  </r>
  <r>
    <x v="7"/>
    <x v="2"/>
    <x v="6"/>
    <x v="3"/>
    <n v="3.5246743"/>
  </r>
  <r>
    <x v="7"/>
    <x v="2"/>
    <x v="7"/>
    <x v="3"/>
    <n v="3.2232881"/>
  </r>
  <r>
    <x v="7"/>
    <x v="2"/>
    <x v="8"/>
    <x v="3"/>
    <n v="3.4091597999999999"/>
  </r>
  <r>
    <x v="7"/>
    <x v="3"/>
    <x v="9"/>
    <x v="3"/>
    <n v="3.1666276999999998"/>
  </r>
  <r>
    <x v="7"/>
    <x v="3"/>
    <x v="10"/>
    <x v="3"/>
    <n v="3.5403319"/>
  </r>
  <r>
    <x v="7"/>
    <x v="4"/>
    <x v="11"/>
    <x v="3"/>
    <n v="3.4615079999999998"/>
  </r>
  <r>
    <x v="7"/>
    <x v="4"/>
    <x v="12"/>
    <x v="3"/>
    <n v="3.2753283"/>
  </r>
  <r>
    <x v="7"/>
    <x v="5"/>
    <x v="13"/>
    <x v="3"/>
    <n v="3.0319976"/>
  </r>
  <r>
    <x v="7"/>
    <x v="5"/>
    <x v="14"/>
    <x v="3"/>
    <n v="3.4998295000000001"/>
  </r>
  <r>
    <x v="7"/>
    <x v="6"/>
    <x v="15"/>
    <x v="3"/>
    <n v="1.9144730999999999"/>
  </r>
  <r>
    <x v="7"/>
    <x v="6"/>
    <x v="16"/>
    <x v="3"/>
    <n v="3.6002893999999999"/>
  </r>
  <r>
    <x v="7"/>
    <x v="6"/>
    <x v="17"/>
    <x v="3"/>
    <n v="3.3686628999999999"/>
  </r>
  <r>
    <x v="7"/>
    <x v="6"/>
    <x v="18"/>
    <x v="3"/>
    <n v="3.3302486"/>
  </r>
  <r>
    <x v="7"/>
    <x v="7"/>
    <x v="19"/>
    <x v="3"/>
    <n v="1.4921697"/>
  </r>
  <r>
    <x v="7"/>
    <x v="7"/>
    <x v="20"/>
    <x v="3"/>
    <n v="2.7985074999999999"/>
  </r>
  <r>
    <x v="7"/>
    <x v="7"/>
    <x v="21"/>
    <x v="3"/>
    <n v="2.1645021999999998"/>
  </r>
  <r>
    <x v="7"/>
    <x v="7"/>
    <x v="22"/>
    <x v="3"/>
    <n v="1.6698915000000001"/>
  </r>
  <r>
    <x v="7"/>
    <x v="7"/>
    <x v="23"/>
    <x v="3"/>
    <n v="0.87528797000000003"/>
  </r>
  <r>
    <x v="7"/>
    <x v="7"/>
    <x v="24"/>
    <x v="3"/>
    <n v="2.3579850000000002"/>
  </r>
  <r>
    <x v="7"/>
    <x v="7"/>
    <x v="25"/>
    <x v="3"/>
    <n v="2.9665975000000002"/>
  </r>
  <r>
    <x v="7"/>
    <x v="7"/>
    <x v="26"/>
    <x v="3"/>
    <n v="7.8414096999999998"/>
  </r>
  <r>
    <x v="7"/>
    <x v="7"/>
    <x v="27"/>
    <x v="3"/>
    <n v="3.2158871000000002"/>
  </r>
  <r>
    <x v="7"/>
    <x v="7"/>
    <x v="28"/>
    <x v="3"/>
    <n v="2.3366783"/>
  </r>
  <r>
    <x v="7"/>
    <x v="7"/>
    <x v="29"/>
    <x v="3"/>
    <n v="2.8998243000000001"/>
  </r>
  <r>
    <x v="7"/>
    <x v="7"/>
    <x v="30"/>
    <x v="3"/>
    <n v="5.5383737999999996"/>
  </r>
  <r>
    <x v="7"/>
    <x v="7"/>
    <x v="31"/>
    <x v="3"/>
    <n v="7.0824524000000002"/>
  </r>
  <r>
    <x v="7"/>
    <x v="7"/>
    <x v="32"/>
    <x v="3"/>
    <n v="1.1638317"/>
  </r>
  <r>
    <x v="7"/>
    <x v="7"/>
    <x v="33"/>
    <x v="3"/>
    <n v="0.94198243999999998"/>
  </r>
  <r>
    <x v="7"/>
    <x v="7"/>
    <x v="34"/>
    <x v="3"/>
    <n v="3.1304859999999999"/>
  </r>
  <r>
    <x v="7"/>
    <x v="7"/>
    <x v="35"/>
    <x v="3"/>
    <n v="2.8119508"/>
  </r>
  <r>
    <x v="7"/>
    <x v="7"/>
    <x v="36"/>
    <x v="3"/>
    <n v="9.5278969999999994"/>
  </r>
  <r>
    <x v="8"/>
    <x v="0"/>
    <x v="0"/>
    <x v="0"/>
    <n v="26.252865"/>
  </r>
  <r>
    <x v="8"/>
    <x v="1"/>
    <x v="1"/>
    <x v="0"/>
    <n v="27.210549"/>
  </r>
  <r>
    <x v="8"/>
    <x v="1"/>
    <x v="2"/>
    <x v="0"/>
    <n v="25.205729999999999"/>
  </r>
  <r>
    <x v="8"/>
    <x v="1"/>
    <x v="3"/>
    <x v="0"/>
    <n v="24.757245000000001"/>
  </r>
  <r>
    <x v="8"/>
    <x v="1"/>
    <x v="4"/>
    <x v="0"/>
    <n v="30.890633999999999"/>
  </r>
  <r>
    <x v="8"/>
    <x v="2"/>
    <x v="5"/>
    <x v="0"/>
    <n v="23.888877999999998"/>
  </r>
  <r>
    <x v="8"/>
    <x v="2"/>
    <x v="6"/>
    <x v="0"/>
    <n v="26.881084000000001"/>
  </r>
  <r>
    <x v="8"/>
    <x v="2"/>
    <x v="7"/>
    <x v="0"/>
    <n v="27.055838000000001"/>
  </r>
  <r>
    <x v="8"/>
    <x v="2"/>
    <x v="8"/>
    <x v="0"/>
    <n v="25.852409000000002"/>
  </r>
  <r>
    <x v="8"/>
    <x v="3"/>
    <x v="9"/>
    <x v="0"/>
    <n v="26.071373000000001"/>
  </r>
  <r>
    <x v="8"/>
    <x v="3"/>
    <x v="10"/>
    <x v="0"/>
    <n v="26.442668999999999"/>
  </r>
  <r>
    <x v="8"/>
    <x v="4"/>
    <x v="11"/>
    <x v="0"/>
    <n v="26.796137999999999"/>
  </r>
  <r>
    <x v="8"/>
    <x v="4"/>
    <x v="12"/>
    <x v="0"/>
    <n v="25.882147"/>
  </r>
  <r>
    <x v="8"/>
    <x v="5"/>
    <x v="13"/>
    <x v="0"/>
    <n v="25.971672000000002"/>
  </r>
  <r>
    <x v="8"/>
    <x v="5"/>
    <x v="14"/>
    <x v="0"/>
    <n v="26.430112000000001"/>
  </r>
  <r>
    <x v="8"/>
    <x v="6"/>
    <x v="15"/>
    <x v="0"/>
    <n v="16.82206"/>
  </r>
  <r>
    <x v="8"/>
    <x v="6"/>
    <x v="16"/>
    <x v="0"/>
    <n v="27.149611"/>
  </r>
  <r>
    <x v="8"/>
    <x v="6"/>
    <x v="17"/>
    <x v="0"/>
    <n v="26.208086000000002"/>
  </r>
  <r>
    <x v="8"/>
    <x v="6"/>
    <x v="18"/>
    <x v="0"/>
    <n v="27.577276999999999"/>
  </r>
  <r>
    <x v="8"/>
    <x v="7"/>
    <x v="19"/>
    <x v="0"/>
    <n v="19.246361"/>
  </r>
  <r>
    <x v="8"/>
    <x v="7"/>
    <x v="20"/>
    <x v="0"/>
    <n v="10.186916"/>
  </r>
  <r>
    <x v="8"/>
    <x v="7"/>
    <x v="21"/>
    <x v="0"/>
    <n v="45.877550999999997"/>
  </r>
  <r>
    <x v="8"/>
    <x v="7"/>
    <x v="22"/>
    <x v="0"/>
    <n v="46.469115000000002"/>
  </r>
  <r>
    <x v="8"/>
    <x v="7"/>
    <x v="23"/>
    <x v="0"/>
    <n v="35.171315999999997"/>
  </r>
  <r>
    <x v="8"/>
    <x v="7"/>
    <x v="24"/>
    <x v="0"/>
    <n v="29.804728000000001"/>
  </r>
  <r>
    <x v="8"/>
    <x v="7"/>
    <x v="25"/>
    <x v="0"/>
    <n v="22.398561999999998"/>
  </r>
  <r>
    <x v="8"/>
    <x v="7"/>
    <x v="26"/>
    <x v="0"/>
    <n v="12.694063999999999"/>
  </r>
  <r>
    <x v="8"/>
    <x v="7"/>
    <x v="27"/>
    <x v="0"/>
    <n v="30.019269999999999"/>
  </r>
  <r>
    <x v="8"/>
    <x v="7"/>
    <x v="28"/>
    <x v="0"/>
    <n v="30.363510999999999"/>
  </r>
  <r>
    <x v="8"/>
    <x v="7"/>
    <x v="29"/>
    <x v="0"/>
    <n v="34.641638"/>
  </r>
  <r>
    <x v="8"/>
    <x v="7"/>
    <x v="30"/>
    <x v="0"/>
    <n v="11.479555"/>
  </r>
  <r>
    <x v="8"/>
    <x v="7"/>
    <x v="31"/>
    <x v="0"/>
    <n v="18.997911999999999"/>
  </r>
  <r>
    <x v="8"/>
    <x v="7"/>
    <x v="32"/>
    <x v="0"/>
    <n v="21.038495999999999"/>
  </r>
  <r>
    <x v="8"/>
    <x v="7"/>
    <x v="33"/>
    <x v="0"/>
    <n v="33.464216999999998"/>
  </r>
  <r>
    <x v="8"/>
    <x v="7"/>
    <x v="34"/>
    <x v="0"/>
    <n v="20.097871999999999"/>
  </r>
  <r>
    <x v="8"/>
    <x v="7"/>
    <x v="35"/>
    <x v="0"/>
    <n v="9.5113438000000006"/>
  </r>
  <r>
    <x v="8"/>
    <x v="7"/>
    <x v="36"/>
    <x v="0"/>
    <n v="33.447978999999997"/>
  </r>
  <r>
    <x v="8"/>
    <x v="0"/>
    <x v="0"/>
    <x v="1"/>
    <n v="49.261628999999999"/>
  </r>
  <r>
    <x v="8"/>
    <x v="1"/>
    <x v="1"/>
    <x v="1"/>
    <n v="49.168073"/>
  </r>
  <r>
    <x v="8"/>
    <x v="1"/>
    <x v="2"/>
    <x v="1"/>
    <n v="50.222037"/>
  </r>
  <r>
    <x v="8"/>
    <x v="1"/>
    <x v="3"/>
    <x v="1"/>
    <n v="48.148069999999997"/>
  </r>
  <r>
    <x v="8"/>
    <x v="1"/>
    <x v="4"/>
    <x v="1"/>
    <n v="48.349567"/>
  </r>
  <r>
    <x v="8"/>
    <x v="2"/>
    <x v="5"/>
    <x v="1"/>
    <n v="48.224406000000002"/>
  </r>
  <r>
    <x v="8"/>
    <x v="2"/>
    <x v="6"/>
    <x v="1"/>
    <n v="48.054544999999997"/>
  </r>
  <r>
    <x v="8"/>
    <x v="2"/>
    <x v="7"/>
    <x v="1"/>
    <n v="51.059576"/>
  </r>
  <r>
    <x v="8"/>
    <x v="2"/>
    <x v="8"/>
    <x v="1"/>
    <n v="49.886730999999997"/>
  </r>
  <r>
    <x v="8"/>
    <x v="3"/>
    <x v="9"/>
    <x v="1"/>
    <n v="50.315153000000002"/>
  </r>
  <r>
    <x v="8"/>
    <x v="3"/>
    <x v="10"/>
    <x v="1"/>
    <n v="48.159852999999998"/>
  </r>
  <r>
    <x v="8"/>
    <x v="4"/>
    <x v="11"/>
    <x v="1"/>
    <n v="48.435692000000003"/>
  </r>
  <r>
    <x v="8"/>
    <x v="4"/>
    <x v="12"/>
    <x v="1"/>
    <n v="49.863740999999997"/>
  </r>
  <r>
    <x v="8"/>
    <x v="5"/>
    <x v="13"/>
    <x v="1"/>
    <n v="50.029860999999997"/>
  </r>
  <r>
    <x v="8"/>
    <x v="5"/>
    <x v="14"/>
    <x v="1"/>
    <n v="48.860450999999998"/>
  </r>
  <r>
    <x v="8"/>
    <x v="6"/>
    <x v="15"/>
    <x v="1"/>
    <n v="52.979951999999997"/>
  </r>
  <r>
    <x v="8"/>
    <x v="6"/>
    <x v="16"/>
    <x v="1"/>
    <n v="48.849217000000003"/>
  </r>
  <r>
    <x v="8"/>
    <x v="6"/>
    <x v="17"/>
    <x v="1"/>
    <n v="49.594002000000003"/>
  </r>
  <r>
    <x v="8"/>
    <x v="6"/>
    <x v="18"/>
    <x v="1"/>
    <n v="49.238256"/>
  </r>
  <r>
    <x v="8"/>
    <x v="7"/>
    <x v="19"/>
    <x v="1"/>
    <n v="59.286805000000001"/>
  </r>
  <r>
    <x v="8"/>
    <x v="7"/>
    <x v="20"/>
    <x v="1"/>
    <n v="42.803738000000003"/>
  </r>
  <r>
    <x v="8"/>
    <x v="7"/>
    <x v="21"/>
    <x v="1"/>
    <n v="46.448979999999999"/>
  </r>
  <r>
    <x v="8"/>
    <x v="7"/>
    <x v="22"/>
    <x v="1"/>
    <n v="48.472453000000002"/>
  </r>
  <r>
    <x v="8"/>
    <x v="7"/>
    <x v="23"/>
    <x v="1"/>
    <n v="50.418059"/>
  </r>
  <r>
    <x v="8"/>
    <x v="7"/>
    <x v="24"/>
    <x v="1"/>
    <n v="51.490236000000003"/>
  </r>
  <r>
    <x v="8"/>
    <x v="7"/>
    <x v="25"/>
    <x v="1"/>
    <n v="52.008187"/>
  </r>
  <r>
    <x v="8"/>
    <x v="7"/>
    <x v="26"/>
    <x v="1"/>
    <n v="33.515982000000001"/>
  </r>
  <r>
    <x v="8"/>
    <x v="7"/>
    <x v="27"/>
    <x v="1"/>
    <n v="48.586154999999998"/>
  </r>
  <r>
    <x v="8"/>
    <x v="7"/>
    <x v="28"/>
    <x v="1"/>
    <n v="49.472824000000003"/>
  </r>
  <r>
    <x v="8"/>
    <x v="7"/>
    <x v="29"/>
    <x v="1"/>
    <n v="47.781570000000002"/>
  </r>
  <r>
    <x v="8"/>
    <x v="7"/>
    <x v="30"/>
    <x v="1"/>
    <n v="46.344521"/>
  </r>
  <r>
    <x v="8"/>
    <x v="7"/>
    <x v="31"/>
    <x v="1"/>
    <n v="43.110647"/>
  </r>
  <r>
    <x v="8"/>
    <x v="7"/>
    <x v="32"/>
    <x v="1"/>
    <n v="61.235452000000002"/>
  </r>
  <r>
    <x v="8"/>
    <x v="7"/>
    <x v="33"/>
    <x v="1"/>
    <n v="52.214106999999998"/>
  </r>
  <r>
    <x v="8"/>
    <x v="7"/>
    <x v="34"/>
    <x v="1"/>
    <n v="56.643070000000002"/>
  </r>
  <r>
    <x v="8"/>
    <x v="7"/>
    <x v="35"/>
    <x v="1"/>
    <n v="56.195461999999999"/>
  </r>
  <r>
    <x v="8"/>
    <x v="7"/>
    <x v="36"/>
    <x v="1"/>
    <n v="40.584695000000004"/>
  </r>
  <r>
    <x v="8"/>
    <x v="0"/>
    <x v="0"/>
    <x v="2"/>
    <n v="22.292144"/>
  </r>
  <r>
    <x v="8"/>
    <x v="1"/>
    <x v="1"/>
    <x v="2"/>
    <n v="21.097324"/>
  </r>
  <r>
    <x v="8"/>
    <x v="1"/>
    <x v="2"/>
    <x v="2"/>
    <n v="22.227945999999999"/>
  </r>
  <r>
    <x v="8"/>
    <x v="1"/>
    <x v="3"/>
    <x v="2"/>
    <n v="25.148339"/>
  </r>
  <r>
    <x v="8"/>
    <x v="1"/>
    <x v="4"/>
    <x v="2"/>
    <n v="19.157785000000001"/>
  </r>
  <r>
    <x v="8"/>
    <x v="2"/>
    <x v="5"/>
    <x v="2"/>
    <n v="25.688791999999999"/>
  </r>
  <r>
    <x v="8"/>
    <x v="2"/>
    <x v="6"/>
    <x v="2"/>
    <n v="22.944051000000002"/>
  </r>
  <r>
    <x v="8"/>
    <x v="2"/>
    <x v="7"/>
    <x v="2"/>
    <n v="19.604341999999999"/>
  </r>
  <r>
    <x v="8"/>
    <x v="2"/>
    <x v="8"/>
    <x v="2"/>
    <n v="22.091456000000001"/>
  </r>
  <r>
    <x v="8"/>
    <x v="3"/>
    <x v="9"/>
    <x v="2"/>
    <n v="21.547270999999999"/>
  </r>
  <r>
    <x v="8"/>
    <x v="3"/>
    <x v="10"/>
    <x v="2"/>
    <n v="23.071131999999999"/>
  </r>
  <r>
    <x v="8"/>
    <x v="4"/>
    <x v="11"/>
    <x v="2"/>
    <n v="22.664303"/>
  </r>
  <r>
    <x v="8"/>
    <x v="4"/>
    <x v="12"/>
    <x v="2"/>
    <n v="22.003854"/>
  </r>
  <r>
    <x v="8"/>
    <x v="5"/>
    <x v="13"/>
    <x v="2"/>
    <n v="21.638867999999999"/>
  </r>
  <r>
    <x v="8"/>
    <x v="5"/>
    <x v="14"/>
    <x v="2"/>
    <n v="22.626552"/>
  </r>
  <r>
    <x v="8"/>
    <x v="6"/>
    <x v="15"/>
    <x v="2"/>
    <n v="28.171928999999999"/>
  </r>
  <r>
    <x v="8"/>
    <x v="6"/>
    <x v="16"/>
    <x v="2"/>
    <n v="22.024708"/>
  </r>
  <r>
    <x v="8"/>
    <x v="6"/>
    <x v="17"/>
    <x v="2"/>
    <n v="21.811738999999999"/>
  </r>
  <r>
    <x v="8"/>
    <x v="6"/>
    <x v="18"/>
    <x v="2"/>
    <n v="20.676867999999999"/>
  </r>
  <r>
    <x v="8"/>
    <x v="7"/>
    <x v="19"/>
    <x v="2"/>
    <n v="20.282094000000001"/>
  </r>
  <r>
    <x v="8"/>
    <x v="7"/>
    <x v="20"/>
    <x v="2"/>
    <n v="43.271028000000001"/>
  </r>
  <r>
    <x v="8"/>
    <x v="7"/>
    <x v="21"/>
    <x v="2"/>
    <n v="6.7755102000000003"/>
  </r>
  <r>
    <x v="8"/>
    <x v="7"/>
    <x v="22"/>
    <x v="2"/>
    <n v="4.3216903999999996"/>
  </r>
  <r>
    <x v="8"/>
    <x v="7"/>
    <x v="23"/>
    <x v="2"/>
    <n v="13.404645"/>
  </r>
  <r>
    <x v="8"/>
    <x v="7"/>
    <x v="24"/>
    <x v="2"/>
    <n v="16.855087000000001"/>
  </r>
  <r>
    <x v="8"/>
    <x v="7"/>
    <x v="25"/>
    <x v="2"/>
    <n v="23.605629"/>
  </r>
  <r>
    <x v="8"/>
    <x v="7"/>
    <x v="26"/>
    <x v="2"/>
    <n v="49.315067999999997"/>
  </r>
  <r>
    <x v="8"/>
    <x v="7"/>
    <x v="27"/>
    <x v="2"/>
    <n v="18.523802"/>
  </r>
  <r>
    <x v="8"/>
    <x v="7"/>
    <x v="28"/>
    <x v="2"/>
    <n v="17.9146"/>
  </r>
  <r>
    <x v="8"/>
    <x v="7"/>
    <x v="29"/>
    <x v="2"/>
    <n v="15.614333999999999"/>
  </r>
  <r>
    <x v="8"/>
    <x v="7"/>
    <x v="30"/>
    <x v="2"/>
    <n v="36.130049999999997"/>
  </r>
  <r>
    <x v="8"/>
    <x v="7"/>
    <x v="31"/>
    <x v="2"/>
    <n v="34.759915999999997"/>
  </r>
  <r>
    <x v="8"/>
    <x v="7"/>
    <x v="32"/>
    <x v="2"/>
    <n v="17.009848000000002"/>
  </r>
  <r>
    <x v="8"/>
    <x v="7"/>
    <x v="33"/>
    <x v="2"/>
    <n v="13.730549999999999"/>
  </r>
  <r>
    <x v="8"/>
    <x v="7"/>
    <x v="34"/>
    <x v="2"/>
    <n v="21.842766999999998"/>
  </r>
  <r>
    <x v="8"/>
    <x v="7"/>
    <x v="35"/>
    <x v="2"/>
    <n v="32.809773"/>
  </r>
  <r>
    <x v="8"/>
    <x v="7"/>
    <x v="36"/>
    <x v="2"/>
    <n v="21.668099999999999"/>
  </r>
  <r>
    <x v="8"/>
    <x v="0"/>
    <x v="0"/>
    <x v="3"/>
    <n v="2.1933620999999999"/>
  </r>
  <r>
    <x v="8"/>
    <x v="1"/>
    <x v="1"/>
    <x v="3"/>
    <n v="2.5240535999999998"/>
  </r>
  <r>
    <x v="8"/>
    <x v="1"/>
    <x v="2"/>
    <x v="3"/>
    <n v="2.3442875999999999"/>
  </r>
  <r>
    <x v="8"/>
    <x v="1"/>
    <x v="3"/>
    <x v="3"/>
    <n v="1.9463462"/>
  </r>
  <r>
    <x v="8"/>
    <x v="1"/>
    <x v="4"/>
    <x v="3"/>
    <n v="1.6020137999999999"/>
  </r>
  <r>
    <x v="8"/>
    <x v="2"/>
    <x v="5"/>
    <x v="3"/>
    <n v="2.1979236000000002"/>
  </r>
  <r>
    <x v="8"/>
    <x v="2"/>
    <x v="6"/>
    <x v="3"/>
    <n v="2.1203205999999999"/>
  </r>
  <r>
    <x v="8"/>
    <x v="2"/>
    <x v="7"/>
    <x v="3"/>
    <n v="2.2802437000000002"/>
  </r>
  <r>
    <x v="8"/>
    <x v="2"/>
    <x v="8"/>
    <x v="3"/>
    <n v="2.1694046"/>
  </r>
  <r>
    <x v="8"/>
    <x v="3"/>
    <x v="9"/>
    <x v="3"/>
    <n v="2.0662029"/>
  </r>
  <r>
    <x v="8"/>
    <x v="3"/>
    <x v="10"/>
    <x v="3"/>
    <n v="2.3263452999999998"/>
  </r>
  <r>
    <x v="8"/>
    <x v="4"/>
    <x v="11"/>
    <x v="3"/>
    <n v="2.1038674999999998"/>
  </r>
  <r>
    <x v="8"/>
    <x v="4"/>
    <x v="12"/>
    <x v="3"/>
    <n v="2.2502583"/>
  </r>
  <r>
    <x v="8"/>
    <x v="5"/>
    <x v="13"/>
    <x v="3"/>
    <n v="2.3595982000000002"/>
  </r>
  <r>
    <x v="8"/>
    <x v="5"/>
    <x v="14"/>
    <x v="3"/>
    <n v="2.0828855000000002"/>
  </r>
  <r>
    <x v="8"/>
    <x v="6"/>
    <x v="15"/>
    <x v="3"/>
    <n v="2.0260587999999999"/>
  </r>
  <r>
    <x v="8"/>
    <x v="6"/>
    <x v="16"/>
    <x v="3"/>
    <n v="1.9764633"/>
  </r>
  <r>
    <x v="8"/>
    <x v="6"/>
    <x v="17"/>
    <x v="3"/>
    <n v="2.3861732999999998"/>
  </r>
  <r>
    <x v="8"/>
    <x v="6"/>
    <x v="18"/>
    <x v="3"/>
    <n v="2.5075987"/>
  </r>
  <r>
    <x v="8"/>
    <x v="7"/>
    <x v="19"/>
    <x v="3"/>
    <n v="1.1847398"/>
  </r>
  <r>
    <x v="8"/>
    <x v="7"/>
    <x v="20"/>
    <x v="3"/>
    <n v="3.7383177999999999"/>
  </r>
  <r>
    <x v="8"/>
    <x v="7"/>
    <x v="21"/>
    <x v="3"/>
    <n v="0.89795917999999997"/>
  </r>
  <r>
    <x v="8"/>
    <x v="7"/>
    <x v="22"/>
    <x v="3"/>
    <n v="0.7367416"/>
  </r>
  <r>
    <x v="8"/>
    <x v="7"/>
    <x v="23"/>
    <x v="3"/>
    <n v="1.0059803"/>
  </r>
  <r>
    <x v="8"/>
    <x v="7"/>
    <x v="24"/>
    <x v="3"/>
    <n v="1.8499486000000001"/>
  </r>
  <r>
    <x v="8"/>
    <x v="7"/>
    <x v="25"/>
    <x v="3"/>
    <n v="1.9876208"/>
  </r>
  <r>
    <x v="8"/>
    <x v="7"/>
    <x v="26"/>
    <x v="3"/>
    <n v="4.4748858"/>
  </r>
  <r>
    <x v="8"/>
    <x v="7"/>
    <x v="27"/>
    <x v="3"/>
    <n v="2.8707731999999999"/>
  </r>
  <r>
    <x v="8"/>
    <x v="7"/>
    <x v="28"/>
    <x v="3"/>
    <n v="2.2490649999999999"/>
  </r>
  <r>
    <x v="8"/>
    <x v="7"/>
    <x v="29"/>
    <x v="3"/>
    <n v="1.9624573000000001"/>
  </r>
  <r>
    <x v="8"/>
    <x v="7"/>
    <x v="30"/>
    <x v="3"/>
    <n v="6.0458748"/>
  </r>
  <r>
    <x v="8"/>
    <x v="7"/>
    <x v="31"/>
    <x v="3"/>
    <n v="3.1315240000000002"/>
  </r>
  <r>
    <x v="8"/>
    <x v="7"/>
    <x v="32"/>
    <x v="3"/>
    <n v="0.71620412"/>
  </r>
  <r>
    <x v="8"/>
    <x v="7"/>
    <x v="33"/>
    <x v="3"/>
    <n v="0.59112704000000005"/>
  </r>
  <r>
    <x v="8"/>
    <x v="7"/>
    <x v="34"/>
    <x v="3"/>
    <n v="1.4162916999999999"/>
  </r>
  <r>
    <x v="8"/>
    <x v="7"/>
    <x v="35"/>
    <x v="3"/>
    <n v="1.4834206000000001"/>
  </r>
  <r>
    <x v="8"/>
    <x v="7"/>
    <x v="36"/>
    <x v="3"/>
    <n v="4.2992261000000003"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  <r>
    <x v="9"/>
    <x v="8"/>
    <x v="37"/>
    <x v="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n v="164743"/>
    <n v="69.731971740722599"/>
    <n v="0.45941939949989302"/>
  </r>
  <r>
    <x v="0"/>
    <x v="1"/>
    <n v="146354"/>
    <n v="87.674377441406193"/>
    <n v="0.32873219251632602"/>
  </r>
  <r>
    <x v="1"/>
    <x v="2"/>
    <n v="164984"/>
    <n v="10.8045492172241"/>
    <n v="0.31043881177902199"/>
  </r>
  <r>
    <x v="1"/>
    <x v="3"/>
    <n v="164521"/>
    <n v="27.285158157348601"/>
    <n v="0.44542655348777699"/>
  </r>
  <r>
    <x v="1"/>
    <x v="4"/>
    <n v="164719"/>
    <n v="29.6321506500244"/>
    <n v="0.456635892391204"/>
  </r>
  <r>
    <x v="1"/>
    <x v="5"/>
    <n v="146686"/>
    <n v="79.216911315917898"/>
    <n v="0.40575650334358199"/>
  </r>
  <r>
    <x v="1"/>
    <x v="6"/>
    <n v="165650"/>
    <n v="73.65087890625"/>
    <n v="0.44052782654762201"/>
  </r>
  <r>
    <x v="2"/>
    <x v="7"/>
    <n v="131980"/>
    <n v="5.4774284362792898"/>
    <n v="2.63738942146301"/>
  </r>
  <r>
    <x v="1"/>
    <x v="8"/>
    <n v="165108"/>
    <n v="45.142822265625"/>
    <n v="0.49763670563697798"/>
  </r>
  <r>
    <x v="1"/>
    <x v="9"/>
    <n v="114297"/>
    <n v="76.485176086425696"/>
    <n v="0.42409327626228299"/>
  </r>
  <r>
    <x v="1"/>
    <x v="10"/>
    <n v="165195"/>
    <n v="51.721160888671797"/>
    <n v="0.49970519542693997"/>
  </r>
  <r>
    <x v="3"/>
    <x v="11"/>
    <n v="167091"/>
    <n v="64.068756103515597"/>
    <n v="0.47980037331581099"/>
  </r>
  <r>
    <x v="3"/>
    <x v="12"/>
    <n v="165925"/>
    <n v="89.953857421875"/>
    <n v="0.30061513185500999"/>
  </r>
  <r>
    <x v="3"/>
    <x v="13"/>
    <n v="132792"/>
    <n v="16.768659591674801"/>
    <n v="0.373589158058166"/>
  </r>
  <r>
    <x v="3"/>
    <x v="14"/>
    <n v="165925"/>
    <n v="32.383068084716697"/>
    <n v="0.46793767809867798"/>
  </r>
  <r>
    <x v="3"/>
    <x v="15"/>
    <n v="167091"/>
    <n v="9.9489355087280202"/>
    <n v="0.29931932687759299"/>
  </r>
  <r>
    <x v="2"/>
    <x v="16"/>
    <n v="167420"/>
    <n v="39.488845825195298"/>
    <n v="16.175086975097599"/>
  </r>
  <r>
    <x v="2"/>
    <x v="17"/>
    <n v="165329"/>
    <n v="70.700576782226506"/>
    <n v="0.45513722300529402"/>
  </r>
  <r>
    <x v="2"/>
    <x v="18"/>
    <n v="167436"/>
    <n v="49.080863952636697"/>
    <n v="0.49991700053214999"/>
  </r>
  <r>
    <x v="2"/>
    <x v="19"/>
    <n v="166121"/>
    <n v="57.301521301269503"/>
    <n v="0.494641542434691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10EE6A-CC3B-4398-8188-392006BFD075}" name="PivotTable2" cacheId="26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5" indent="0" outline="1" outlineData="1" multipleFieldFilters="0">
  <location ref="G2:J26" firstHeaderRow="0" firstDataRow="1" firstDataCol="1"/>
  <pivotFields count="5">
    <pivotField axis="axisRow" showAll="0" defaultSubtotal="0">
      <items count="4">
        <item x="2"/>
        <item x="3"/>
        <item x="0"/>
        <item x="1"/>
      </items>
    </pivotField>
    <pivotField axis="axisRow" showAll="0">
      <items count="21">
        <item x="0"/>
        <item x="1"/>
        <item x="16"/>
        <item x="3"/>
        <item x="18"/>
        <item x="17"/>
        <item x="19"/>
        <item x="4"/>
        <item x="5"/>
        <item x="6"/>
        <item x="12"/>
        <item x="9"/>
        <item x="14"/>
        <item x="10"/>
        <item x="13"/>
        <item x="11"/>
        <item x="8"/>
        <item x="15"/>
        <item x="2"/>
        <item x="7"/>
        <item t="default"/>
      </items>
    </pivotField>
    <pivotField dataField="1" showAll="0"/>
    <pivotField dataField="1" showAll="0"/>
    <pivotField dataField="1" showAll="0"/>
  </pivotFields>
  <rowFields count="2">
    <field x="0"/>
    <field x="1"/>
  </rowFields>
  <rowItems count="24">
    <i>
      <x/>
    </i>
    <i r="1">
      <x v="2"/>
    </i>
    <i r="1">
      <x v="4"/>
    </i>
    <i r="1">
      <x v="5"/>
    </i>
    <i r="1">
      <x v="6"/>
    </i>
    <i r="1">
      <x v="19"/>
    </i>
    <i>
      <x v="1"/>
    </i>
    <i r="1">
      <x v="10"/>
    </i>
    <i r="1">
      <x v="12"/>
    </i>
    <i r="1">
      <x v="14"/>
    </i>
    <i r="1">
      <x v="15"/>
    </i>
    <i r="1">
      <x v="17"/>
    </i>
    <i>
      <x v="2"/>
    </i>
    <i r="1">
      <x/>
    </i>
    <i r="1">
      <x v="1"/>
    </i>
    <i>
      <x v="3"/>
    </i>
    <i r="1">
      <x v="3"/>
    </i>
    <i r="1">
      <x v="7"/>
    </i>
    <i r="1">
      <x v="8"/>
    </i>
    <i r="1">
      <x v="9"/>
    </i>
    <i r="1">
      <x v="11"/>
    </i>
    <i r="1">
      <x v="13"/>
    </i>
    <i r="1">
      <x v="16"/>
    </i>
    <i r="1">
      <x v="18"/>
    </i>
  </rowItems>
  <colFields count="1">
    <field x="-2"/>
  </colFields>
  <colItems count="3">
    <i>
      <x/>
    </i>
    <i i="1">
      <x v="1"/>
    </i>
    <i i="2">
      <x v="2"/>
    </i>
  </colItems>
  <dataFields count="3">
    <dataField name="Mean " fld="3" baseField="0" baseItem="0"/>
    <dataField name="Standard Deviation" fld="4" baseField="0" baseItem="0"/>
    <dataField name="Observations" fld="2" baseField="0" baseItem="0" numFmtId="166"/>
  </dataFields>
  <formats count="33">
    <format dxfId="0">
      <pivotArea type="all" dataOnly="0" outline="0" fieldPosition="0"/>
    </format>
    <format dxfId="1">
      <pivotArea outline="0" collapsedLevelsAreSubtotals="1" fieldPosition="0"/>
    </format>
    <format dxfId="2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4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field="0" type="button" dataOnly="0" labelOnly="1" outline="0" axis="axisRow" fieldPosition="0"/>
    </format>
    <format dxfId="9">
      <pivotArea dataOnly="0" labelOnly="1" fieldPosition="0">
        <references count="1">
          <reference field="0" count="0"/>
        </references>
      </pivotArea>
    </format>
    <format dxfId="10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1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">
      <pivotArea collapsedLevelsAreSubtotals="1" fieldPosition="0">
        <references count="2">
          <reference field="0" count="1" selected="0">
            <x v="0"/>
          </reference>
          <reference field="1" count="4">
            <x v="2"/>
            <x v="4"/>
            <x v="5"/>
            <x v="6"/>
          </reference>
        </references>
      </pivotArea>
    </format>
    <format dxfId="13">
      <pivotArea collapsedLevelsAreSubtotals="1" fieldPosition="0">
        <references count="2">
          <reference field="0" count="1" selected="0">
            <x v="3"/>
          </reference>
          <reference field="1" count="7">
            <x v="1"/>
            <x v="3"/>
            <x v="7"/>
            <x v="8"/>
            <x v="9"/>
            <x v="11"/>
            <x v="13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6">
      <pivotArea outline="0" collapsedLevelsAreSubtotals="1" fieldPosition="0"/>
    </format>
    <format dxfId="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">
      <pivotArea outline="0" collapsedLevelsAreSubtotals="1" fieldPosition="0"/>
    </format>
    <format dxfId="1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">
      <pivotArea collapsedLevelsAreSubtotals="1" fieldPosition="0">
        <references count="3">
          <reference field="4294967294" count="2" selected="0">
            <x v="0"/>
            <x v="1"/>
          </reference>
          <reference field="0" count="1" selected="0">
            <x v="3"/>
          </reference>
          <reference field="1" count="8">
            <x v="1"/>
            <x v="3"/>
            <x v="7"/>
            <x v="8"/>
            <x v="9"/>
            <x v="11"/>
            <x v="13"/>
            <x v="16"/>
          </reference>
        </references>
      </pivotArea>
    </format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2">
          <reference field="0" count="1" selected="0">
            <x v="0"/>
          </reference>
          <reference field="1" count="1">
            <x v="19"/>
          </reference>
        </references>
      </pivotArea>
    </format>
    <format dxfId="24">
      <pivotArea collapsedLevelsAreSubtotals="1" fieldPosition="0">
        <references count="1">
          <reference field="0" count="1">
            <x v="1"/>
          </reference>
        </references>
      </pivotArea>
    </format>
    <format dxfId="25">
      <pivotArea collapsedLevelsAreSubtotals="1" fieldPosition="0">
        <references count="2">
          <reference field="0" count="1" selected="0">
            <x v="1"/>
          </reference>
          <reference field="1" count="5">
            <x v="10"/>
            <x v="12"/>
            <x v="14"/>
            <x v="15"/>
            <x v="17"/>
          </reference>
        </references>
      </pivotArea>
    </format>
    <format dxfId="26">
      <pivotArea collapsedLevelsAreSubtotals="1" fieldPosition="0">
        <references count="1">
          <reference field="0" count="1">
            <x v="2"/>
          </reference>
        </references>
      </pivotArea>
    </format>
    <format dxfId="27">
      <pivotArea collapsedLevelsAreSubtotals="1" fieldPosition="0">
        <references count="2">
          <reference field="0" count="1" selected="0">
            <x v="2"/>
          </reference>
          <reference field="1" count="2">
            <x v="0"/>
            <x v="1"/>
          </reference>
        </references>
      </pivotArea>
    </format>
    <format dxfId="28">
      <pivotArea collapsedLevelsAreSubtotals="1" fieldPosition="0">
        <references count="1">
          <reference field="0" count="1">
            <x v="3"/>
          </reference>
        </references>
      </pivotArea>
    </format>
    <format dxfId="29">
      <pivotArea collapsedLevelsAreSubtotals="1" fieldPosition="0">
        <references count="2">
          <reference field="0" count="1" selected="0">
            <x v="2"/>
          </reference>
          <reference field="1" count="1">
            <x v="0"/>
          </reference>
        </references>
      </pivotArea>
    </format>
    <format dxfId="30">
      <pivotArea collapsedLevelsAreSubtotals="1" fieldPosition="0">
        <references count="1">
          <reference field="0" count="1">
            <x v="2"/>
          </reference>
        </references>
      </pivotArea>
    </format>
    <format dxfId="31">
      <pivotArea collapsedLevelsAreSubtotals="1" fieldPosition="0">
        <references count="2">
          <reference field="0" count="1" selected="0">
            <x v="1"/>
          </reference>
          <reference field="1" count="3">
            <x v="10"/>
            <x v="12"/>
            <x v="15"/>
          </reference>
        </references>
      </pivotArea>
    </format>
    <format dxfId="3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>
            <x v="2"/>
          </reference>
        </references>
      </pivotArea>
    </format>
  </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PivotTable1" cacheId="7" applyNumberFormats="0" applyBorderFormats="0" applyFontFormats="0" applyPatternFormats="0" applyAlignmentFormats="0" applyWidthHeightFormats="1" dataCaption="Values" grandTotalCaption="Total" updatedVersion="7" minRefreshableVersion="3" useAutoFormatting="1" rowGrandTotals="0" itemPrintTitles="1" createdVersion="5" indent="0" showHeaders="0" outline="1" outlineData="1" multipleFieldFilters="0">
  <location ref="H3:M49" firstHeaderRow="1" firstDataRow="2" firstDataCol="1" rowPageCount="1" colPageCount="1"/>
  <pivotFields count="5">
    <pivotField axis="axisPage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 defaultSubtotal="0">
      <items count="10">
        <item x="0"/>
        <item x="3"/>
        <item x="2"/>
        <item x="4"/>
        <item x="5"/>
        <item x="1"/>
        <item x="6"/>
        <item m="1" x="9"/>
        <item x="7"/>
        <item x="8"/>
      </items>
    </pivotField>
    <pivotField axis="axisRow" showAll="0">
      <items count="42">
        <item m="1" x="39"/>
        <item x="5"/>
        <item x="6"/>
        <item x="7"/>
        <item x="8"/>
        <item x="0"/>
        <item x="19"/>
        <item x="20"/>
        <item x="21"/>
        <item x="14"/>
        <item x="22"/>
        <item x="23"/>
        <item x="2"/>
        <item x="3"/>
        <item x="4"/>
        <item x="24"/>
        <item x="25"/>
        <item x="26"/>
        <item x="34"/>
        <item x="16"/>
        <item x="15"/>
        <item x="9"/>
        <item x="27"/>
        <item x="28"/>
        <item x="1"/>
        <item x="10"/>
        <item x="12"/>
        <item x="29"/>
        <item m="1" x="40"/>
        <item x="30"/>
        <item x="13"/>
        <item x="11"/>
        <item x="31"/>
        <item x="33"/>
        <item x="32"/>
        <item x="17"/>
        <item m="1" x="38"/>
        <item x="18"/>
        <item x="35"/>
        <item x="36"/>
        <item x="37"/>
        <item t="default"/>
      </items>
    </pivotField>
    <pivotField axis="axisCol" showAll="0">
      <items count="6">
        <item x="0"/>
        <item x="1"/>
        <item x="2"/>
        <item x="3"/>
        <item h="1" x="4"/>
        <item t="default"/>
      </items>
    </pivotField>
    <pivotField dataField="1" showAll="0"/>
  </pivotFields>
  <rowFields count="2">
    <field x="1"/>
    <field x="2"/>
  </rowFields>
  <rowItems count="45">
    <i>
      <x/>
    </i>
    <i r="1">
      <x v="5"/>
    </i>
    <i>
      <x v="1"/>
    </i>
    <i r="1">
      <x v="21"/>
    </i>
    <i r="1">
      <x v="25"/>
    </i>
    <i>
      <x v="2"/>
    </i>
    <i r="1">
      <x v="1"/>
    </i>
    <i r="1">
      <x v="2"/>
    </i>
    <i r="1">
      <x v="3"/>
    </i>
    <i r="1">
      <x v="4"/>
    </i>
    <i>
      <x v="3"/>
    </i>
    <i r="1">
      <x v="26"/>
    </i>
    <i r="1">
      <x v="31"/>
    </i>
    <i>
      <x v="4"/>
    </i>
    <i r="1">
      <x v="9"/>
    </i>
    <i r="1">
      <x v="30"/>
    </i>
    <i>
      <x v="5"/>
    </i>
    <i r="1">
      <x v="12"/>
    </i>
    <i r="1">
      <x v="13"/>
    </i>
    <i r="1">
      <x v="14"/>
    </i>
    <i r="1">
      <x v="24"/>
    </i>
    <i>
      <x v="6"/>
    </i>
    <i r="1">
      <x v="19"/>
    </i>
    <i r="1">
      <x v="20"/>
    </i>
    <i r="1">
      <x v="35"/>
    </i>
    <i r="1">
      <x v="37"/>
    </i>
    <i>
      <x v="8"/>
    </i>
    <i r="1">
      <x v="6"/>
    </i>
    <i r="1">
      <x v="7"/>
    </i>
    <i r="1">
      <x v="8"/>
    </i>
    <i r="1">
      <x v="10"/>
    </i>
    <i r="1">
      <x v="11"/>
    </i>
    <i r="1">
      <x v="15"/>
    </i>
    <i r="1">
      <x v="16"/>
    </i>
    <i r="1">
      <x v="17"/>
    </i>
    <i r="1">
      <x v="18"/>
    </i>
    <i r="1">
      <x v="22"/>
    </i>
    <i r="1">
      <x v="23"/>
    </i>
    <i r="1">
      <x v="27"/>
    </i>
    <i r="1">
      <x v="29"/>
    </i>
    <i r="1">
      <x v="32"/>
    </i>
    <i r="1">
      <x v="33"/>
    </i>
    <i r="1">
      <x v="34"/>
    </i>
    <i r="1">
      <x v="38"/>
    </i>
    <i r="1">
      <x v="39"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1">
    <pageField fld="0" hier="-1"/>
  </pageFields>
  <dataFields count="1">
    <dataField name="Average of Percent" fld="4" subtotal="average" baseField="2" baseItem="5" numFmtId="2"/>
  </dataFields>
  <formats count="15">
    <format dxfId="226">
      <pivotArea type="all" dataOnly="0" outline="0" fieldPosition="0"/>
    </format>
    <format dxfId="225">
      <pivotArea outline="0" collapsedLevelsAreSubtotals="1" fieldPosition="0"/>
    </format>
    <format dxfId="224">
      <pivotArea dataOnly="0" labelOnly="1" fieldPosition="0">
        <references count="1">
          <reference field="1" count="0"/>
        </references>
      </pivotArea>
    </format>
    <format dxfId="223">
      <pivotArea dataOnly="0" labelOnly="1" grandRow="1" outline="0" fieldPosition="0"/>
    </format>
    <format dxfId="222">
      <pivotArea dataOnly="0" labelOnly="1" fieldPosition="0">
        <references count="2">
          <reference field="1" count="1" selected="0">
            <x v="0"/>
          </reference>
          <reference field="2" count="0"/>
        </references>
      </pivotArea>
    </format>
    <format dxfId="221">
      <pivotArea dataOnly="0" labelOnly="1" fieldPosition="0">
        <references count="1">
          <reference field="3" count="0"/>
        </references>
      </pivotArea>
    </format>
    <format dxfId="220">
      <pivotArea outline="0" collapsedLevelsAreSubtotals="1" fieldPosition="0"/>
    </format>
    <format dxfId="219">
      <pivotArea dataOnly="0" labelOnly="1" fieldPosition="0">
        <references count="1">
          <reference field="3" count="0"/>
        </references>
      </pivotArea>
    </format>
    <format dxfId="218">
      <pivotArea outline="0" collapsedLevelsAreSubtotals="1" fieldPosition="0"/>
    </format>
    <format dxfId="217">
      <pivotArea dataOnly="0" labelOnly="1" fieldPosition="0">
        <references count="1">
          <reference field="3" count="0"/>
        </references>
      </pivotArea>
    </format>
    <format dxfId="216">
      <pivotArea dataOnly="0" labelOnly="1" grandCol="1" outline="0" fieldPosition="0"/>
    </format>
    <format dxfId="215">
      <pivotArea outline="0" collapsedLevelsAreSubtotals="1" fieldPosition="0"/>
    </format>
    <format dxfId="214">
      <pivotArea dataOnly="0" labelOnly="1" fieldPosition="0">
        <references count="1">
          <reference field="3" count="0"/>
        </references>
      </pivotArea>
    </format>
    <format dxfId="213">
      <pivotArea dataOnly="0" labelOnly="1" grandCol="1" outline="0" fieldPosition="0"/>
    </format>
    <format dxfId="212">
      <pivotArea grandCol="1" outline="0" collapsedLevelsAreSubtotals="1" fieldPosition="0"/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A68B5-B780-43BF-8E92-BD60C8C14F67}">
  <dimension ref="B1:Q81"/>
  <sheetViews>
    <sheetView showGridLines="0" workbookViewId="0">
      <selection activeCell="T17" sqref="T17"/>
    </sheetView>
  </sheetViews>
  <sheetFormatPr defaultRowHeight="15"/>
  <cols>
    <col min="2" max="2" width="16" bestFit="1" customWidth="1"/>
    <col min="15" max="15" width="10.5703125" style="27" customWidth="1"/>
  </cols>
  <sheetData>
    <row r="1" spans="2:17" ht="15.75" thickBot="1"/>
    <row r="2" spans="2:17" ht="15.75" thickBot="1">
      <c r="B2" s="110" t="s">
        <v>177</v>
      </c>
    </row>
    <row r="3" spans="2:17">
      <c r="B3" t="s">
        <v>175</v>
      </c>
      <c r="C3">
        <v>1997</v>
      </c>
      <c r="D3">
        <v>2001</v>
      </c>
      <c r="E3">
        <v>2002</v>
      </c>
      <c r="F3">
        <v>2007</v>
      </c>
      <c r="G3">
        <v>2009</v>
      </c>
      <c r="H3">
        <v>2010</v>
      </c>
      <c r="I3">
        <v>2011</v>
      </c>
      <c r="J3">
        <v>2013</v>
      </c>
      <c r="K3">
        <v>2015</v>
      </c>
      <c r="L3">
        <v>2016</v>
      </c>
      <c r="M3">
        <v>2017</v>
      </c>
      <c r="N3">
        <v>2018</v>
      </c>
      <c r="O3" s="27" t="s">
        <v>79</v>
      </c>
      <c r="Q3" t="s">
        <v>176</v>
      </c>
    </row>
    <row r="5" spans="2:17">
      <c r="B5" t="s">
        <v>61</v>
      </c>
      <c r="C5" s="108">
        <v>1171</v>
      </c>
      <c r="D5" s="108">
        <v>1165</v>
      </c>
      <c r="E5" s="108">
        <v>1185</v>
      </c>
      <c r="F5" s="108">
        <v>1169</v>
      </c>
      <c r="G5" s="108">
        <v>1165</v>
      </c>
      <c r="H5" s="108">
        <v>1165</v>
      </c>
      <c r="I5" s="108">
        <v>1171</v>
      </c>
      <c r="J5" s="108">
        <v>1091</v>
      </c>
      <c r="K5" s="108">
        <v>1150</v>
      </c>
      <c r="L5" s="108">
        <v>1158</v>
      </c>
      <c r="M5" s="108">
        <v>1146</v>
      </c>
      <c r="N5" s="108">
        <v>1156</v>
      </c>
      <c r="O5" s="109">
        <v>13892</v>
      </c>
      <c r="Q5" s="108">
        <f>+O5-O29</f>
        <v>13892</v>
      </c>
    </row>
    <row r="6" spans="2:17">
      <c r="B6" t="s">
        <v>62</v>
      </c>
      <c r="C6">
        <v>776</v>
      </c>
      <c r="D6" s="108">
        <v>1057</v>
      </c>
      <c r="E6" s="108">
        <v>1188</v>
      </c>
      <c r="F6" s="108">
        <v>1156</v>
      </c>
      <c r="G6" s="108">
        <v>1134</v>
      </c>
      <c r="H6" s="108">
        <v>1101</v>
      </c>
      <c r="I6" s="108">
        <v>1128</v>
      </c>
      <c r="J6" s="108">
        <v>1072</v>
      </c>
      <c r="K6" s="108">
        <v>1070</v>
      </c>
      <c r="L6" s="108">
        <v>1099</v>
      </c>
      <c r="M6" s="108">
        <v>1141</v>
      </c>
      <c r="N6" s="108">
        <v>1113</v>
      </c>
      <c r="O6" s="109">
        <v>13035</v>
      </c>
      <c r="Q6" s="108">
        <f t="shared" ref="Q6:Q24" si="0">+O6-O30</f>
        <v>13035</v>
      </c>
    </row>
    <row r="7" spans="2:17">
      <c r="B7" t="s">
        <v>170</v>
      </c>
      <c r="C7">
        <v>976</v>
      </c>
      <c r="D7">
        <v>947</v>
      </c>
      <c r="E7">
        <v>969</v>
      </c>
      <c r="F7" s="108">
        <v>1166</v>
      </c>
      <c r="G7" s="108">
        <v>1173</v>
      </c>
      <c r="H7" s="108">
        <v>1150</v>
      </c>
      <c r="I7" s="108">
        <v>1184</v>
      </c>
      <c r="J7" s="108">
        <v>1155</v>
      </c>
      <c r="K7" s="108">
        <v>1225</v>
      </c>
      <c r="L7" s="108">
        <v>1156</v>
      </c>
      <c r="M7" s="108">
        <v>1179</v>
      </c>
      <c r="N7" s="108">
        <v>1170</v>
      </c>
      <c r="O7" s="109">
        <v>13450</v>
      </c>
      <c r="Q7" s="108">
        <f t="shared" si="0"/>
        <v>13450</v>
      </c>
    </row>
    <row r="8" spans="2:17">
      <c r="B8" t="s">
        <v>64</v>
      </c>
      <c r="C8" s="108">
        <v>1183</v>
      </c>
      <c r="D8" s="108">
        <v>1150</v>
      </c>
      <c r="E8" s="108">
        <v>1164</v>
      </c>
      <c r="F8" s="108">
        <v>1164</v>
      </c>
      <c r="G8" s="108">
        <v>1166</v>
      </c>
      <c r="H8" s="108">
        <v>1175</v>
      </c>
      <c r="I8" s="108">
        <v>1178</v>
      </c>
      <c r="J8" s="108">
        <v>1169</v>
      </c>
      <c r="K8" s="108">
        <v>1159</v>
      </c>
      <c r="L8" s="108">
        <v>1183</v>
      </c>
      <c r="M8" s="108">
        <v>1169</v>
      </c>
      <c r="N8" s="108">
        <v>1175</v>
      </c>
      <c r="O8" s="109">
        <v>14035</v>
      </c>
      <c r="Q8" s="108">
        <f t="shared" si="0"/>
        <v>14035</v>
      </c>
    </row>
    <row r="9" spans="2:17">
      <c r="B9" t="s">
        <v>65</v>
      </c>
      <c r="C9" s="108">
        <v>1188</v>
      </c>
      <c r="D9" s="108">
        <v>1165</v>
      </c>
      <c r="E9" s="108">
        <v>1130</v>
      </c>
      <c r="F9" s="108">
        <v>1183</v>
      </c>
      <c r="G9" s="108">
        <v>1126</v>
      </c>
      <c r="H9" s="108">
        <v>1163</v>
      </c>
      <c r="I9" s="108">
        <v>1186</v>
      </c>
      <c r="J9" s="108">
        <v>1182</v>
      </c>
      <c r="K9" s="108">
        <v>1181</v>
      </c>
      <c r="L9" s="108">
        <v>1174</v>
      </c>
      <c r="M9" s="108">
        <v>1179</v>
      </c>
      <c r="N9" s="108">
        <v>1178</v>
      </c>
      <c r="O9" s="109">
        <v>14035</v>
      </c>
      <c r="Q9" s="108">
        <f t="shared" si="0"/>
        <v>14035</v>
      </c>
    </row>
    <row r="10" spans="2:17">
      <c r="B10" t="s">
        <v>66</v>
      </c>
      <c r="C10">
        <v>986</v>
      </c>
      <c r="D10">
        <v>943</v>
      </c>
      <c r="E10">
        <v>900</v>
      </c>
      <c r="F10">
        <v>964</v>
      </c>
      <c r="G10">
        <v>946</v>
      </c>
      <c r="H10">
        <v>966</v>
      </c>
      <c r="I10">
        <v>973</v>
      </c>
      <c r="J10">
        <v>933</v>
      </c>
      <c r="K10">
        <v>973</v>
      </c>
      <c r="L10">
        <v>955</v>
      </c>
      <c r="M10">
        <v>955</v>
      </c>
      <c r="N10">
        <v>965</v>
      </c>
      <c r="O10" s="109">
        <v>11459</v>
      </c>
      <c r="Q10" s="108">
        <f t="shared" si="0"/>
        <v>11459</v>
      </c>
    </row>
    <row r="11" spans="2:17">
      <c r="B11" t="s">
        <v>171</v>
      </c>
      <c r="C11">
        <v>0</v>
      </c>
      <c r="D11">
        <v>0</v>
      </c>
      <c r="E11">
        <v>0</v>
      </c>
      <c r="F11">
        <v>969</v>
      </c>
      <c r="G11">
        <v>973</v>
      </c>
      <c r="H11">
        <v>990</v>
      </c>
      <c r="I11">
        <v>990</v>
      </c>
      <c r="J11">
        <v>944</v>
      </c>
      <c r="K11">
        <v>972</v>
      </c>
      <c r="L11">
        <v>951</v>
      </c>
      <c r="M11">
        <v>975</v>
      </c>
      <c r="N11">
        <v>970</v>
      </c>
      <c r="O11" s="109">
        <v>8734</v>
      </c>
      <c r="Q11" s="108">
        <f>+O11-O35</f>
        <v>8734</v>
      </c>
    </row>
    <row r="12" spans="2:17">
      <c r="B12" t="s">
        <v>68</v>
      </c>
      <c r="C12" s="108">
        <v>1132</v>
      </c>
      <c r="D12" s="108">
        <v>1166</v>
      </c>
      <c r="E12" s="108">
        <v>1184</v>
      </c>
      <c r="F12" s="108">
        <v>1181</v>
      </c>
      <c r="G12" s="108">
        <v>1143</v>
      </c>
      <c r="H12" s="108">
        <v>1146</v>
      </c>
      <c r="I12" s="108">
        <v>1155</v>
      </c>
      <c r="J12" s="108">
        <v>1135</v>
      </c>
      <c r="K12" s="108">
        <v>1095</v>
      </c>
      <c r="L12" s="108">
        <v>1154</v>
      </c>
      <c r="M12" s="108">
        <v>1145</v>
      </c>
      <c r="N12" s="108">
        <v>1159</v>
      </c>
      <c r="O12" s="109">
        <v>13795</v>
      </c>
      <c r="Q12" s="108">
        <f t="shared" si="0"/>
        <v>13795</v>
      </c>
    </row>
    <row r="13" spans="2:17">
      <c r="B13" t="s">
        <v>76</v>
      </c>
      <c r="C13">
        <v>990</v>
      </c>
      <c r="D13">
        <v>912</v>
      </c>
      <c r="E13">
        <v>865</v>
      </c>
      <c r="F13">
        <v>952</v>
      </c>
      <c r="G13">
        <v>908</v>
      </c>
      <c r="H13">
        <v>915</v>
      </c>
      <c r="I13">
        <v>949</v>
      </c>
      <c r="J13">
        <v>924</v>
      </c>
      <c r="K13">
        <v>940</v>
      </c>
      <c r="L13">
        <v>892</v>
      </c>
      <c r="M13">
        <v>961</v>
      </c>
      <c r="N13">
        <v>976</v>
      </c>
      <c r="O13" s="109">
        <v>11184</v>
      </c>
      <c r="Q13" s="108">
        <f t="shared" si="0"/>
        <v>11184</v>
      </c>
    </row>
    <row r="14" spans="2:17">
      <c r="B14" t="s">
        <v>69</v>
      </c>
      <c r="C14">
        <v>929</v>
      </c>
      <c r="D14">
        <v>938</v>
      </c>
      <c r="E14">
        <v>909</v>
      </c>
      <c r="F14">
        <v>935</v>
      </c>
      <c r="G14">
        <v>952</v>
      </c>
      <c r="H14">
        <v>955</v>
      </c>
      <c r="I14">
        <v>926</v>
      </c>
      <c r="J14">
        <v>933</v>
      </c>
      <c r="K14">
        <v>915</v>
      </c>
      <c r="L14">
        <v>916</v>
      </c>
      <c r="M14">
        <v>944</v>
      </c>
      <c r="N14">
        <v>918</v>
      </c>
      <c r="O14" s="109">
        <v>11170</v>
      </c>
      <c r="Q14" s="108">
        <f t="shared" si="0"/>
        <v>11170</v>
      </c>
    </row>
    <row r="15" spans="2:17">
      <c r="B15" t="s">
        <v>70</v>
      </c>
      <c r="C15">
        <v>969</v>
      </c>
      <c r="D15">
        <v>959</v>
      </c>
      <c r="E15">
        <v>925</v>
      </c>
      <c r="F15">
        <v>938</v>
      </c>
      <c r="G15">
        <v>937</v>
      </c>
      <c r="H15">
        <v>943</v>
      </c>
      <c r="I15">
        <v>978</v>
      </c>
      <c r="J15">
        <v>935</v>
      </c>
      <c r="K15">
        <v>923</v>
      </c>
      <c r="L15">
        <v>954</v>
      </c>
      <c r="M15">
        <v>962</v>
      </c>
      <c r="N15">
        <v>952</v>
      </c>
      <c r="O15" s="109">
        <v>11375</v>
      </c>
      <c r="Q15" s="108">
        <f t="shared" si="0"/>
        <v>11375</v>
      </c>
    </row>
    <row r="16" spans="2:17">
      <c r="B16" t="s">
        <v>172</v>
      </c>
      <c r="C16" s="108">
        <v>1077</v>
      </c>
      <c r="D16" s="108">
        <v>1241</v>
      </c>
      <c r="E16" s="108">
        <v>1200</v>
      </c>
      <c r="F16" s="108">
        <v>1166</v>
      </c>
      <c r="G16" s="108">
        <v>1164</v>
      </c>
      <c r="H16" s="108">
        <v>1179</v>
      </c>
      <c r="I16" s="108">
        <v>1165</v>
      </c>
      <c r="J16" s="108">
        <v>1138</v>
      </c>
      <c r="K16" s="108">
        <v>1172</v>
      </c>
      <c r="L16" s="108">
        <v>1176</v>
      </c>
      <c r="M16" s="108">
        <v>1172</v>
      </c>
      <c r="N16" s="108">
        <v>1163</v>
      </c>
      <c r="O16" s="109">
        <v>14013</v>
      </c>
      <c r="Q16" s="108">
        <f t="shared" si="0"/>
        <v>14013</v>
      </c>
    </row>
    <row r="17" spans="2:17">
      <c r="B17" t="s">
        <v>72</v>
      </c>
      <c r="C17">
        <v>985</v>
      </c>
      <c r="D17">
        <v>967</v>
      </c>
      <c r="E17">
        <v>907</v>
      </c>
      <c r="F17">
        <v>917</v>
      </c>
      <c r="G17">
        <v>941</v>
      </c>
      <c r="H17">
        <v>830</v>
      </c>
      <c r="I17">
        <v>834</v>
      </c>
      <c r="J17">
        <v>901</v>
      </c>
      <c r="K17">
        <v>895</v>
      </c>
      <c r="L17">
        <v>937</v>
      </c>
      <c r="M17">
        <v>924</v>
      </c>
      <c r="N17">
        <v>916</v>
      </c>
      <c r="O17" s="109">
        <v>10954</v>
      </c>
      <c r="Q17" s="108">
        <f t="shared" si="0"/>
        <v>10954</v>
      </c>
    </row>
    <row r="18" spans="2:17">
      <c r="B18" t="s">
        <v>173</v>
      </c>
      <c r="C18">
        <v>999</v>
      </c>
      <c r="D18">
        <v>896</v>
      </c>
      <c r="E18">
        <v>975</v>
      </c>
      <c r="F18">
        <v>979</v>
      </c>
      <c r="G18">
        <v>949</v>
      </c>
      <c r="H18">
        <v>961</v>
      </c>
      <c r="I18">
        <v>960</v>
      </c>
      <c r="J18">
        <v>946</v>
      </c>
      <c r="K18">
        <v>958</v>
      </c>
      <c r="L18">
        <v>956</v>
      </c>
      <c r="M18">
        <v>958</v>
      </c>
      <c r="N18">
        <v>960</v>
      </c>
      <c r="O18" s="109">
        <v>11497</v>
      </c>
      <c r="Q18" s="108">
        <f t="shared" si="0"/>
        <v>11497</v>
      </c>
    </row>
    <row r="19" spans="2:17">
      <c r="B19" t="s">
        <v>75</v>
      </c>
      <c r="C19">
        <v>540</v>
      </c>
      <c r="D19">
        <v>590</v>
      </c>
      <c r="E19">
        <v>593</v>
      </c>
      <c r="F19" s="108">
        <v>1133</v>
      </c>
      <c r="G19" s="108">
        <v>1155</v>
      </c>
      <c r="H19" s="108">
        <v>1138</v>
      </c>
      <c r="I19" s="108">
        <v>1146</v>
      </c>
      <c r="J19" s="108">
        <v>1167</v>
      </c>
      <c r="K19" s="108">
        <v>1122</v>
      </c>
      <c r="L19" s="108">
        <v>1180</v>
      </c>
      <c r="M19" s="108">
        <v>1160</v>
      </c>
      <c r="N19" s="108">
        <v>1154</v>
      </c>
      <c r="O19" s="109">
        <v>12078</v>
      </c>
      <c r="Q19" s="108">
        <f t="shared" si="0"/>
        <v>12078</v>
      </c>
    </row>
    <row r="20" spans="2:17">
      <c r="B20" t="s">
        <v>174</v>
      </c>
      <c r="C20" s="108">
        <v>1021</v>
      </c>
      <c r="D20">
        <v>987</v>
      </c>
      <c r="E20" s="108">
        <v>1141</v>
      </c>
      <c r="F20" s="108">
        <v>1156</v>
      </c>
      <c r="G20" s="108">
        <v>1130</v>
      </c>
      <c r="H20" s="108">
        <v>1121</v>
      </c>
      <c r="I20" s="108">
        <v>1150</v>
      </c>
      <c r="J20" s="108">
        <v>1117</v>
      </c>
      <c r="K20" s="108">
        <v>1117</v>
      </c>
      <c r="L20" s="108">
        <v>1135</v>
      </c>
      <c r="M20" s="108">
        <v>1139</v>
      </c>
      <c r="N20" s="108">
        <v>1138</v>
      </c>
      <c r="O20" s="109">
        <v>13352</v>
      </c>
      <c r="Q20" s="108">
        <f t="shared" si="0"/>
        <v>13352</v>
      </c>
    </row>
    <row r="21" spans="2:17">
      <c r="B21" t="s">
        <v>77</v>
      </c>
      <c r="C21" s="108">
        <v>1146</v>
      </c>
      <c r="D21" s="108">
        <v>1150</v>
      </c>
      <c r="E21" s="108">
        <v>1157</v>
      </c>
      <c r="F21" s="108">
        <v>1132</v>
      </c>
      <c r="G21" s="108">
        <v>1115</v>
      </c>
      <c r="H21" s="108">
        <v>1128</v>
      </c>
      <c r="I21" s="108">
        <v>1121</v>
      </c>
      <c r="J21" s="108">
        <v>1138</v>
      </c>
      <c r="K21" s="108">
        <v>1146</v>
      </c>
      <c r="L21" s="108">
        <v>1146</v>
      </c>
      <c r="M21" s="108">
        <v>1168</v>
      </c>
      <c r="N21" s="108">
        <v>1134</v>
      </c>
      <c r="O21" s="109">
        <v>13681</v>
      </c>
      <c r="Q21" s="108">
        <f t="shared" si="0"/>
        <v>13681</v>
      </c>
    </row>
    <row r="22" spans="2:17">
      <c r="B22" t="s">
        <v>78</v>
      </c>
      <c r="C22" s="108">
        <v>1144</v>
      </c>
      <c r="D22" s="108">
        <v>1155</v>
      </c>
      <c r="E22" s="108">
        <v>1123</v>
      </c>
      <c r="F22" s="108">
        <v>1148</v>
      </c>
      <c r="G22" s="108">
        <v>1117</v>
      </c>
      <c r="H22" s="108">
        <v>1147</v>
      </c>
      <c r="I22" s="108">
        <v>1131</v>
      </c>
      <c r="J22" s="108">
        <v>1165</v>
      </c>
      <c r="K22" s="108">
        <v>1163</v>
      </c>
      <c r="L22" s="108">
        <v>1184</v>
      </c>
      <c r="M22" s="108">
        <v>1170</v>
      </c>
      <c r="N22" s="108">
        <v>1181</v>
      </c>
      <c r="O22" s="109">
        <v>13828</v>
      </c>
      <c r="Q22" s="108">
        <f t="shared" si="0"/>
        <v>13828</v>
      </c>
    </row>
    <row r="23" spans="2:17" ht="15.75" customHeight="1">
      <c r="Q23" s="108"/>
    </row>
    <row r="24" spans="2:17">
      <c r="B24" t="s">
        <v>79</v>
      </c>
      <c r="C24" s="108">
        <f>SUM(C5:C23)</f>
        <v>17212</v>
      </c>
      <c r="D24" s="108">
        <f t="shared" ref="D24:O24" si="1">SUM(D5:D23)</f>
        <v>17388</v>
      </c>
      <c r="E24" s="108">
        <f t="shared" si="1"/>
        <v>17515</v>
      </c>
      <c r="F24" s="108">
        <f t="shared" si="1"/>
        <v>19408</v>
      </c>
      <c r="G24" s="108">
        <f t="shared" si="1"/>
        <v>19194</v>
      </c>
      <c r="H24" s="108">
        <f t="shared" si="1"/>
        <v>19173</v>
      </c>
      <c r="I24" s="108">
        <f t="shared" si="1"/>
        <v>19325</v>
      </c>
      <c r="J24" s="108">
        <f t="shared" si="1"/>
        <v>19045</v>
      </c>
      <c r="K24" s="108">
        <f t="shared" si="1"/>
        <v>19176</v>
      </c>
      <c r="L24" s="108">
        <f t="shared" si="1"/>
        <v>19306</v>
      </c>
      <c r="M24" s="108">
        <f t="shared" si="1"/>
        <v>19447</v>
      </c>
      <c r="N24" s="108">
        <f t="shared" si="1"/>
        <v>19378</v>
      </c>
      <c r="O24" s="108">
        <f t="shared" si="1"/>
        <v>225567</v>
      </c>
      <c r="Q24" s="108">
        <f t="shared" si="0"/>
        <v>225567</v>
      </c>
    </row>
    <row r="26" spans="2:17">
      <c r="O26"/>
    </row>
    <row r="27" spans="2:17">
      <c r="O27"/>
    </row>
    <row r="28" spans="2:17">
      <c r="O28"/>
    </row>
    <row r="29" spans="2:17">
      <c r="O29"/>
    </row>
    <row r="30" spans="2:17">
      <c r="O30"/>
    </row>
    <row r="31" spans="2:17">
      <c r="O31"/>
    </row>
    <row r="32" spans="2:17">
      <c r="O32"/>
    </row>
    <row r="33" spans="15:15">
      <c r="O33"/>
    </row>
    <row r="34" spans="15:15">
      <c r="O34"/>
    </row>
    <row r="35" spans="15:15">
      <c r="O35"/>
    </row>
    <row r="36" spans="15:15">
      <c r="O36"/>
    </row>
    <row r="37" spans="15:15">
      <c r="O37"/>
    </row>
    <row r="38" spans="15:15">
      <c r="O38"/>
    </row>
    <row r="39" spans="15:15">
      <c r="O39"/>
    </row>
    <row r="40" spans="15:15">
      <c r="O40"/>
    </row>
    <row r="41" spans="15:15">
      <c r="O41"/>
    </row>
    <row r="42" spans="15:15">
      <c r="O42"/>
    </row>
    <row r="43" spans="15:15">
      <c r="O43"/>
    </row>
    <row r="44" spans="15:15">
      <c r="O44"/>
    </row>
    <row r="45" spans="15:15">
      <c r="O45"/>
    </row>
    <row r="46" spans="15:15">
      <c r="O46"/>
    </row>
    <row r="47" spans="15:15">
      <c r="O47"/>
    </row>
    <row r="48" spans="15:15">
      <c r="O48"/>
    </row>
    <row r="49" spans="8:15">
      <c r="O49"/>
    </row>
    <row r="50" spans="8:15">
      <c r="O50"/>
    </row>
    <row r="51" spans="8:15">
      <c r="O51"/>
    </row>
    <row r="52" spans="8:15">
      <c r="O52"/>
    </row>
    <row r="53" spans="8:15">
      <c r="O53"/>
    </row>
    <row r="54" spans="8:15">
      <c r="O54"/>
    </row>
    <row r="55" spans="8:15">
      <c r="O55"/>
    </row>
    <row r="56" spans="8:15">
      <c r="O56"/>
    </row>
    <row r="57" spans="8:15">
      <c r="O57"/>
    </row>
    <row r="58" spans="8:15">
      <c r="O58"/>
    </row>
    <row r="59" spans="8:15">
      <c r="O59"/>
    </row>
    <row r="60" spans="8:15">
      <c r="O60"/>
    </row>
    <row r="61" spans="8:15">
      <c r="O61"/>
    </row>
    <row r="63" spans="8:15">
      <c r="H63" s="108"/>
      <c r="K63" s="108"/>
    </row>
    <row r="64" spans="8:15">
      <c r="H64" s="108"/>
      <c r="K64" s="108"/>
    </row>
    <row r="65" spans="8:11">
      <c r="H65" s="108"/>
      <c r="K65" s="108"/>
    </row>
    <row r="66" spans="8:11">
      <c r="H66" s="108"/>
      <c r="K66" s="108"/>
    </row>
    <row r="67" spans="8:11">
      <c r="H67" s="108"/>
      <c r="K67" s="108"/>
    </row>
    <row r="68" spans="8:11">
      <c r="H68" s="108"/>
      <c r="K68" s="108"/>
    </row>
    <row r="69" spans="8:11">
      <c r="H69" s="108"/>
      <c r="K69" s="108"/>
    </row>
    <row r="70" spans="8:11">
      <c r="H70" s="108"/>
      <c r="K70" s="108"/>
    </row>
    <row r="71" spans="8:11">
      <c r="H71" s="108"/>
      <c r="K71" s="108"/>
    </row>
    <row r="72" spans="8:11">
      <c r="H72" s="108"/>
      <c r="K72" s="108"/>
    </row>
    <row r="73" spans="8:11">
      <c r="H73" s="108"/>
      <c r="K73" s="108"/>
    </row>
    <row r="74" spans="8:11">
      <c r="H74" s="108"/>
      <c r="K74" s="108"/>
    </row>
    <row r="75" spans="8:11">
      <c r="H75" s="108"/>
      <c r="K75" s="108"/>
    </row>
    <row r="76" spans="8:11">
      <c r="H76" s="108"/>
      <c r="K76" s="108"/>
    </row>
    <row r="77" spans="8:11">
      <c r="H77" s="108"/>
      <c r="K77" s="108"/>
    </row>
    <row r="78" spans="8:11">
      <c r="H78" s="108"/>
      <c r="K78" s="108"/>
    </row>
    <row r="79" spans="8:11">
      <c r="H79" s="108"/>
      <c r="K79" s="108"/>
    </row>
    <row r="80" spans="8:11">
      <c r="H80" s="108"/>
      <c r="K80" s="108"/>
    </row>
    <row r="81" spans="8:11">
      <c r="H81" s="108"/>
      <c r="K81" s="108"/>
    </row>
  </sheetData>
  <conditionalFormatting sqref="C5:O22">
    <cfRule type="cellIs" dxfId="34" priority="3" operator="greaterThan">
      <formula>0</formula>
    </cfRule>
    <cfRule type="cellIs" dxfId="33" priority="4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5"/>
  <dimension ref="B2:M47"/>
  <sheetViews>
    <sheetView showGridLines="0" workbookViewId="0">
      <selection activeCell="B34" sqref="B34"/>
    </sheetView>
  </sheetViews>
  <sheetFormatPr defaultColWidth="9.140625" defaultRowHeight="15.75"/>
  <cols>
    <col min="1" max="1" width="9.140625" style="68"/>
    <col min="2" max="2" width="27.7109375" style="62" bestFit="1" customWidth="1"/>
    <col min="3" max="3" width="12.28515625" style="61" bestFit="1" customWidth="1"/>
    <col min="4" max="4" width="7.5703125" style="60" bestFit="1" customWidth="1"/>
    <col min="5" max="5" width="9.42578125" style="60" customWidth="1"/>
    <col min="6" max="6" width="1.42578125" style="68" customWidth="1"/>
    <col min="7" max="7" width="12.28515625" style="70" bestFit="1" customWidth="1"/>
    <col min="8" max="8" width="7.5703125" style="70" bestFit="1" customWidth="1"/>
    <col min="9" max="9" width="9.42578125" style="68" customWidth="1"/>
    <col min="10" max="10" width="1.42578125" style="68" customWidth="1"/>
    <col min="11" max="11" width="12.28515625" style="68" bestFit="1" customWidth="1"/>
    <col min="12" max="12" width="7.5703125" style="68" bestFit="1" customWidth="1"/>
    <col min="13" max="13" width="9.140625" style="68" customWidth="1"/>
    <col min="14" max="15" width="9.140625" style="68"/>
    <col min="16" max="16" width="1.42578125" style="68" customWidth="1"/>
    <col min="17" max="16384" width="9.140625" style="68"/>
  </cols>
  <sheetData>
    <row r="2" spans="2:13">
      <c r="B2" s="113" t="s">
        <v>94</v>
      </c>
      <c r="C2" s="111" t="s">
        <v>127</v>
      </c>
      <c r="D2" s="111"/>
      <c r="E2" s="111"/>
      <c r="F2" s="67"/>
      <c r="G2" s="112" t="s">
        <v>128</v>
      </c>
      <c r="H2" s="112"/>
      <c r="I2" s="112"/>
      <c r="J2" s="67"/>
      <c r="K2" s="112" t="s">
        <v>129</v>
      </c>
      <c r="L2" s="112"/>
      <c r="M2" s="112"/>
    </row>
    <row r="3" spans="2:13">
      <c r="B3" s="114"/>
      <c r="C3" s="64" t="s">
        <v>125</v>
      </c>
      <c r="D3" s="63" t="s">
        <v>124</v>
      </c>
      <c r="E3" s="63" t="s">
        <v>126</v>
      </c>
      <c r="F3" s="69"/>
      <c r="G3" s="64" t="s">
        <v>125</v>
      </c>
      <c r="H3" s="63" t="s">
        <v>124</v>
      </c>
      <c r="I3" s="63" t="s">
        <v>126</v>
      </c>
      <c r="J3" s="69"/>
      <c r="K3" s="64" t="s">
        <v>125</v>
      </c>
      <c r="L3" s="63" t="s">
        <v>124</v>
      </c>
      <c r="M3" s="63" t="s">
        <v>126</v>
      </c>
    </row>
    <row r="4" spans="2:13">
      <c r="B4" s="140"/>
      <c r="C4" s="141" t="s">
        <v>95</v>
      </c>
      <c r="D4" s="142" t="s">
        <v>96</v>
      </c>
      <c r="E4" s="142" t="s">
        <v>97</v>
      </c>
      <c r="F4" s="143"/>
      <c r="G4" s="141" t="s">
        <v>130</v>
      </c>
      <c r="H4" s="142" t="s">
        <v>131</v>
      </c>
      <c r="I4" s="142" t="s">
        <v>132</v>
      </c>
      <c r="J4" s="143"/>
      <c r="K4" s="141" t="s">
        <v>133</v>
      </c>
      <c r="L4" s="142" t="s">
        <v>134</v>
      </c>
      <c r="M4" s="142" t="s">
        <v>135</v>
      </c>
    </row>
    <row r="5" spans="2:13">
      <c r="B5" s="65" t="s">
        <v>87</v>
      </c>
      <c r="C5" s="72">
        <v>0.38810865999999999</v>
      </c>
      <c r="D5" s="72">
        <v>0.35589334</v>
      </c>
      <c r="E5" s="72">
        <v>9.6111249999999995E-2</v>
      </c>
      <c r="F5" s="72"/>
      <c r="G5" s="72">
        <v>0.84136040000000001</v>
      </c>
      <c r="H5" s="72">
        <v>0.82218541000000001</v>
      </c>
      <c r="I5" s="72">
        <v>0.25119079999999999</v>
      </c>
      <c r="J5" s="72"/>
      <c r="K5" s="72">
        <v>0.39156120166666664</v>
      </c>
      <c r="L5" s="72">
        <v>0.27793982500000003</v>
      </c>
      <c r="M5" s="72">
        <v>0.14657071555555556</v>
      </c>
    </row>
    <row r="6" spans="2:13">
      <c r="B6" s="66"/>
      <c r="C6" s="73" t="s">
        <v>136</v>
      </c>
      <c r="D6" s="73" t="s">
        <v>136</v>
      </c>
      <c r="E6" s="73" t="s">
        <v>123</v>
      </c>
      <c r="F6" s="73"/>
      <c r="G6" s="74" t="s">
        <v>152</v>
      </c>
      <c r="H6" s="73" t="s">
        <v>137</v>
      </c>
      <c r="I6" s="73" t="s">
        <v>138</v>
      </c>
      <c r="J6" s="73"/>
      <c r="K6" s="73" t="s">
        <v>136</v>
      </c>
      <c r="L6" s="73" t="s">
        <v>136</v>
      </c>
      <c r="M6" s="73" t="s">
        <v>123</v>
      </c>
    </row>
    <row r="7" spans="2:13">
      <c r="B7" s="65" t="s">
        <v>89</v>
      </c>
      <c r="C7" s="72">
        <v>0.38533682000000002</v>
      </c>
      <c r="D7" s="72">
        <v>0.38459631</v>
      </c>
      <c r="E7" s="72">
        <v>5.1538550000000002E-2</v>
      </c>
      <c r="F7" s="72"/>
      <c r="G7" s="72">
        <v>0.84988395000000005</v>
      </c>
      <c r="H7" s="72">
        <v>0.82283023</v>
      </c>
      <c r="I7" s="72">
        <v>0.26793176000000002</v>
      </c>
      <c r="J7" s="72"/>
      <c r="K7" s="72">
        <v>0.32585760166666666</v>
      </c>
      <c r="L7" s="72">
        <v>0.19587608833333331</v>
      </c>
      <c r="M7" s="72">
        <v>0.18094955111111111</v>
      </c>
    </row>
    <row r="8" spans="2:13">
      <c r="B8" s="66"/>
      <c r="C8" s="73" t="s">
        <v>136</v>
      </c>
      <c r="D8" s="73" t="s">
        <v>136</v>
      </c>
      <c r="E8" s="73" t="s">
        <v>123</v>
      </c>
      <c r="F8" s="73"/>
      <c r="G8" s="73" t="s">
        <v>123</v>
      </c>
      <c r="H8" s="73" t="s">
        <v>137</v>
      </c>
      <c r="I8" s="73" t="s">
        <v>138</v>
      </c>
      <c r="J8" s="73"/>
      <c r="K8" s="73" t="s">
        <v>136</v>
      </c>
      <c r="L8" s="73" t="s">
        <v>136</v>
      </c>
      <c r="M8" s="73" t="s">
        <v>123</v>
      </c>
    </row>
    <row r="9" spans="2:13">
      <c r="B9" s="65" t="s">
        <v>91</v>
      </c>
      <c r="C9" s="72">
        <v>0.38286938999999998</v>
      </c>
      <c r="D9" s="72">
        <v>0.35060788999999998</v>
      </c>
      <c r="E9" s="72">
        <v>9.5489519999999994E-2</v>
      </c>
      <c r="F9" s="72"/>
      <c r="G9" s="72">
        <v>0.84291282999999995</v>
      </c>
      <c r="H9" s="72">
        <v>0.82277429999999996</v>
      </c>
      <c r="I9" s="72">
        <v>0.25336893999999999</v>
      </c>
      <c r="J9" s="72"/>
      <c r="K9" s="72">
        <v>0.37413652166666667</v>
      </c>
      <c r="L9" s="72">
        <v>0.25562001333333328</v>
      </c>
      <c r="M9" s="72">
        <v>0.14988997444444443</v>
      </c>
    </row>
    <row r="10" spans="2:13">
      <c r="B10" s="66"/>
      <c r="C10" s="73" t="s">
        <v>136</v>
      </c>
      <c r="D10" s="73" t="s">
        <v>136</v>
      </c>
      <c r="E10" s="73" t="s">
        <v>123</v>
      </c>
      <c r="F10" s="73"/>
      <c r="G10" s="74" t="s">
        <v>152</v>
      </c>
      <c r="H10" s="73" t="s">
        <v>137</v>
      </c>
      <c r="I10" s="73" t="s">
        <v>138</v>
      </c>
      <c r="J10" s="73"/>
      <c r="K10" s="73" t="s">
        <v>136</v>
      </c>
      <c r="L10" s="73" t="s">
        <v>136</v>
      </c>
      <c r="M10" s="73" t="s">
        <v>123</v>
      </c>
    </row>
    <row r="11" spans="2:13">
      <c r="B11" s="65" t="s">
        <v>92</v>
      </c>
      <c r="C11" s="72">
        <v>0.35827509000000002</v>
      </c>
      <c r="D11" s="72">
        <v>0.30070954</v>
      </c>
      <c r="E11" s="72">
        <v>0.12780847000000001</v>
      </c>
      <c r="F11" s="72"/>
      <c r="G11" s="72">
        <v>0.83698362000000004</v>
      </c>
      <c r="H11" s="72">
        <v>0.81862546999999997</v>
      </c>
      <c r="I11" s="72">
        <v>0.24855932</v>
      </c>
      <c r="J11" s="72"/>
      <c r="K11" s="72">
        <v>0.38038920444444441</v>
      </c>
      <c r="L11" s="72">
        <v>0.27993893777777779</v>
      </c>
      <c r="M11" s="72">
        <v>0.12715948444444447</v>
      </c>
    </row>
    <row r="12" spans="2:13">
      <c r="B12" s="66"/>
      <c r="C12" s="73" t="s">
        <v>136</v>
      </c>
      <c r="D12" s="73" t="s">
        <v>122</v>
      </c>
      <c r="E12" s="73" t="s">
        <v>123</v>
      </c>
      <c r="F12" s="73"/>
      <c r="G12" s="74" t="s">
        <v>152</v>
      </c>
      <c r="H12" s="73" t="s">
        <v>137</v>
      </c>
      <c r="I12" s="73" t="s">
        <v>139</v>
      </c>
      <c r="J12" s="73"/>
      <c r="K12" s="73" t="s">
        <v>136</v>
      </c>
      <c r="L12" s="73" t="s">
        <v>122</v>
      </c>
      <c r="M12" s="73" t="s">
        <v>123</v>
      </c>
    </row>
    <row r="13" spans="2:13">
      <c r="B13" s="65" t="s">
        <v>88</v>
      </c>
      <c r="C13" s="72">
        <v>0.35203810000000002</v>
      </c>
      <c r="D13" s="72">
        <v>0.28817439</v>
      </c>
      <c r="E13" s="72">
        <v>0.1358375</v>
      </c>
      <c r="F13" s="72"/>
      <c r="G13" s="72">
        <v>0.83719288000000003</v>
      </c>
      <c r="H13" s="72">
        <v>0.81801193000000005</v>
      </c>
      <c r="I13" s="72">
        <v>0.25013299999999999</v>
      </c>
      <c r="J13" s="72"/>
      <c r="K13" s="72">
        <v>0.37997319500000004</v>
      </c>
      <c r="L13" s="72">
        <v>0.28152541333333336</v>
      </c>
      <c r="M13" s="72">
        <v>0.1250616033333333</v>
      </c>
    </row>
    <row r="14" spans="2:13">
      <c r="B14" s="66"/>
      <c r="C14" s="73" t="s">
        <v>136</v>
      </c>
      <c r="D14" s="73" t="s">
        <v>122</v>
      </c>
      <c r="E14" s="73" t="s">
        <v>123</v>
      </c>
      <c r="F14" s="73"/>
      <c r="G14" s="74" t="s">
        <v>152</v>
      </c>
      <c r="H14" s="73" t="s">
        <v>137</v>
      </c>
      <c r="I14" s="73" t="s">
        <v>139</v>
      </c>
      <c r="J14" s="73"/>
      <c r="K14" s="73" t="s">
        <v>136</v>
      </c>
      <c r="L14" s="73" t="s">
        <v>122</v>
      </c>
      <c r="M14" s="73" t="s">
        <v>123</v>
      </c>
    </row>
    <row r="15" spans="2:13">
      <c r="B15" s="65" t="s">
        <v>1</v>
      </c>
      <c r="C15" s="72">
        <v>0.32955287</v>
      </c>
      <c r="D15" s="72">
        <v>0.36321207</v>
      </c>
      <c r="E15" s="72">
        <v>-4.0897299999999998E-3</v>
      </c>
      <c r="F15" s="72"/>
      <c r="G15" s="72">
        <v>0.77963404000000003</v>
      </c>
      <c r="H15" s="72">
        <v>0.78343591999999995</v>
      </c>
      <c r="I15" s="72">
        <v>0.19291391999999999</v>
      </c>
      <c r="J15" s="72"/>
      <c r="K15" s="72">
        <v>0.18410750944444448</v>
      </c>
      <c r="L15" s="72">
        <v>0.19662595055555557</v>
      </c>
      <c r="M15" s="72">
        <v>9.7643888888888891E-2</v>
      </c>
    </row>
    <row r="16" spans="2:13">
      <c r="B16" s="66"/>
      <c r="C16" s="73" t="s">
        <v>122</v>
      </c>
      <c r="D16" s="73" t="s">
        <v>122</v>
      </c>
      <c r="E16" s="73" t="s">
        <v>123</v>
      </c>
      <c r="F16" s="73"/>
      <c r="G16" s="73" t="s">
        <v>140</v>
      </c>
      <c r="H16" s="73" t="s">
        <v>137</v>
      </c>
      <c r="I16" s="73" t="s">
        <v>141</v>
      </c>
      <c r="J16" s="73"/>
      <c r="K16" s="73" t="s">
        <v>122</v>
      </c>
      <c r="L16" s="73" t="s">
        <v>122</v>
      </c>
      <c r="M16" s="73" t="s">
        <v>123</v>
      </c>
    </row>
    <row r="17" spans="2:13">
      <c r="B17" s="65" t="s">
        <v>3</v>
      </c>
      <c r="C17" s="72">
        <v>0.29344055000000002</v>
      </c>
      <c r="D17" s="72">
        <v>0.14715250999999999</v>
      </c>
      <c r="E17" s="72">
        <v>0.24393139</v>
      </c>
      <c r="F17" s="72"/>
      <c r="G17" s="72">
        <v>0.80430502999999998</v>
      </c>
      <c r="H17" s="72">
        <v>0.77615308999999999</v>
      </c>
      <c r="I17" s="72">
        <v>0.25827178000000001</v>
      </c>
      <c r="J17" s="72"/>
      <c r="K17" s="72">
        <v>0.35801551722222225</v>
      </c>
      <c r="L17" s="72">
        <v>0.29120725944444448</v>
      </c>
      <c r="M17" s="72">
        <v>0.12068013166666668</v>
      </c>
    </row>
    <row r="18" spans="2:13">
      <c r="B18" s="66"/>
      <c r="C18" s="73" t="s">
        <v>136</v>
      </c>
      <c r="D18" s="73" t="s">
        <v>123</v>
      </c>
      <c r="E18" s="73" t="s">
        <v>122</v>
      </c>
      <c r="F18" s="73"/>
      <c r="G18" s="73" t="s">
        <v>121</v>
      </c>
      <c r="H18" s="73" t="s">
        <v>142</v>
      </c>
      <c r="I18" s="73" t="s">
        <v>146</v>
      </c>
      <c r="J18" s="73"/>
      <c r="K18" s="73" t="s">
        <v>136</v>
      </c>
      <c r="L18" s="73" t="s">
        <v>123</v>
      </c>
      <c r="M18" s="73" t="s">
        <v>122</v>
      </c>
    </row>
    <row r="19" spans="2:13">
      <c r="B19" s="65" t="s">
        <v>90</v>
      </c>
      <c r="C19" s="72">
        <v>0.29202813999999999</v>
      </c>
      <c r="D19" s="72">
        <v>0.34977174999999999</v>
      </c>
      <c r="E19" s="72">
        <v>-4.2836180000000001E-2</v>
      </c>
      <c r="F19" s="72"/>
      <c r="G19" s="72">
        <v>0.79842088</v>
      </c>
      <c r="H19" s="72">
        <v>0.71990381000000003</v>
      </c>
      <c r="I19" s="72">
        <v>0.34980666999999999</v>
      </c>
      <c r="J19" s="72"/>
      <c r="K19" s="72">
        <v>0.17752865388888886</v>
      </c>
      <c r="L19" s="72">
        <v>9.4932472777777804E-2</v>
      </c>
      <c r="M19" s="72">
        <v>0.19226702444444449</v>
      </c>
    </row>
    <row r="20" spans="2:13">
      <c r="B20" s="66"/>
      <c r="C20" s="73" t="s">
        <v>143</v>
      </c>
      <c r="D20" s="73" t="s">
        <v>122</v>
      </c>
      <c r="E20" s="73" t="s">
        <v>122</v>
      </c>
      <c r="F20" s="73"/>
      <c r="G20" s="73" t="s">
        <v>121</v>
      </c>
      <c r="H20" s="73" t="s">
        <v>145</v>
      </c>
      <c r="I20" s="73" t="s">
        <v>139</v>
      </c>
      <c r="J20" s="73"/>
      <c r="K20" s="73" t="s">
        <v>143</v>
      </c>
      <c r="L20" s="73" t="s">
        <v>122</v>
      </c>
      <c r="M20" s="73" t="s">
        <v>122</v>
      </c>
    </row>
    <row r="21" spans="2:13">
      <c r="B21" s="65" t="s">
        <v>4</v>
      </c>
      <c r="C21" s="72">
        <v>0.23151631</v>
      </c>
      <c r="D21" s="72">
        <v>0.10325586</v>
      </c>
      <c r="E21" s="72">
        <v>0.21049470000000001</v>
      </c>
      <c r="F21" s="72"/>
      <c r="G21" s="72">
        <v>0.81185481000000004</v>
      </c>
      <c r="H21" s="72">
        <v>0.78842643999999995</v>
      </c>
      <c r="I21" s="72">
        <v>0.25148158999999998</v>
      </c>
      <c r="J21" s="72"/>
      <c r="K21" s="72">
        <v>0.30272834055555559</v>
      </c>
      <c r="L21" s="72">
        <v>0.29751996166666667</v>
      </c>
      <c r="M21" s="72">
        <v>7.167801111111112E-2</v>
      </c>
    </row>
    <row r="22" spans="2:13">
      <c r="B22" s="66"/>
      <c r="C22" s="73" t="s">
        <v>136</v>
      </c>
      <c r="D22" s="73" t="s">
        <v>122</v>
      </c>
      <c r="E22" s="73" t="s">
        <v>122</v>
      </c>
      <c r="F22" s="73"/>
      <c r="G22" s="73" t="s">
        <v>121</v>
      </c>
      <c r="H22" s="73" t="s">
        <v>142</v>
      </c>
      <c r="I22" s="73" t="s">
        <v>150</v>
      </c>
      <c r="J22" s="73"/>
      <c r="K22" s="73" t="s">
        <v>136</v>
      </c>
      <c r="L22" s="73" t="s">
        <v>122</v>
      </c>
      <c r="M22" s="73" t="s">
        <v>122</v>
      </c>
    </row>
    <row r="23" spans="2:13">
      <c r="B23" s="65" t="s">
        <v>5</v>
      </c>
      <c r="C23" s="72">
        <v>-8.321199E-2</v>
      </c>
      <c r="D23" s="72">
        <v>-5.1663300000000002E-3</v>
      </c>
      <c r="E23" s="72">
        <v>-0.12052778</v>
      </c>
      <c r="F23" s="72"/>
      <c r="G23" s="72">
        <v>-0.24735825</v>
      </c>
      <c r="H23" s="72">
        <v>0.10016944999999999</v>
      </c>
      <c r="I23" s="72">
        <v>-0.70545360999999995</v>
      </c>
      <c r="J23" s="72"/>
      <c r="K23" s="72">
        <v>-5.9462841111111095E-2</v>
      </c>
      <c r="L23" s="72">
        <v>4.0251902777777772E-2</v>
      </c>
      <c r="M23" s="72">
        <v>-0.11892652166666667</v>
      </c>
    </row>
    <row r="24" spans="2:13">
      <c r="B24" s="66"/>
      <c r="C24" s="73" t="s">
        <v>136</v>
      </c>
      <c r="D24" s="73" t="s">
        <v>122</v>
      </c>
      <c r="E24" s="73" t="s">
        <v>122</v>
      </c>
      <c r="F24" s="73"/>
      <c r="G24" s="73" t="s">
        <v>153</v>
      </c>
      <c r="H24" s="73" t="s">
        <v>147</v>
      </c>
      <c r="I24" s="73" t="s">
        <v>154</v>
      </c>
      <c r="J24" s="73"/>
      <c r="K24" s="73" t="s">
        <v>136</v>
      </c>
      <c r="L24" s="73" t="s">
        <v>122</v>
      </c>
      <c r="M24" s="73" t="s">
        <v>122</v>
      </c>
    </row>
    <row r="25" spans="2:13">
      <c r="B25" s="65" t="s">
        <v>2</v>
      </c>
      <c r="C25" s="72">
        <v>-0.20974709</v>
      </c>
      <c r="D25" s="72">
        <v>-0.10212758</v>
      </c>
      <c r="E25" s="72">
        <v>-0.17864959</v>
      </c>
      <c r="F25" s="72"/>
      <c r="G25" s="72">
        <v>-0.71187060000000002</v>
      </c>
      <c r="H25" s="72">
        <v>-0.46338112999999997</v>
      </c>
      <c r="I25" s="72">
        <v>-0.64161614</v>
      </c>
      <c r="J25" s="72"/>
      <c r="K25" s="72">
        <v>-0.17873519722222225</v>
      </c>
      <c r="L25" s="72">
        <v>-0.10050412277777777</v>
      </c>
      <c r="M25" s="72">
        <v>-0.21770696944444445</v>
      </c>
    </row>
    <row r="26" spans="2:13">
      <c r="B26" s="66"/>
      <c r="C26" s="73" t="s">
        <v>123</v>
      </c>
      <c r="D26" s="74" t="s">
        <v>152</v>
      </c>
      <c r="E26" s="73" t="s">
        <v>122</v>
      </c>
      <c r="F26" s="73"/>
      <c r="G26" s="73" t="s">
        <v>148</v>
      </c>
      <c r="H26" s="73" t="s">
        <v>149</v>
      </c>
      <c r="I26" s="73" t="s">
        <v>155</v>
      </c>
      <c r="J26" s="73"/>
      <c r="K26" s="73" t="s">
        <v>123</v>
      </c>
      <c r="L26" s="74" t="s">
        <v>152</v>
      </c>
      <c r="M26" s="73" t="s">
        <v>122</v>
      </c>
    </row>
    <row r="27" spans="2:13">
      <c r="B27" s="65" t="s">
        <v>120</v>
      </c>
      <c r="C27" s="72">
        <v>-0.30705612999999998</v>
      </c>
      <c r="D27" s="72">
        <v>-0.18093096</v>
      </c>
      <c r="E27" s="72">
        <v>-0.21739496</v>
      </c>
      <c r="F27" s="72"/>
      <c r="G27" s="72">
        <v>-0.79594697000000003</v>
      </c>
      <c r="H27" s="72">
        <v>-0.63816331999999998</v>
      </c>
      <c r="I27" s="72">
        <v>-0.49560870000000001</v>
      </c>
      <c r="J27" s="72"/>
      <c r="K27" s="72">
        <v>-0.22281383055555551</v>
      </c>
      <c r="L27" s="72">
        <v>-0.15634588611111111</v>
      </c>
      <c r="M27" s="72">
        <v>-0.21840790111111108</v>
      </c>
    </row>
    <row r="28" spans="2:13">
      <c r="B28" s="144"/>
      <c r="C28" s="145" t="s">
        <v>123</v>
      </c>
      <c r="D28" s="146" t="s">
        <v>152</v>
      </c>
      <c r="E28" s="145" t="s">
        <v>122</v>
      </c>
      <c r="F28" s="145"/>
      <c r="G28" s="145" t="s">
        <v>144</v>
      </c>
      <c r="H28" s="145" t="s">
        <v>145</v>
      </c>
      <c r="I28" s="145" t="s">
        <v>151</v>
      </c>
      <c r="J28" s="145"/>
      <c r="K28" s="145" t="s">
        <v>123</v>
      </c>
      <c r="L28" s="146" t="s">
        <v>152</v>
      </c>
      <c r="M28" s="145" t="s">
        <v>122</v>
      </c>
    </row>
    <row r="29" spans="2:13">
      <c r="F29" s="70"/>
      <c r="I29" s="70"/>
      <c r="J29" s="70"/>
      <c r="K29" s="70"/>
      <c r="L29" s="70"/>
      <c r="M29" s="70"/>
    </row>
    <row r="41" spans="2:8">
      <c r="B41" s="68"/>
      <c r="C41" s="68"/>
      <c r="D41" s="68"/>
      <c r="E41" s="68"/>
    </row>
    <row r="42" spans="2:8">
      <c r="B42" s="68"/>
      <c r="C42" s="68"/>
      <c r="D42" s="68"/>
      <c r="E42" s="68"/>
      <c r="G42" s="71"/>
      <c r="H42" s="71"/>
    </row>
    <row r="43" spans="2:8">
      <c r="B43" s="68"/>
      <c r="C43" s="68"/>
      <c r="D43" s="68"/>
      <c r="E43" s="68"/>
      <c r="G43" s="71"/>
      <c r="H43" s="71"/>
    </row>
    <row r="44" spans="2:8">
      <c r="B44" s="68"/>
      <c r="C44" s="68"/>
      <c r="D44" s="68"/>
      <c r="E44" s="68"/>
    </row>
    <row r="45" spans="2:8">
      <c r="B45" s="68"/>
      <c r="C45" s="68"/>
      <c r="D45" s="68"/>
      <c r="E45" s="68"/>
    </row>
    <row r="46" spans="2:8">
      <c r="B46" s="68"/>
      <c r="C46" s="68"/>
      <c r="D46" s="68"/>
      <c r="E46" s="68"/>
    </row>
    <row r="47" spans="2:8">
      <c r="B47" s="68"/>
      <c r="C47" s="68"/>
      <c r="D47" s="68"/>
      <c r="E47" s="68"/>
    </row>
  </sheetData>
  <mergeCells count="4">
    <mergeCell ref="C2:E2"/>
    <mergeCell ref="G2:I2"/>
    <mergeCell ref="K2:M2"/>
    <mergeCell ref="B2:B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6"/>
  <dimension ref="A1:P53"/>
  <sheetViews>
    <sheetView showGridLines="0" tabSelected="1" topLeftCell="D1" workbookViewId="0">
      <selection activeCell="G8" sqref="G8"/>
    </sheetView>
  </sheetViews>
  <sheetFormatPr defaultRowHeight="15.75"/>
  <cols>
    <col min="1" max="1" width="26" customWidth="1"/>
    <col min="2" max="2" width="31" customWidth="1"/>
    <col min="3" max="3" width="11.5703125" style="1" customWidth="1"/>
    <col min="4" max="4" width="11.5703125" style="20" customWidth="1"/>
    <col min="5" max="5" width="9.28515625" style="21" customWidth="1"/>
    <col min="7" max="7" width="41.42578125" style="11" customWidth="1"/>
    <col min="8" max="8" width="13.7109375" style="15" bestFit="1" customWidth="1"/>
    <col min="9" max="9" width="21.28515625" style="102" customWidth="1"/>
    <col min="10" max="10" width="16.28515625" style="16" bestFit="1" customWidth="1"/>
    <col min="11" max="11" width="9.140625" style="11"/>
    <col min="12" max="12" width="39" style="11" bestFit="1" customWidth="1"/>
    <col min="13" max="13" width="9.140625" style="5"/>
    <col min="14" max="14" width="16" style="5" bestFit="1" customWidth="1"/>
    <col min="15" max="15" width="13.5703125" style="5" bestFit="1" customWidth="1"/>
  </cols>
  <sheetData>
    <row r="1" spans="1:16">
      <c r="A1" s="26" t="s">
        <v>35</v>
      </c>
      <c r="B1" s="26" t="s">
        <v>6</v>
      </c>
      <c r="C1" s="89" t="s">
        <v>8</v>
      </c>
      <c r="D1" s="26" t="s">
        <v>9</v>
      </c>
      <c r="E1" s="26" t="s">
        <v>10</v>
      </c>
    </row>
    <row r="2" spans="1:16">
      <c r="A2" s="26" t="s">
        <v>19</v>
      </c>
      <c r="B2" s="26" t="s">
        <v>26</v>
      </c>
      <c r="C2" s="89">
        <v>164743</v>
      </c>
      <c r="D2" s="30">
        <v>69.731971740722599</v>
      </c>
      <c r="E2" s="30">
        <v>0.45941939949989302</v>
      </c>
      <c r="G2" s="147" t="s">
        <v>7</v>
      </c>
      <c r="H2" s="153" t="s">
        <v>80</v>
      </c>
      <c r="I2" s="155" t="s">
        <v>81</v>
      </c>
      <c r="J2" s="151" t="s">
        <v>82</v>
      </c>
      <c r="L2" s="58"/>
      <c r="M2" s="94" t="s">
        <v>9</v>
      </c>
      <c r="N2" s="95" t="s">
        <v>86</v>
      </c>
      <c r="O2" s="96" t="s">
        <v>82</v>
      </c>
    </row>
    <row r="3" spans="1:16">
      <c r="A3" s="26" t="s">
        <v>19</v>
      </c>
      <c r="B3" s="26" t="s">
        <v>20</v>
      </c>
      <c r="C3" s="89">
        <v>146354</v>
      </c>
      <c r="D3" s="30">
        <v>87.674377441406193</v>
      </c>
      <c r="E3" s="30">
        <v>0.32873219251632602</v>
      </c>
      <c r="G3" s="148" t="s">
        <v>18</v>
      </c>
      <c r="H3" s="150"/>
      <c r="I3" s="154"/>
      <c r="J3" s="151"/>
      <c r="L3" s="29"/>
      <c r="M3" s="97" t="s">
        <v>95</v>
      </c>
      <c r="N3" s="97" t="s">
        <v>96</v>
      </c>
      <c r="O3" s="97" t="s">
        <v>97</v>
      </c>
    </row>
    <row r="4" spans="1:16" ht="16.5">
      <c r="A4" s="26" t="s">
        <v>16</v>
      </c>
      <c r="B4" s="26" t="s">
        <v>185</v>
      </c>
      <c r="C4" s="89">
        <v>164984</v>
      </c>
      <c r="D4" s="30">
        <v>10.8045492172241</v>
      </c>
      <c r="E4" s="30">
        <v>0.31043881177902199</v>
      </c>
      <c r="G4" s="149" t="s">
        <v>28</v>
      </c>
      <c r="H4" s="152">
        <v>39.488845825195298</v>
      </c>
      <c r="I4" s="152">
        <v>16.175086975097599</v>
      </c>
      <c r="J4" s="151">
        <v>167420</v>
      </c>
      <c r="L4" s="90" t="s">
        <v>157</v>
      </c>
      <c r="M4" s="17"/>
      <c r="N4" s="17"/>
      <c r="O4" s="19"/>
    </row>
    <row r="5" spans="1:16">
      <c r="A5" s="26" t="s">
        <v>16</v>
      </c>
      <c r="B5" s="26" t="s">
        <v>22</v>
      </c>
      <c r="C5" s="89">
        <v>164521</v>
      </c>
      <c r="D5" s="30">
        <v>27.285158157348601</v>
      </c>
      <c r="E5" s="30">
        <v>0.44542655348777699</v>
      </c>
      <c r="G5" s="149" t="s">
        <v>30</v>
      </c>
      <c r="H5" s="152">
        <v>49.080863952636697</v>
      </c>
      <c r="I5" s="152">
        <v>0.49991700053214999</v>
      </c>
      <c r="J5" s="151">
        <v>167436</v>
      </c>
      <c r="L5" s="14" t="s">
        <v>28</v>
      </c>
      <c r="M5" s="18">
        <v>39.745731353759702</v>
      </c>
      <c r="N5" s="18">
        <v>16.23384475708</v>
      </c>
      <c r="O5" s="19">
        <v>225551</v>
      </c>
      <c r="P5" s="25"/>
    </row>
    <row r="6" spans="1:16">
      <c r="A6" s="26" t="s">
        <v>16</v>
      </c>
      <c r="B6" s="26" t="s">
        <v>27</v>
      </c>
      <c r="C6" s="89">
        <v>164719</v>
      </c>
      <c r="D6" s="30">
        <v>29.6321506500244</v>
      </c>
      <c r="E6" s="30">
        <v>0.456635892391204</v>
      </c>
      <c r="G6" s="149" t="s">
        <v>24</v>
      </c>
      <c r="H6" s="152">
        <v>70.700576782226506</v>
      </c>
      <c r="I6" s="152">
        <v>0.45513722300529402</v>
      </c>
      <c r="J6" s="151">
        <v>165329</v>
      </c>
      <c r="L6" s="14" t="s">
        <v>30</v>
      </c>
      <c r="M6" s="18">
        <v>48.969863891601499</v>
      </c>
      <c r="N6" s="18">
        <v>0.49989497661590498</v>
      </c>
      <c r="O6" s="19">
        <v>225567</v>
      </c>
    </row>
    <row r="7" spans="1:16">
      <c r="A7" s="26" t="s">
        <v>16</v>
      </c>
      <c r="B7" s="26" t="s">
        <v>29</v>
      </c>
      <c r="C7" s="89">
        <v>146686</v>
      </c>
      <c r="D7" s="30">
        <v>79.216911315917898</v>
      </c>
      <c r="E7" s="30">
        <v>0.40575650334358199</v>
      </c>
      <c r="G7" s="149" t="s">
        <v>23</v>
      </c>
      <c r="H7" s="152">
        <v>57.301521301269503</v>
      </c>
      <c r="I7" s="152">
        <v>0.49464154243469199</v>
      </c>
      <c r="J7" s="151">
        <v>166121</v>
      </c>
      <c r="L7" s="14" t="s">
        <v>23</v>
      </c>
      <c r="M7" s="18">
        <v>56.265087127685497</v>
      </c>
      <c r="N7" s="18">
        <v>0.496060460805892</v>
      </c>
      <c r="O7" s="19">
        <v>224081</v>
      </c>
    </row>
    <row r="8" spans="1:16">
      <c r="A8" s="26" t="s">
        <v>16</v>
      </c>
      <c r="B8" s="26" t="s">
        <v>33</v>
      </c>
      <c r="C8" s="89">
        <v>165650</v>
      </c>
      <c r="D8" s="30">
        <v>73.65087890625</v>
      </c>
      <c r="E8" s="30">
        <v>0.44052782654762201</v>
      </c>
      <c r="G8" s="149" t="s">
        <v>186</v>
      </c>
      <c r="H8" s="152">
        <v>5.4774284362792898</v>
      </c>
      <c r="I8" s="152">
        <v>2.63738942146301</v>
      </c>
      <c r="J8" s="151">
        <v>131980</v>
      </c>
      <c r="L8" s="14" t="s">
        <v>24</v>
      </c>
      <c r="M8" s="18">
        <v>68.008193969726506</v>
      </c>
      <c r="N8" s="18">
        <v>0.46644556522369301</v>
      </c>
      <c r="O8" s="19">
        <v>222790</v>
      </c>
    </row>
    <row r="9" spans="1:16">
      <c r="A9" s="26" t="s">
        <v>18</v>
      </c>
      <c r="B9" s="26" t="s">
        <v>186</v>
      </c>
      <c r="C9" s="89">
        <v>131980</v>
      </c>
      <c r="D9" s="30">
        <v>5.4774284362792898</v>
      </c>
      <c r="E9" s="30">
        <v>2.63738942146301</v>
      </c>
      <c r="G9" s="148" t="s">
        <v>17</v>
      </c>
      <c r="H9" s="152"/>
      <c r="I9" s="152"/>
      <c r="J9" s="151"/>
      <c r="L9" s="14" t="s">
        <v>186</v>
      </c>
      <c r="M9" s="18">
        <v>5.4774284362792898</v>
      </c>
      <c r="N9" s="18">
        <v>2.63738942146301</v>
      </c>
      <c r="O9" s="19">
        <v>131980</v>
      </c>
    </row>
    <row r="10" spans="1:16" ht="16.5">
      <c r="A10" s="26" t="s">
        <v>16</v>
      </c>
      <c r="B10" s="26" t="s">
        <v>83</v>
      </c>
      <c r="C10" s="89">
        <v>165108</v>
      </c>
      <c r="D10" s="30">
        <v>45.142822265625</v>
      </c>
      <c r="E10" s="30">
        <v>0.49763670563697798</v>
      </c>
      <c r="G10" s="149" t="s">
        <v>21</v>
      </c>
      <c r="H10" s="152">
        <v>89.953857421875</v>
      </c>
      <c r="I10" s="152">
        <v>0.30061513185500999</v>
      </c>
      <c r="J10" s="151">
        <v>165925</v>
      </c>
      <c r="L10" s="90" t="s">
        <v>158</v>
      </c>
      <c r="M10" s="18"/>
      <c r="N10" s="18"/>
      <c r="O10" s="19"/>
    </row>
    <row r="11" spans="1:16">
      <c r="A11" s="26" t="s">
        <v>16</v>
      </c>
      <c r="B11" s="26" t="s">
        <v>25</v>
      </c>
      <c r="C11" s="89">
        <v>114297</v>
      </c>
      <c r="D11" s="30">
        <v>76.485176086425696</v>
      </c>
      <c r="E11" s="30">
        <v>0.42409327626228299</v>
      </c>
      <c r="G11" s="149" t="s">
        <v>34</v>
      </c>
      <c r="H11" s="152">
        <v>32.383068084716697</v>
      </c>
      <c r="I11" s="152">
        <v>0.46793767809867798</v>
      </c>
      <c r="J11" s="151">
        <v>165925</v>
      </c>
      <c r="L11" s="14" t="s">
        <v>21</v>
      </c>
      <c r="M11" s="18">
        <v>90.306327819824205</v>
      </c>
      <c r="N11" s="18">
        <v>0.295872211456298</v>
      </c>
      <c r="O11" s="19">
        <v>224056</v>
      </c>
    </row>
    <row r="12" spans="1:16">
      <c r="A12" s="26" t="s">
        <v>16</v>
      </c>
      <c r="B12" s="26" t="s">
        <v>31</v>
      </c>
      <c r="C12" s="89">
        <v>165195</v>
      </c>
      <c r="D12" s="30">
        <v>51.721160888671797</v>
      </c>
      <c r="E12" s="30">
        <v>0.49970519542693997</v>
      </c>
      <c r="G12" s="149" t="s">
        <v>85</v>
      </c>
      <c r="H12" s="152">
        <v>16.768659591674801</v>
      </c>
      <c r="I12" s="152">
        <v>0.373589158058166</v>
      </c>
      <c r="J12" s="151">
        <v>132792</v>
      </c>
      <c r="L12" s="14" t="s">
        <v>34</v>
      </c>
      <c r="M12" s="18">
        <v>33.653755187988203</v>
      </c>
      <c r="N12" s="18">
        <v>0.47252622246742199</v>
      </c>
      <c r="O12" s="19">
        <v>224056</v>
      </c>
    </row>
    <row r="13" spans="1:16">
      <c r="A13" s="26" t="s">
        <v>17</v>
      </c>
      <c r="B13" s="26" t="s">
        <v>32</v>
      </c>
      <c r="C13" s="89">
        <v>167091</v>
      </c>
      <c r="D13" s="30">
        <v>64.068756103515597</v>
      </c>
      <c r="E13" s="30">
        <v>0.47980037331581099</v>
      </c>
      <c r="G13" s="149" t="s">
        <v>32</v>
      </c>
      <c r="H13" s="152">
        <v>64.068756103515597</v>
      </c>
      <c r="I13" s="152">
        <v>0.47980037331581099</v>
      </c>
      <c r="J13" s="151">
        <v>167091</v>
      </c>
      <c r="K13" s="14"/>
      <c r="L13" s="14" t="s">
        <v>85</v>
      </c>
      <c r="M13" s="18">
        <v>17.4337558746337</v>
      </c>
      <c r="N13" s="18">
        <v>0.37940052151679898</v>
      </c>
      <c r="O13" s="19">
        <v>184884</v>
      </c>
    </row>
    <row r="14" spans="1:16">
      <c r="A14" s="26" t="s">
        <v>17</v>
      </c>
      <c r="B14" s="26" t="s">
        <v>21</v>
      </c>
      <c r="C14" s="89">
        <v>165925</v>
      </c>
      <c r="D14" s="30">
        <v>89.953857421875</v>
      </c>
      <c r="E14" s="30">
        <v>0.30061513185500999</v>
      </c>
      <c r="G14" s="149" t="s">
        <v>84</v>
      </c>
      <c r="H14" s="152">
        <v>9.9489355087280202</v>
      </c>
      <c r="I14" s="152">
        <v>0.29931932687759299</v>
      </c>
      <c r="J14" s="151">
        <v>167091</v>
      </c>
      <c r="L14" s="14" t="s">
        <v>32</v>
      </c>
      <c r="M14" s="18">
        <v>64.143508911132798</v>
      </c>
      <c r="N14" s="18">
        <v>0.47958016395568798</v>
      </c>
      <c r="O14" s="19">
        <v>225222</v>
      </c>
    </row>
    <row r="15" spans="1:16">
      <c r="A15" s="26" t="s">
        <v>17</v>
      </c>
      <c r="B15" s="26" t="s">
        <v>85</v>
      </c>
      <c r="C15" s="89">
        <v>132792</v>
      </c>
      <c r="D15" s="30">
        <v>16.768659591674801</v>
      </c>
      <c r="E15" s="30">
        <v>0.373589158058166</v>
      </c>
      <c r="G15" s="148" t="s">
        <v>19</v>
      </c>
      <c r="H15" s="152"/>
      <c r="I15" s="152"/>
      <c r="J15" s="151"/>
      <c r="L15" s="14" t="s">
        <v>84</v>
      </c>
      <c r="M15" s="18">
        <v>9.8875455856323207</v>
      </c>
      <c r="N15" s="18">
        <v>0.29849576950073198</v>
      </c>
      <c r="O15" s="19">
        <v>225222</v>
      </c>
    </row>
    <row r="16" spans="1:16" ht="16.5">
      <c r="A16" s="26" t="s">
        <v>17</v>
      </c>
      <c r="B16" s="26" t="s">
        <v>34</v>
      </c>
      <c r="C16" s="89">
        <v>165925</v>
      </c>
      <c r="D16" s="30">
        <v>32.383068084716697</v>
      </c>
      <c r="E16" s="30">
        <v>0.46793767809867798</v>
      </c>
      <c r="G16" s="149" t="s">
        <v>26</v>
      </c>
      <c r="H16" s="152">
        <v>69.731971740722599</v>
      </c>
      <c r="I16" s="152">
        <v>0.45941939949989302</v>
      </c>
      <c r="J16" s="151">
        <v>164743</v>
      </c>
      <c r="L16" s="90" t="s">
        <v>159</v>
      </c>
      <c r="M16" s="18"/>
      <c r="N16" s="18"/>
      <c r="O16" s="19"/>
    </row>
    <row r="17" spans="1:15">
      <c r="A17" s="26" t="s">
        <v>17</v>
      </c>
      <c r="B17" s="26" t="s">
        <v>84</v>
      </c>
      <c r="C17" s="89">
        <v>167091</v>
      </c>
      <c r="D17" s="30">
        <v>9.9489355087280202</v>
      </c>
      <c r="E17" s="30">
        <v>0.29931932687759299</v>
      </c>
      <c r="G17" s="149" t="s">
        <v>20</v>
      </c>
      <c r="H17" s="152">
        <v>87.674377441406193</v>
      </c>
      <c r="I17" s="152">
        <v>0.32873219251632602</v>
      </c>
      <c r="J17" s="151">
        <v>146354</v>
      </c>
      <c r="L17" s="14" t="s">
        <v>26</v>
      </c>
      <c r="M17" s="18">
        <v>69.586357116699205</v>
      </c>
      <c r="N17" s="18">
        <v>0.46004173159599299</v>
      </c>
      <c r="O17" s="19">
        <v>222530</v>
      </c>
    </row>
    <row r="18" spans="1:15">
      <c r="A18" s="26" t="s">
        <v>18</v>
      </c>
      <c r="B18" s="26" t="s">
        <v>28</v>
      </c>
      <c r="C18" s="89">
        <v>167420</v>
      </c>
      <c r="D18" s="30">
        <v>39.488845825195298</v>
      </c>
      <c r="E18" s="30">
        <v>16.175086975097599</v>
      </c>
      <c r="G18" s="148" t="s">
        <v>16</v>
      </c>
      <c r="H18" s="152"/>
      <c r="I18" s="152"/>
      <c r="J18" s="151"/>
      <c r="L18" s="14" t="s">
        <v>20</v>
      </c>
      <c r="M18" s="18">
        <v>88.830741882324205</v>
      </c>
      <c r="N18" s="18">
        <v>0.314988672733306</v>
      </c>
      <c r="O18" s="19">
        <v>204340</v>
      </c>
    </row>
    <row r="19" spans="1:15" ht="16.5">
      <c r="A19" s="26" t="s">
        <v>18</v>
      </c>
      <c r="B19" s="26" t="s">
        <v>24</v>
      </c>
      <c r="C19" s="89">
        <v>165329</v>
      </c>
      <c r="D19" s="30">
        <v>70.700576782226506</v>
      </c>
      <c r="E19" s="30">
        <v>0.45513722300529402</v>
      </c>
      <c r="G19" s="149" t="s">
        <v>22</v>
      </c>
      <c r="H19" s="152">
        <v>27.285158157348601</v>
      </c>
      <c r="I19" s="152">
        <v>0.44542655348777699</v>
      </c>
      <c r="J19" s="151">
        <v>164521</v>
      </c>
      <c r="L19" s="90" t="s">
        <v>160</v>
      </c>
      <c r="M19" s="18"/>
      <c r="N19" s="18"/>
      <c r="O19" s="19"/>
    </row>
    <row r="20" spans="1:15">
      <c r="A20" t="s">
        <v>18</v>
      </c>
      <c r="B20" t="s">
        <v>30</v>
      </c>
      <c r="C20" s="1">
        <v>167436</v>
      </c>
      <c r="D20" s="20">
        <v>49.080863952636697</v>
      </c>
      <c r="E20" s="21">
        <v>0.49991700053214999</v>
      </c>
      <c r="G20" s="149" t="s">
        <v>27</v>
      </c>
      <c r="H20" s="152">
        <v>29.6321506500244</v>
      </c>
      <c r="I20" s="152">
        <v>0.456635892391204</v>
      </c>
      <c r="J20" s="151">
        <v>164719</v>
      </c>
      <c r="L20" s="14" t="s">
        <v>22</v>
      </c>
      <c r="M20" s="18">
        <v>28.213333129882798</v>
      </c>
      <c r="N20" s="18">
        <v>0.45003890991210899</v>
      </c>
      <c r="O20" s="19">
        <v>222338</v>
      </c>
    </row>
    <row r="21" spans="1:15">
      <c r="A21" t="s">
        <v>18</v>
      </c>
      <c r="B21" t="s">
        <v>23</v>
      </c>
      <c r="C21" s="1">
        <v>166121</v>
      </c>
      <c r="D21" s="20">
        <v>57.301521301269503</v>
      </c>
      <c r="E21" s="21">
        <v>0.49464154243469199</v>
      </c>
      <c r="G21" s="149" t="s">
        <v>29</v>
      </c>
      <c r="H21" s="152">
        <v>79.216911315917898</v>
      </c>
      <c r="I21" s="152">
        <v>0.40575650334358199</v>
      </c>
      <c r="J21" s="151">
        <v>146686</v>
      </c>
      <c r="L21" s="14" t="s">
        <v>27</v>
      </c>
      <c r="M21" s="18">
        <v>33.790462493896399</v>
      </c>
      <c r="N21" s="18">
        <v>0.47299692034721302</v>
      </c>
      <c r="O21" s="19">
        <v>222645</v>
      </c>
    </row>
    <row r="22" spans="1:15">
      <c r="G22" s="149" t="s">
        <v>33</v>
      </c>
      <c r="H22" s="152">
        <v>73.65087890625</v>
      </c>
      <c r="I22" s="152">
        <v>0.44052782654762201</v>
      </c>
      <c r="J22" s="151">
        <v>165650</v>
      </c>
      <c r="L22" s="14" t="s">
        <v>29</v>
      </c>
      <c r="M22" s="18">
        <v>79.216911315917898</v>
      </c>
      <c r="N22" s="18">
        <v>0.40575650334358199</v>
      </c>
      <c r="O22" s="19">
        <v>146686</v>
      </c>
    </row>
    <row r="23" spans="1:15">
      <c r="G23" s="149" t="s">
        <v>25</v>
      </c>
      <c r="H23" s="152">
        <v>76.485176086425696</v>
      </c>
      <c r="I23" s="152">
        <v>0.42409327626228299</v>
      </c>
      <c r="J23" s="151">
        <v>114297</v>
      </c>
      <c r="L23" s="14" t="s">
        <v>33</v>
      </c>
      <c r="M23" s="18">
        <v>73.924629211425696</v>
      </c>
      <c r="N23" s="18">
        <v>0.439046770334243</v>
      </c>
      <c r="O23" s="19">
        <v>223603</v>
      </c>
    </row>
    <row r="24" spans="1:15">
      <c r="G24" s="149" t="s">
        <v>31</v>
      </c>
      <c r="H24" s="152">
        <v>51.721160888671797</v>
      </c>
      <c r="I24" s="152">
        <v>0.49970519542693997</v>
      </c>
      <c r="J24" s="151">
        <v>165195</v>
      </c>
      <c r="L24" s="14" t="s">
        <v>25</v>
      </c>
      <c r="M24" s="18">
        <v>80.608543395995994</v>
      </c>
      <c r="N24" s="18">
        <v>0.39536386728286699</v>
      </c>
      <c r="O24" s="19">
        <v>172253</v>
      </c>
    </row>
    <row r="25" spans="1:15">
      <c r="G25" s="149" t="s">
        <v>83</v>
      </c>
      <c r="H25" s="152">
        <v>45.142822265625</v>
      </c>
      <c r="I25" s="152">
        <v>0.49763670563697798</v>
      </c>
      <c r="J25" s="151">
        <v>165108</v>
      </c>
      <c r="L25" s="14" t="s">
        <v>31</v>
      </c>
      <c r="M25" s="18">
        <v>54.713291168212798</v>
      </c>
      <c r="N25" s="18">
        <v>0.49777466058731001</v>
      </c>
      <c r="O25" s="19">
        <v>223122</v>
      </c>
    </row>
    <row r="26" spans="1:15">
      <c r="G26" s="149" t="s">
        <v>185</v>
      </c>
      <c r="H26" s="152">
        <v>10.8045492172241</v>
      </c>
      <c r="I26" s="152">
        <v>0.31043881177902199</v>
      </c>
      <c r="J26" s="151">
        <v>164984</v>
      </c>
      <c r="L26" s="22" t="s">
        <v>83</v>
      </c>
      <c r="M26" s="23">
        <v>42.279335021972599</v>
      </c>
      <c r="N26" s="23">
        <v>0.49400427937507602</v>
      </c>
      <c r="O26" s="24">
        <v>222968</v>
      </c>
    </row>
    <row r="53" spans="8:9">
      <c r="H53" s="18"/>
      <c r="I53" s="10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7"/>
  <dimension ref="A1:AC1601"/>
  <sheetViews>
    <sheetView showGridLines="0" topLeftCell="A17" workbookViewId="0">
      <selection activeCell="O3" sqref="O3:S49"/>
    </sheetView>
  </sheetViews>
  <sheetFormatPr defaultRowHeight="16.5"/>
  <cols>
    <col min="1" max="4" width="9.140625" customWidth="1"/>
    <col min="5" max="5" width="9.140625" style="1" customWidth="1"/>
    <col min="6" max="7" width="9.140625" customWidth="1"/>
    <col min="8" max="8" width="23" style="3" bestFit="1" customWidth="1"/>
    <col min="9" max="9" width="11.42578125" style="4" customWidth="1"/>
    <col min="10" max="10" width="7" style="4" bestFit="1" customWidth="1"/>
    <col min="11" max="11" width="6" style="4" bestFit="1" customWidth="1"/>
    <col min="12" max="12" width="9.140625" style="4" customWidth="1"/>
    <col min="13" max="13" width="13.7109375" style="6" bestFit="1" customWidth="1"/>
    <col min="14" max="14" width="13.7109375" bestFit="1" customWidth="1"/>
    <col min="15" max="15" width="23" style="7" customWidth="1"/>
    <col min="16" max="19" width="12.42578125" style="7" customWidth="1"/>
    <col min="20" max="20" width="20.140625" style="135" bestFit="1" customWidth="1"/>
  </cols>
  <sheetData>
    <row r="1" spans="1:25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H1" s="128" t="s">
        <v>178</v>
      </c>
      <c r="I1" s="129" t="s">
        <v>183</v>
      </c>
    </row>
    <row r="2" spans="1:25">
      <c r="A2">
        <v>1997</v>
      </c>
      <c r="B2" t="s">
        <v>36</v>
      </c>
      <c r="C2" t="s">
        <v>36</v>
      </c>
      <c r="D2" t="s">
        <v>11</v>
      </c>
      <c r="E2">
        <v>29.142689000000001</v>
      </c>
    </row>
    <row r="3" spans="1:25" ht="15.75">
      <c r="A3">
        <v>1997</v>
      </c>
      <c r="B3" t="s">
        <v>37</v>
      </c>
      <c r="C3" t="s">
        <v>43</v>
      </c>
      <c r="D3" t="s">
        <v>11</v>
      </c>
      <c r="E3">
        <v>29.884736</v>
      </c>
      <c r="H3" s="128" t="s">
        <v>184</v>
      </c>
      <c r="I3" s="129"/>
      <c r="J3" s="129"/>
      <c r="K3" s="129"/>
      <c r="L3" s="129"/>
      <c r="M3" s="129"/>
      <c r="O3" s="116"/>
      <c r="P3" s="115" t="s">
        <v>168</v>
      </c>
      <c r="Q3" s="115"/>
      <c r="R3" s="115"/>
      <c r="S3" s="115"/>
      <c r="T3" s="136"/>
    </row>
    <row r="4" spans="1:25" ht="15.75">
      <c r="A4">
        <v>1997</v>
      </c>
      <c r="B4" t="s">
        <v>37</v>
      </c>
      <c r="C4" t="s">
        <v>44</v>
      </c>
      <c r="D4" t="s">
        <v>11</v>
      </c>
      <c r="E4">
        <v>30.058012000000002</v>
      </c>
      <c r="H4" s="129"/>
      <c r="I4" s="132" t="s">
        <v>11</v>
      </c>
      <c r="J4" s="132" t="s">
        <v>12</v>
      </c>
      <c r="K4" s="132" t="s">
        <v>13</v>
      </c>
      <c r="L4" s="132" t="s">
        <v>14</v>
      </c>
      <c r="M4" s="133" t="s">
        <v>79</v>
      </c>
      <c r="O4" s="117"/>
      <c r="P4" s="12" t="s">
        <v>11</v>
      </c>
      <c r="Q4" s="12" t="s">
        <v>12</v>
      </c>
      <c r="R4" s="12" t="s">
        <v>13</v>
      </c>
      <c r="S4" s="12" t="s">
        <v>14</v>
      </c>
      <c r="T4" s="8" t="s">
        <v>79</v>
      </c>
    </row>
    <row r="5" spans="1:25">
      <c r="A5">
        <v>1997</v>
      </c>
      <c r="B5" t="s">
        <v>37</v>
      </c>
      <c r="C5" t="s">
        <v>45</v>
      </c>
      <c r="D5" t="s">
        <v>11</v>
      </c>
      <c r="E5">
        <v>28.006653</v>
      </c>
      <c r="H5" s="130" t="s">
        <v>36</v>
      </c>
      <c r="I5" s="132"/>
      <c r="J5" s="132"/>
      <c r="K5" s="132"/>
      <c r="L5" s="132"/>
      <c r="M5" s="134"/>
      <c r="O5" s="106"/>
      <c r="P5" s="105" t="s">
        <v>95</v>
      </c>
      <c r="Q5" s="105" t="s">
        <v>96</v>
      </c>
      <c r="R5" s="105" t="s">
        <v>97</v>
      </c>
      <c r="S5" s="105" t="s">
        <v>130</v>
      </c>
      <c r="T5" s="137" t="s">
        <v>131</v>
      </c>
    </row>
    <row r="6" spans="1:25">
      <c r="A6">
        <v>1997</v>
      </c>
      <c r="B6" t="s">
        <v>37</v>
      </c>
      <c r="C6" t="s">
        <v>46</v>
      </c>
      <c r="D6" t="s">
        <v>11</v>
      </c>
      <c r="E6">
        <v>27.876405999999999</v>
      </c>
      <c r="H6" s="131" t="s">
        <v>36</v>
      </c>
      <c r="I6" s="132">
        <v>28.166753666666668</v>
      </c>
      <c r="J6" s="132">
        <v>51.643720222222214</v>
      </c>
      <c r="K6" s="132">
        <v>17.274006888888888</v>
      </c>
      <c r="L6" s="132">
        <v>2.9155192222222217</v>
      </c>
      <c r="M6" s="134">
        <v>24.999999999999996</v>
      </c>
      <c r="O6" s="104" t="s">
        <v>36</v>
      </c>
      <c r="P6" s="8">
        <v>28.166753666666668</v>
      </c>
      <c r="Q6" s="8">
        <v>51.643720222222214</v>
      </c>
      <c r="R6" s="8">
        <v>17.274006888888888</v>
      </c>
      <c r="S6" s="8">
        <v>2.9155192222222217</v>
      </c>
      <c r="T6" s="8">
        <v>24.999999999999996</v>
      </c>
    </row>
    <row r="7" spans="1:25">
      <c r="A7">
        <v>1997</v>
      </c>
      <c r="B7" t="s">
        <v>38</v>
      </c>
      <c r="C7" t="s">
        <v>47</v>
      </c>
      <c r="D7" t="s">
        <v>11</v>
      </c>
      <c r="E7">
        <v>27.7637</v>
      </c>
      <c r="H7" s="130" t="s">
        <v>39</v>
      </c>
      <c r="I7" s="132"/>
      <c r="J7" s="132"/>
      <c r="K7" s="132"/>
      <c r="L7" s="132"/>
      <c r="M7" s="134"/>
      <c r="O7" s="90" t="s">
        <v>162</v>
      </c>
      <c r="P7" s="8"/>
      <c r="Q7" s="8"/>
      <c r="R7" s="8"/>
      <c r="S7" s="8"/>
      <c r="T7" s="8"/>
    </row>
    <row r="8" spans="1:25">
      <c r="A8">
        <v>1997</v>
      </c>
      <c r="B8" t="s">
        <v>38</v>
      </c>
      <c r="C8" t="s">
        <v>48</v>
      </c>
      <c r="D8" t="s">
        <v>11</v>
      </c>
      <c r="E8">
        <v>27.477146000000001</v>
      </c>
      <c r="H8" s="131" t="s">
        <v>51</v>
      </c>
      <c r="I8" s="132">
        <v>28.32335622222222</v>
      </c>
      <c r="J8" s="132">
        <v>52.197162000000013</v>
      </c>
      <c r="K8" s="132">
        <v>16.665813722222222</v>
      </c>
      <c r="L8" s="132">
        <v>2.8136679111111111</v>
      </c>
      <c r="M8" s="134">
        <v>24.999999963888889</v>
      </c>
      <c r="O8" s="9" t="s">
        <v>51</v>
      </c>
      <c r="P8" s="8">
        <v>28.32335622222222</v>
      </c>
      <c r="Q8" s="8">
        <v>52.197162000000013</v>
      </c>
      <c r="R8" s="8">
        <v>16.665813722222222</v>
      </c>
      <c r="S8" s="8">
        <v>2.8136679111111111</v>
      </c>
      <c r="T8" s="8">
        <v>24.999999963888889</v>
      </c>
    </row>
    <row r="9" spans="1:25">
      <c r="A9">
        <v>1997</v>
      </c>
      <c r="B9" t="s">
        <v>38</v>
      </c>
      <c r="C9" t="s">
        <v>49</v>
      </c>
      <c r="D9" t="s">
        <v>11</v>
      </c>
      <c r="E9">
        <v>31.807994000000001</v>
      </c>
      <c r="H9" s="131" t="s">
        <v>52</v>
      </c>
      <c r="I9" s="132">
        <v>28.004883111111109</v>
      </c>
      <c r="J9" s="132">
        <v>51.06731222222222</v>
      </c>
      <c r="K9" s="132">
        <v>17.907231522222222</v>
      </c>
      <c r="L9" s="132">
        <v>3.0205728444444446</v>
      </c>
      <c r="M9" s="134">
        <v>24.99999992499999</v>
      </c>
      <c r="O9" s="9" t="s">
        <v>52</v>
      </c>
      <c r="P9" s="8">
        <v>28.004883111111109</v>
      </c>
      <c r="Q9" s="8">
        <v>51.06731222222222</v>
      </c>
      <c r="R9" s="8">
        <v>17.907231522222222</v>
      </c>
      <c r="S9" s="8">
        <v>3.0205728444444446</v>
      </c>
      <c r="T9" s="8">
        <v>24.99999992499999</v>
      </c>
    </row>
    <row r="10" spans="1:25">
      <c r="A10">
        <v>1997</v>
      </c>
      <c r="B10" t="s">
        <v>38</v>
      </c>
      <c r="C10" t="s">
        <v>50</v>
      </c>
      <c r="D10" t="s">
        <v>11</v>
      </c>
      <c r="E10">
        <v>32.054369000000001</v>
      </c>
      <c r="H10" s="130" t="s">
        <v>38</v>
      </c>
      <c r="I10" s="132"/>
      <c r="J10" s="132"/>
      <c r="K10" s="132"/>
      <c r="L10" s="132"/>
      <c r="M10" s="134"/>
      <c r="O10" s="90" t="s">
        <v>163</v>
      </c>
      <c r="P10" s="8"/>
      <c r="Q10" s="8"/>
      <c r="R10" s="8"/>
      <c r="S10" s="8"/>
      <c r="T10" s="8"/>
    </row>
    <row r="11" spans="1:25">
      <c r="A11">
        <v>1997</v>
      </c>
      <c r="B11" t="s">
        <v>39</v>
      </c>
      <c r="C11" t="s">
        <v>51</v>
      </c>
      <c r="D11" t="s">
        <v>11</v>
      </c>
      <c r="E11">
        <v>30.198122999999999</v>
      </c>
      <c r="H11" s="131" t="s">
        <v>47</v>
      </c>
      <c r="I11" s="132">
        <v>25.231130555555559</v>
      </c>
      <c r="J11" s="132">
        <v>52.001224777777772</v>
      </c>
      <c r="K11" s="132">
        <v>19.667070777777777</v>
      </c>
      <c r="L11" s="132">
        <v>3.1005741222222216</v>
      </c>
      <c r="M11" s="134">
        <v>25.000000058333342</v>
      </c>
      <c r="O11" s="9" t="s">
        <v>47</v>
      </c>
      <c r="P11" s="8">
        <v>25.231130555555559</v>
      </c>
      <c r="Q11" s="8">
        <v>52.001224777777772</v>
      </c>
      <c r="R11" s="8">
        <v>19.667070777777777</v>
      </c>
      <c r="S11" s="8">
        <v>3.1005741222222216</v>
      </c>
      <c r="T11" s="8">
        <v>25.000000058333342</v>
      </c>
    </row>
    <row r="12" spans="1:25">
      <c r="A12">
        <v>1997</v>
      </c>
      <c r="B12" t="s">
        <v>39</v>
      </c>
      <c r="C12" t="s">
        <v>52</v>
      </c>
      <c r="D12" t="s">
        <v>11</v>
      </c>
      <c r="E12">
        <v>28.045608999999999</v>
      </c>
      <c r="H12" s="131" t="s">
        <v>48</v>
      </c>
      <c r="I12" s="132">
        <v>28.492470888888892</v>
      </c>
      <c r="J12" s="132">
        <v>51.34968255555556</v>
      </c>
      <c r="K12" s="132">
        <v>17.15532473333333</v>
      </c>
      <c r="L12" s="132">
        <v>3.0025217666666659</v>
      </c>
      <c r="M12" s="134">
        <v>24.99999998611111</v>
      </c>
      <c r="O12" s="9" t="s">
        <v>48</v>
      </c>
      <c r="P12" s="8">
        <v>28.492470888888892</v>
      </c>
      <c r="Q12" s="8">
        <v>51.34968255555556</v>
      </c>
      <c r="R12" s="8">
        <v>17.15532473333333</v>
      </c>
      <c r="S12" s="8">
        <v>3.0025217666666659</v>
      </c>
      <c r="T12" s="8">
        <v>24.99999998611111</v>
      </c>
      <c r="Y12" s="57"/>
    </row>
    <row r="13" spans="1:25">
      <c r="A13">
        <v>1997</v>
      </c>
      <c r="B13" t="s">
        <v>40</v>
      </c>
      <c r="C13" t="s">
        <v>53</v>
      </c>
      <c r="D13" t="s">
        <v>11</v>
      </c>
      <c r="E13">
        <v>29.627672</v>
      </c>
      <c r="H13" s="131" t="s">
        <v>49</v>
      </c>
      <c r="I13" s="132">
        <v>29.502205111111113</v>
      </c>
      <c r="J13" s="132">
        <v>51.720323666666665</v>
      </c>
      <c r="K13" s="132">
        <v>15.999523811111109</v>
      </c>
      <c r="L13" s="132">
        <v>2.7779473444444447</v>
      </c>
      <c r="M13" s="134">
        <v>24.999999983333343</v>
      </c>
      <c r="O13" s="9" t="s">
        <v>49</v>
      </c>
      <c r="P13" s="8">
        <v>29.502205111111113</v>
      </c>
      <c r="Q13" s="8">
        <v>51.720323666666665</v>
      </c>
      <c r="R13" s="8">
        <v>15.999523811111109</v>
      </c>
      <c r="S13" s="8">
        <v>2.7779473444444447</v>
      </c>
      <c r="T13" s="8">
        <v>24.999999983333343</v>
      </c>
    </row>
    <row r="14" spans="1:25">
      <c r="A14">
        <v>1997</v>
      </c>
      <c r="B14" t="s">
        <v>40</v>
      </c>
      <c r="C14" t="s">
        <v>54</v>
      </c>
      <c r="D14" t="s">
        <v>11</v>
      </c>
      <c r="E14">
        <v>28.639406000000001</v>
      </c>
      <c r="H14" s="131" t="s">
        <v>50</v>
      </c>
      <c r="I14" s="132">
        <v>29.247032888888889</v>
      </c>
      <c r="J14" s="132">
        <v>51.640653333333333</v>
      </c>
      <c r="K14" s="132">
        <v>16.619890488888888</v>
      </c>
      <c r="L14" s="132">
        <v>2.4924236111111115</v>
      </c>
      <c r="M14" s="134">
        <v>25.000000080555562</v>
      </c>
      <c r="O14" s="9" t="s">
        <v>50</v>
      </c>
      <c r="P14" s="8">
        <v>29.247032888888889</v>
      </c>
      <c r="Q14" s="8">
        <v>51.640653333333333</v>
      </c>
      <c r="R14" s="8">
        <v>16.619890488888888</v>
      </c>
      <c r="S14" s="8">
        <v>2.4924236111111115</v>
      </c>
      <c r="T14" s="8">
        <v>25.000000080555562</v>
      </c>
    </row>
    <row r="15" spans="1:25">
      <c r="A15">
        <v>1997</v>
      </c>
      <c r="B15" t="s">
        <v>41</v>
      </c>
      <c r="C15" t="s">
        <v>55</v>
      </c>
      <c r="D15" t="s">
        <v>11</v>
      </c>
      <c r="E15">
        <v>29.726872</v>
      </c>
      <c r="H15" s="130" t="s">
        <v>40</v>
      </c>
      <c r="I15" s="132"/>
      <c r="J15" s="132"/>
      <c r="K15" s="132"/>
      <c r="L15" s="132"/>
      <c r="M15" s="134"/>
      <c r="O15" s="90" t="s">
        <v>164</v>
      </c>
      <c r="P15" s="8"/>
      <c r="Q15" s="8"/>
      <c r="R15" s="8"/>
      <c r="S15" s="8"/>
      <c r="T15" s="8"/>
    </row>
    <row r="16" spans="1:25">
      <c r="A16">
        <v>1997</v>
      </c>
      <c r="B16" t="s">
        <v>41</v>
      </c>
      <c r="C16" t="s">
        <v>56</v>
      </c>
      <c r="D16" t="s">
        <v>11</v>
      </c>
      <c r="E16">
        <v>29.047378999999999</v>
      </c>
      <c r="H16" s="131" t="s">
        <v>54</v>
      </c>
      <c r="I16" s="132">
        <v>28.345769666666669</v>
      </c>
      <c r="J16" s="132">
        <v>51.92447411111111</v>
      </c>
      <c r="K16" s="132">
        <v>16.952797688888886</v>
      </c>
      <c r="L16" s="132">
        <v>2.7769588444444437</v>
      </c>
      <c r="M16" s="134">
        <v>25.000000077777784</v>
      </c>
      <c r="O16" s="9" t="s">
        <v>54</v>
      </c>
      <c r="P16" s="8">
        <v>28.345769666666669</v>
      </c>
      <c r="Q16" s="8">
        <v>51.92447411111111</v>
      </c>
      <c r="R16" s="8">
        <v>16.952797688888886</v>
      </c>
      <c r="S16" s="8">
        <v>2.7769588444444437</v>
      </c>
      <c r="T16" s="8">
        <v>25.000000077777784</v>
      </c>
    </row>
    <row r="17" spans="1:29">
      <c r="A17">
        <v>1997</v>
      </c>
      <c r="B17" t="s">
        <v>42</v>
      </c>
      <c r="C17" t="s">
        <v>57</v>
      </c>
      <c r="D17" t="s">
        <v>11</v>
      </c>
      <c r="E17">
        <v>34.539000999999999</v>
      </c>
      <c r="H17" s="131" t="s">
        <v>53</v>
      </c>
      <c r="I17" s="132">
        <v>27.870147666666664</v>
      </c>
      <c r="J17" s="132">
        <v>51.364286222222226</v>
      </c>
      <c r="K17" s="132">
        <v>17.677127333333331</v>
      </c>
      <c r="L17" s="132">
        <v>3.0884388</v>
      </c>
      <c r="M17" s="134">
        <v>25.00000000555556</v>
      </c>
      <c r="O17" s="9" t="s">
        <v>53</v>
      </c>
      <c r="P17" s="8">
        <v>27.870147666666664</v>
      </c>
      <c r="Q17" s="8">
        <v>51.364286222222226</v>
      </c>
      <c r="R17" s="8">
        <v>17.677127333333331</v>
      </c>
      <c r="S17" s="8">
        <v>3.0884388</v>
      </c>
      <c r="T17" s="8">
        <v>25.00000000555556</v>
      </c>
    </row>
    <row r="18" spans="1:29">
      <c r="A18">
        <v>1997</v>
      </c>
      <c r="B18" t="s">
        <v>42</v>
      </c>
      <c r="C18" t="s">
        <v>58</v>
      </c>
      <c r="D18" t="s">
        <v>11</v>
      </c>
      <c r="E18">
        <v>28.432231000000002</v>
      </c>
      <c r="H18" s="130" t="s">
        <v>41</v>
      </c>
      <c r="I18" s="132"/>
      <c r="J18" s="132"/>
      <c r="K18" s="132"/>
      <c r="L18" s="132"/>
      <c r="M18" s="134"/>
      <c r="O18" s="90" t="s">
        <v>165</v>
      </c>
      <c r="P18" s="8"/>
      <c r="Q18" s="8"/>
      <c r="R18" s="8"/>
      <c r="S18" s="8"/>
      <c r="T18" s="8"/>
    </row>
    <row r="19" spans="1:29">
      <c r="A19">
        <v>1997</v>
      </c>
      <c r="B19" t="s">
        <v>42</v>
      </c>
      <c r="C19" t="s">
        <v>59</v>
      </c>
      <c r="D19" t="s">
        <v>11</v>
      </c>
      <c r="E19">
        <v>28.507718000000001</v>
      </c>
      <c r="H19" s="131" t="s">
        <v>56</v>
      </c>
      <c r="I19" s="132">
        <v>28.18918166666667</v>
      </c>
      <c r="J19" s="132">
        <v>51.711284000000006</v>
      </c>
      <c r="K19" s="132">
        <v>17.222600066666665</v>
      </c>
      <c r="L19" s="132">
        <v>2.8769345444444445</v>
      </c>
      <c r="M19" s="134">
        <v>25.000000069444447</v>
      </c>
      <c r="O19" s="9" t="s">
        <v>56</v>
      </c>
      <c r="P19" s="8">
        <v>28.18918166666667</v>
      </c>
      <c r="Q19" s="8">
        <v>51.711284000000006</v>
      </c>
      <c r="R19" s="8">
        <v>17.222600066666665</v>
      </c>
      <c r="S19" s="8">
        <v>2.8769345444444445</v>
      </c>
      <c r="T19" s="8">
        <v>25.000000069444447</v>
      </c>
    </row>
    <row r="20" spans="1:29">
      <c r="A20">
        <v>1997</v>
      </c>
      <c r="B20" t="s">
        <v>42</v>
      </c>
      <c r="C20" t="s">
        <v>60</v>
      </c>
      <c r="D20" t="s">
        <v>11</v>
      </c>
      <c r="E20">
        <v>30.389675</v>
      </c>
      <c r="H20" s="131" t="s">
        <v>55</v>
      </c>
      <c r="I20" s="132">
        <v>28.026413888888893</v>
      </c>
      <c r="J20" s="132">
        <v>51.470433555555559</v>
      </c>
      <c r="K20" s="132">
        <v>17.532457000000001</v>
      </c>
      <c r="L20" s="132">
        <v>2.9706955555555559</v>
      </c>
      <c r="M20" s="134">
        <v>24.999999999999996</v>
      </c>
      <c r="O20" s="9" t="s">
        <v>55</v>
      </c>
      <c r="P20" s="8">
        <v>28.026413888888893</v>
      </c>
      <c r="Q20" s="8">
        <v>51.470433555555559</v>
      </c>
      <c r="R20" s="8">
        <v>17.532457000000001</v>
      </c>
      <c r="S20" s="8">
        <v>2.9706955555555559</v>
      </c>
      <c r="T20" s="8">
        <v>24.999999999999996</v>
      </c>
    </row>
    <row r="21" spans="1:29">
      <c r="A21">
        <v>1997</v>
      </c>
      <c r="B21" t="s">
        <v>0</v>
      </c>
      <c r="C21" t="s">
        <v>61</v>
      </c>
      <c r="D21" t="s">
        <v>11</v>
      </c>
      <c r="E21">
        <v>54.739539000000001</v>
      </c>
      <c r="H21" s="130" t="s">
        <v>37</v>
      </c>
      <c r="I21" s="132"/>
      <c r="J21" s="132"/>
      <c r="K21" s="132"/>
      <c r="L21" s="132"/>
      <c r="M21" s="134"/>
      <c r="O21" s="90" t="s">
        <v>166</v>
      </c>
      <c r="P21" s="8"/>
      <c r="Q21" s="8"/>
      <c r="R21" s="8"/>
      <c r="S21" s="8"/>
      <c r="T21" s="8"/>
    </row>
    <row r="22" spans="1:29">
      <c r="A22">
        <v>1997</v>
      </c>
      <c r="B22" t="s">
        <v>0</v>
      </c>
      <c r="C22" t="s">
        <v>62</v>
      </c>
      <c r="D22" t="s">
        <v>11</v>
      </c>
      <c r="E22">
        <v>23.840205999999998</v>
      </c>
      <c r="H22" s="131" t="s">
        <v>44</v>
      </c>
      <c r="I22" s="132">
        <v>27.720274222222219</v>
      </c>
      <c r="J22" s="132">
        <v>51.556228555555549</v>
      </c>
      <c r="K22" s="132">
        <v>17.707820000000002</v>
      </c>
      <c r="L22" s="132">
        <v>3.0156775777777778</v>
      </c>
      <c r="M22" s="134">
        <v>25.000000088888882</v>
      </c>
      <c r="O22" s="9" t="s">
        <v>43</v>
      </c>
      <c r="P22" s="8">
        <v>27.720274222222219</v>
      </c>
      <c r="Q22" s="8">
        <v>51.556228555555549</v>
      </c>
      <c r="R22" s="8">
        <v>17.707820000000002</v>
      </c>
      <c r="S22" s="8">
        <v>3.0156775777777778</v>
      </c>
      <c r="T22" s="8">
        <v>25.000000088888882</v>
      </c>
    </row>
    <row r="23" spans="1:29">
      <c r="A23">
        <v>1997</v>
      </c>
      <c r="B23" t="s">
        <v>0</v>
      </c>
      <c r="C23" t="s">
        <v>63</v>
      </c>
      <c r="D23" t="s">
        <v>11</v>
      </c>
      <c r="E23">
        <v>38.524590000000003</v>
      </c>
      <c r="H23" s="131" t="s">
        <v>45</v>
      </c>
      <c r="I23" s="132">
        <v>27.879909111111111</v>
      </c>
      <c r="J23" s="132">
        <v>52.185170666666664</v>
      </c>
      <c r="K23" s="132">
        <v>17.3573904</v>
      </c>
      <c r="L23" s="132">
        <v>2.5775298444444443</v>
      </c>
      <c r="M23" s="134">
        <v>25.000000005555552</v>
      </c>
      <c r="O23" s="9" t="s">
        <v>44</v>
      </c>
      <c r="P23" s="8">
        <v>27.879909111111111</v>
      </c>
      <c r="Q23" s="8">
        <v>52.185170666666664</v>
      </c>
      <c r="R23" s="8">
        <v>17.3573904</v>
      </c>
      <c r="S23" s="8">
        <v>2.5775298444444443</v>
      </c>
      <c r="T23" s="8">
        <v>25.000000005555552</v>
      </c>
    </row>
    <row r="24" spans="1:29">
      <c r="A24">
        <v>1997</v>
      </c>
      <c r="B24" t="s">
        <v>0</v>
      </c>
      <c r="C24" t="s">
        <v>64</v>
      </c>
      <c r="D24" t="s">
        <v>11</v>
      </c>
      <c r="E24">
        <v>34.456806999999998</v>
      </c>
      <c r="H24" s="131" t="s">
        <v>46</v>
      </c>
      <c r="I24" s="132">
        <v>29.099586888888886</v>
      </c>
      <c r="J24" s="132">
        <v>53.183605999999997</v>
      </c>
      <c r="K24" s="132">
        <v>15.0224993</v>
      </c>
      <c r="L24" s="132">
        <v>2.6943076111111108</v>
      </c>
      <c r="M24" s="134">
        <v>24.999999949999996</v>
      </c>
      <c r="O24" s="9" t="s">
        <v>45</v>
      </c>
      <c r="P24" s="8">
        <v>29.099586888888886</v>
      </c>
      <c r="Q24" s="8">
        <v>53.183605999999997</v>
      </c>
      <c r="R24" s="8">
        <v>15.0224993</v>
      </c>
      <c r="S24" s="8">
        <v>2.6943076111111108</v>
      </c>
      <c r="T24" s="8">
        <v>24.999999949999996</v>
      </c>
    </row>
    <row r="25" spans="1:29">
      <c r="A25">
        <v>1997</v>
      </c>
      <c r="B25" t="s">
        <v>0</v>
      </c>
      <c r="C25" t="s">
        <v>65</v>
      </c>
      <c r="D25" t="s">
        <v>11</v>
      </c>
      <c r="E25">
        <v>32.517524000000002</v>
      </c>
      <c r="H25" s="131" t="s">
        <v>43</v>
      </c>
      <c r="I25" s="132">
        <v>28.983745555555558</v>
      </c>
      <c r="J25" s="132">
        <v>50.843968888888895</v>
      </c>
      <c r="K25" s="132">
        <v>17.064882777777783</v>
      </c>
      <c r="L25" s="132">
        <v>3.1074026999999997</v>
      </c>
      <c r="M25" s="134">
        <v>24.999999980555557</v>
      </c>
      <c r="O25" s="9" t="s">
        <v>46</v>
      </c>
      <c r="P25" s="8">
        <v>28.983745555555558</v>
      </c>
      <c r="Q25" s="8">
        <v>50.843968888888895</v>
      </c>
      <c r="R25" s="8">
        <v>17.064882777777783</v>
      </c>
      <c r="S25" s="8">
        <v>3.1074026999999997</v>
      </c>
      <c r="T25" s="8">
        <v>24.999999980555557</v>
      </c>
    </row>
    <row r="26" spans="1:29">
      <c r="A26">
        <v>1997</v>
      </c>
      <c r="B26" t="s">
        <v>0</v>
      </c>
      <c r="C26" t="s">
        <v>66</v>
      </c>
      <c r="D26" t="s">
        <v>11</v>
      </c>
      <c r="E26">
        <v>15.314401999999999</v>
      </c>
      <c r="H26" s="130" t="s">
        <v>42</v>
      </c>
      <c r="I26" s="132"/>
      <c r="J26" s="132"/>
      <c r="K26" s="132"/>
      <c r="L26" s="132"/>
      <c r="M26" s="134"/>
      <c r="O26" s="90" t="s">
        <v>167</v>
      </c>
      <c r="P26" s="8"/>
      <c r="Q26" s="8"/>
      <c r="R26" s="8"/>
      <c r="S26" s="8"/>
      <c r="T26" s="8"/>
    </row>
    <row r="27" spans="1:29">
      <c r="A27">
        <v>1997</v>
      </c>
      <c r="B27" t="s">
        <v>0</v>
      </c>
      <c r="C27" t="s">
        <v>67</v>
      </c>
      <c r="D27" t="s">
        <v>11</v>
      </c>
      <c r="E27"/>
      <c r="H27" s="131" t="s">
        <v>58</v>
      </c>
      <c r="I27" s="132">
        <v>28.309296999999997</v>
      </c>
      <c r="J27" s="132">
        <v>51.534019111111114</v>
      </c>
      <c r="K27" s="132">
        <v>17.2353314</v>
      </c>
      <c r="L27" s="132">
        <v>2.921352555555556</v>
      </c>
      <c r="M27" s="134">
        <v>25.000000016666657</v>
      </c>
      <c r="O27" s="9" t="s">
        <v>58</v>
      </c>
      <c r="P27" s="8">
        <v>28.309296999999997</v>
      </c>
      <c r="Q27" s="8">
        <v>51.534019111111114</v>
      </c>
      <c r="R27" s="8">
        <v>17.2353314</v>
      </c>
      <c r="S27" s="8">
        <v>2.921352555555556</v>
      </c>
      <c r="T27" s="8">
        <v>25.000000016666657</v>
      </c>
      <c r="AC27" s="57"/>
    </row>
    <row r="28" spans="1:29">
      <c r="A28">
        <v>1997</v>
      </c>
      <c r="B28" t="s">
        <v>0</v>
      </c>
      <c r="C28" t="s">
        <v>68</v>
      </c>
      <c r="D28" t="s">
        <v>11</v>
      </c>
      <c r="E28">
        <v>32.508834</v>
      </c>
      <c r="H28" s="131" t="s">
        <v>57</v>
      </c>
      <c r="I28" s="132">
        <v>24.301805000000002</v>
      </c>
      <c r="J28" s="132">
        <v>53.860543333333325</v>
      </c>
      <c r="K28" s="132">
        <v>19.000137844444446</v>
      </c>
      <c r="L28" s="132">
        <v>2.8375138888888887</v>
      </c>
      <c r="M28" s="134">
        <v>25.000000016666672</v>
      </c>
      <c r="O28" s="9" t="s">
        <v>57</v>
      </c>
      <c r="P28" s="8">
        <v>24.301805000000002</v>
      </c>
      <c r="Q28" s="8">
        <v>53.860543333333325</v>
      </c>
      <c r="R28" s="8">
        <v>19.000137844444446</v>
      </c>
      <c r="S28" s="8">
        <v>2.8375138888888887</v>
      </c>
      <c r="T28" s="8">
        <v>25.000000016666672</v>
      </c>
    </row>
    <row r="29" spans="1:29">
      <c r="A29">
        <v>1997</v>
      </c>
      <c r="B29" t="s">
        <v>0</v>
      </c>
      <c r="C29" t="s">
        <v>69</v>
      </c>
      <c r="D29" t="s">
        <v>11</v>
      </c>
      <c r="E29">
        <v>24.757804</v>
      </c>
      <c r="H29" s="131" t="s">
        <v>59</v>
      </c>
      <c r="I29" s="132">
        <v>28.045708000000005</v>
      </c>
      <c r="J29" s="132">
        <v>51.356745555555548</v>
      </c>
      <c r="K29" s="132">
        <v>17.467521966666666</v>
      </c>
      <c r="L29" s="132">
        <v>3.1300245666666662</v>
      </c>
      <c r="M29" s="134">
        <v>25.000000022222224</v>
      </c>
      <c r="O29" s="9" t="s">
        <v>59</v>
      </c>
      <c r="P29" s="8">
        <v>28.045708000000005</v>
      </c>
      <c r="Q29" s="8">
        <v>51.356745555555548</v>
      </c>
      <c r="R29" s="8">
        <v>17.467521966666666</v>
      </c>
      <c r="S29" s="8">
        <v>3.1300245666666662</v>
      </c>
      <c r="T29" s="8">
        <v>25.000000022222224</v>
      </c>
    </row>
    <row r="30" spans="1:29">
      <c r="A30">
        <v>1997</v>
      </c>
      <c r="B30" t="s">
        <v>0</v>
      </c>
      <c r="C30" t="s">
        <v>70</v>
      </c>
      <c r="D30" t="s">
        <v>11</v>
      </c>
      <c r="E30">
        <v>15.686275</v>
      </c>
      <c r="H30" s="131" t="s">
        <v>60</v>
      </c>
      <c r="I30" s="132">
        <v>30.267349999999997</v>
      </c>
      <c r="J30" s="132">
        <v>51.620294999999992</v>
      </c>
      <c r="K30" s="132">
        <v>15.104785977777778</v>
      </c>
      <c r="L30" s="132">
        <v>3.0075690111111109</v>
      </c>
      <c r="M30" s="134">
        <v>24.999999997222218</v>
      </c>
      <c r="O30" s="9" t="s">
        <v>60</v>
      </c>
      <c r="P30" s="8">
        <v>30.267349999999997</v>
      </c>
      <c r="Q30" s="8">
        <v>51.620294999999992</v>
      </c>
      <c r="R30" s="8">
        <v>15.104785977777778</v>
      </c>
      <c r="S30" s="8">
        <v>3.0075690111111109</v>
      </c>
      <c r="T30" s="8">
        <v>24.999999997222218</v>
      </c>
    </row>
    <row r="31" spans="1:29">
      <c r="A31">
        <v>1997</v>
      </c>
      <c r="B31" t="s">
        <v>0</v>
      </c>
      <c r="C31" t="s">
        <v>71</v>
      </c>
      <c r="D31" t="s">
        <v>11</v>
      </c>
      <c r="E31">
        <v>32.033425999999999</v>
      </c>
      <c r="H31" s="130" t="s">
        <v>0</v>
      </c>
      <c r="I31" s="132"/>
      <c r="J31" s="132"/>
      <c r="K31" s="132"/>
      <c r="L31" s="132"/>
      <c r="M31" s="134"/>
      <c r="O31" s="107" t="s">
        <v>169</v>
      </c>
      <c r="P31" s="12"/>
      <c r="Q31" s="12"/>
      <c r="R31" s="12"/>
      <c r="S31" s="12"/>
      <c r="T31" s="8"/>
      <c r="U31" s="11"/>
    </row>
    <row r="32" spans="1:29">
      <c r="A32">
        <v>1997</v>
      </c>
      <c r="B32" t="s">
        <v>0</v>
      </c>
      <c r="C32" t="s">
        <v>72</v>
      </c>
      <c r="D32" t="s">
        <v>11</v>
      </c>
      <c r="E32">
        <v>19.289339999999999</v>
      </c>
      <c r="H32" s="131" t="s">
        <v>61</v>
      </c>
      <c r="I32" s="132">
        <v>38.170660888888882</v>
      </c>
      <c r="J32" s="132">
        <v>50.738760222222226</v>
      </c>
      <c r="K32" s="132">
        <v>10.259025155555555</v>
      </c>
      <c r="L32" s="132">
        <v>0.83155376999999997</v>
      </c>
      <c r="M32" s="134">
        <v>25.000000009166669</v>
      </c>
      <c r="O32" s="9" t="s">
        <v>61</v>
      </c>
      <c r="P32" s="12">
        <v>38.170660888888882</v>
      </c>
      <c r="Q32" s="12">
        <v>50.738760222222226</v>
      </c>
      <c r="R32" s="12">
        <v>10.259025155555555</v>
      </c>
      <c r="S32" s="12">
        <v>0.83155376999999997</v>
      </c>
      <c r="T32" s="8">
        <v>25.000000009166669</v>
      </c>
      <c r="U32" s="11"/>
    </row>
    <row r="33" spans="1:21">
      <c r="A33">
        <v>1997</v>
      </c>
      <c r="B33" t="s">
        <v>0</v>
      </c>
      <c r="C33" t="s">
        <v>73</v>
      </c>
      <c r="D33" t="s">
        <v>11</v>
      </c>
      <c r="E33">
        <v>20.620621</v>
      </c>
      <c r="H33" s="131" t="s">
        <v>62</v>
      </c>
      <c r="I33" s="132">
        <v>18.006283999999997</v>
      </c>
      <c r="J33" s="132">
        <v>56.126126666666664</v>
      </c>
      <c r="K33" s="132">
        <v>23.385513766666666</v>
      </c>
      <c r="L33" s="132">
        <v>2.4820754000000003</v>
      </c>
      <c r="M33" s="134">
        <v>24.999999958333333</v>
      </c>
      <c r="O33" s="9" t="s">
        <v>62</v>
      </c>
      <c r="P33" s="12">
        <v>18.006283999999997</v>
      </c>
      <c r="Q33" s="12">
        <v>56.126126666666664</v>
      </c>
      <c r="R33" s="12">
        <v>23.385513766666666</v>
      </c>
      <c r="S33" s="12">
        <v>2.4820754000000003</v>
      </c>
      <c r="T33" s="8">
        <v>24.999999958333333</v>
      </c>
      <c r="U33" s="11"/>
    </row>
    <row r="34" spans="1:21">
      <c r="A34">
        <v>1997</v>
      </c>
      <c r="B34" t="s">
        <v>0</v>
      </c>
      <c r="C34" t="s">
        <v>74</v>
      </c>
      <c r="D34" t="s">
        <v>11</v>
      </c>
      <c r="E34">
        <v>28.795299</v>
      </c>
      <c r="H34" s="131" t="s">
        <v>63</v>
      </c>
      <c r="I34" s="132">
        <v>31.950676444444444</v>
      </c>
      <c r="J34" s="132">
        <v>53.710081555555554</v>
      </c>
      <c r="K34" s="132">
        <v>12.8531289</v>
      </c>
      <c r="L34" s="132">
        <v>1.4861132544444442</v>
      </c>
      <c r="M34" s="134">
        <v>25.00000003861112</v>
      </c>
      <c r="O34" s="9" t="s">
        <v>63</v>
      </c>
      <c r="P34" s="12">
        <v>31.950676444444444</v>
      </c>
      <c r="Q34" s="12">
        <v>53.710081555555554</v>
      </c>
      <c r="R34" s="12">
        <v>12.8531289</v>
      </c>
      <c r="S34" s="12">
        <v>1.4861132544444442</v>
      </c>
      <c r="T34" s="8">
        <v>25.00000003861112</v>
      </c>
      <c r="U34" s="11"/>
    </row>
    <row r="35" spans="1:21">
      <c r="A35">
        <v>1997</v>
      </c>
      <c r="B35" t="s">
        <v>0</v>
      </c>
      <c r="C35" t="s">
        <v>75</v>
      </c>
      <c r="D35" t="s">
        <v>11</v>
      </c>
      <c r="E35">
        <v>35.670608000000001</v>
      </c>
      <c r="H35" s="131" t="s">
        <v>64</v>
      </c>
      <c r="I35" s="132">
        <v>40.201645555555558</v>
      </c>
      <c r="J35" s="132">
        <v>49.932264888888895</v>
      </c>
      <c r="K35" s="132">
        <v>8.4195391888888871</v>
      </c>
      <c r="L35" s="132">
        <v>1.4465503722222222</v>
      </c>
      <c r="M35" s="134">
        <v>25.000000001388884</v>
      </c>
      <c r="O35" s="9" t="s">
        <v>64</v>
      </c>
      <c r="P35" s="12">
        <v>40.201645555555558</v>
      </c>
      <c r="Q35" s="12">
        <v>49.932264888888895</v>
      </c>
      <c r="R35" s="12">
        <v>8.4195391888888871</v>
      </c>
      <c r="S35" s="12">
        <v>1.4465503722222222</v>
      </c>
      <c r="T35" s="8">
        <v>25.000000001388884</v>
      </c>
      <c r="U35" s="11"/>
    </row>
    <row r="36" spans="1:21">
      <c r="A36">
        <v>1997</v>
      </c>
      <c r="B36" t="s">
        <v>0</v>
      </c>
      <c r="C36" t="s">
        <v>76</v>
      </c>
      <c r="D36" t="s">
        <v>11</v>
      </c>
      <c r="E36">
        <v>16.565657000000002</v>
      </c>
      <c r="H36" s="131" t="s">
        <v>65</v>
      </c>
      <c r="I36" s="132">
        <v>35.148626222222219</v>
      </c>
      <c r="J36" s="132">
        <v>51.195808222222212</v>
      </c>
      <c r="K36" s="132">
        <v>11.399861633333336</v>
      </c>
      <c r="L36" s="132">
        <v>2.2557040088888893</v>
      </c>
      <c r="M36" s="134">
        <v>25.000000021666658</v>
      </c>
      <c r="O36" s="9" t="s">
        <v>65</v>
      </c>
      <c r="P36" s="12">
        <v>35.148626222222219</v>
      </c>
      <c r="Q36" s="12">
        <v>51.195808222222212</v>
      </c>
      <c r="R36" s="12">
        <v>11.399861633333336</v>
      </c>
      <c r="S36" s="12">
        <v>2.2557040088888893</v>
      </c>
      <c r="T36" s="8">
        <v>25.000000021666658</v>
      </c>
      <c r="U36" s="11"/>
    </row>
    <row r="37" spans="1:21">
      <c r="A37">
        <v>1997</v>
      </c>
      <c r="B37" t="s">
        <v>0</v>
      </c>
      <c r="C37" t="s">
        <v>77</v>
      </c>
      <c r="D37" t="s">
        <v>11</v>
      </c>
      <c r="E37">
        <v>26.485530000000001</v>
      </c>
      <c r="H37" s="131" t="s">
        <v>66</v>
      </c>
      <c r="I37" s="132">
        <v>23.202505222222225</v>
      </c>
      <c r="J37" s="132">
        <v>53.546051111111105</v>
      </c>
      <c r="K37" s="132">
        <v>20.133724111111107</v>
      </c>
      <c r="L37" s="132">
        <v>3.1177194222222218</v>
      </c>
      <c r="M37" s="134">
        <v>24.999999966666664</v>
      </c>
      <c r="O37" s="9" t="s">
        <v>66</v>
      </c>
      <c r="P37" s="12">
        <v>23.202505222222225</v>
      </c>
      <c r="Q37" s="12">
        <v>53.546051111111105</v>
      </c>
      <c r="R37" s="12">
        <v>20.133724111111107</v>
      </c>
      <c r="S37" s="12">
        <v>3.1177194222222218</v>
      </c>
      <c r="T37" s="8">
        <v>24.999999966666664</v>
      </c>
      <c r="U37" s="11"/>
    </row>
    <row r="38" spans="1:21">
      <c r="A38">
        <v>1997</v>
      </c>
      <c r="B38" t="s">
        <v>0</v>
      </c>
      <c r="C38" t="s">
        <v>78</v>
      </c>
      <c r="D38" t="s">
        <v>11</v>
      </c>
      <c r="E38">
        <v>37.062936999999998</v>
      </c>
      <c r="H38" s="131" t="s">
        <v>67</v>
      </c>
      <c r="I38" s="132">
        <v>32.312257166666662</v>
      </c>
      <c r="J38" s="132">
        <v>46.523334333333338</v>
      </c>
      <c r="K38" s="132">
        <v>17.605477033333333</v>
      </c>
      <c r="L38" s="132">
        <v>3.5589313499999995</v>
      </c>
      <c r="M38" s="134">
        <v>24.999999970833329</v>
      </c>
      <c r="O38" s="9" t="s">
        <v>67</v>
      </c>
      <c r="P38" s="12">
        <v>32.312257166666662</v>
      </c>
      <c r="Q38" s="12">
        <v>46.523334333333338</v>
      </c>
      <c r="R38" s="12">
        <v>17.605477033333333</v>
      </c>
      <c r="S38" s="12">
        <v>3.5589313499999995</v>
      </c>
      <c r="T38" s="8">
        <v>24.999999970833329</v>
      </c>
      <c r="U38" s="11"/>
    </row>
    <row r="39" spans="1:21">
      <c r="A39">
        <v>1997</v>
      </c>
      <c r="B39" t="s">
        <v>36</v>
      </c>
      <c r="C39" t="s">
        <v>36</v>
      </c>
      <c r="D39" t="s">
        <v>12</v>
      </c>
      <c r="E39">
        <v>51.342466000000002</v>
      </c>
      <c r="H39" s="131" t="s">
        <v>68</v>
      </c>
      <c r="I39" s="132">
        <v>21.451255700000001</v>
      </c>
      <c r="J39" s="132">
        <v>47.459434999999999</v>
      </c>
      <c r="K39" s="132">
        <v>27.576974066666665</v>
      </c>
      <c r="L39" s="132">
        <v>3.5123349888888886</v>
      </c>
      <c r="M39" s="134">
        <v>24.999999938888891</v>
      </c>
      <c r="O39" s="9" t="s">
        <v>68</v>
      </c>
      <c r="P39" s="12">
        <v>21.451255700000001</v>
      </c>
      <c r="Q39" s="12">
        <v>47.459434999999999</v>
      </c>
      <c r="R39" s="12">
        <v>27.576974066666665</v>
      </c>
      <c r="S39" s="12">
        <v>3.5123349888888886</v>
      </c>
      <c r="T39" s="8">
        <v>24.999999938888891</v>
      </c>
      <c r="U39" s="11"/>
    </row>
    <row r="40" spans="1:21">
      <c r="A40">
        <v>1997</v>
      </c>
      <c r="B40" t="s">
        <v>37</v>
      </c>
      <c r="C40" t="s">
        <v>43</v>
      </c>
      <c r="D40" t="s">
        <v>12</v>
      </c>
      <c r="E40">
        <v>50.183791999999997</v>
      </c>
      <c r="H40" s="131" t="s">
        <v>76</v>
      </c>
      <c r="I40" s="132">
        <v>22.729003555555558</v>
      </c>
      <c r="J40" s="132">
        <v>53.164622000000001</v>
      </c>
      <c r="K40" s="132">
        <v>20.454832555555555</v>
      </c>
      <c r="L40" s="132">
        <v>3.6515420666666674</v>
      </c>
      <c r="M40" s="134">
        <v>25.000000044444441</v>
      </c>
      <c r="O40" s="9" t="s">
        <v>76</v>
      </c>
      <c r="P40" s="12">
        <v>22.729003555555558</v>
      </c>
      <c r="Q40" s="12">
        <v>53.164622000000001</v>
      </c>
      <c r="R40" s="12">
        <v>20.454832555555555</v>
      </c>
      <c r="S40" s="12">
        <v>3.6515420666666674</v>
      </c>
      <c r="T40" s="8">
        <v>25.000000044444441</v>
      </c>
      <c r="U40" s="11"/>
    </row>
    <row r="41" spans="1:21">
      <c r="A41">
        <v>1997</v>
      </c>
      <c r="B41" t="s">
        <v>37</v>
      </c>
      <c r="C41" t="s">
        <v>44</v>
      </c>
      <c r="D41" t="s">
        <v>12</v>
      </c>
      <c r="E41">
        <v>51.295845</v>
      </c>
      <c r="H41" s="131" t="s">
        <v>69</v>
      </c>
      <c r="I41" s="132">
        <v>28.292896666666664</v>
      </c>
      <c r="J41" s="132">
        <v>51.344962444444448</v>
      </c>
      <c r="K41" s="132">
        <v>16.701440444444444</v>
      </c>
      <c r="L41" s="132">
        <v>3.6607005422222221</v>
      </c>
      <c r="M41" s="134">
        <v>25.000000024444439</v>
      </c>
      <c r="O41" s="9" t="s">
        <v>69</v>
      </c>
      <c r="P41" s="12">
        <v>28.292896666666664</v>
      </c>
      <c r="Q41" s="12">
        <v>51.344962444444448</v>
      </c>
      <c r="R41" s="12">
        <v>16.701440444444444</v>
      </c>
      <c r="S41" s="12">
        <v>3.6607005422222221</v>
      </c>
      <c r="T41" s="8">
        <v>25.000000024444439</v>
      </c>
      <c r="U41" s="11"/>
    </row>
    <row r="42" spans="1:21">
      <c r="A42">
        <v>1997</v>
      </c>
      <c r="B42" t="s">
        <v>37</v>
      </c>
      <c r="C42" t="s">
        <v>45</v>
      </c>
      <c r="D42" t="s">
        <v>12</v>
      </c>
      <c r="E42">
        <v>52.794460999999998</v>
      </c>
      <c r="H42" s="131" t="s">
        <v>70</v>
      </c>
      <c r="I42" s="132">
        <v>28.867596333333339</v>
      </c>
      <c r="J42" s="132">
        <v>53.418948777777771</v>
      </c>
      <c r="K42" s="132">
        <v>14.329894199999996</v>
      </c>
      <c r="L42" s="132">
        <v>3.383560666666666</v>
      </c>
      <c r="M42" s="134">
        <v>24.999999994444448</v>
      </c>
      <c r="O42" s="9" t="s">
        <v>70</v>
      </c>
      <c r="P42" s="12">
        <v>28.867596333333339</v>
      </c>
      <c r="Q42" s="12">
        <v>53.418948777777771</v>
      </c>
      <c r="R42" s="12">
        <v>14.329894199999996</v>
      </c>
      <c r="S42" s="12">
        <v>3.383560666666666</v>
      </c>
      <c r="T42" s="8">
        <v>24.999999994444448</v>
      </c>
      <c r="U42" s="11"/>
    </row>
    <row r="43" spans="1:21">
      <c r="A43">
        <v>1997</v>
      </c>
      <c r="B43" t="s">
        <v>37</v>
      </c>
      <c r="C43" t="s">
        <v>46</v>
      </c>
      <c r="D43" t="s">
        <v>12</v>
      </c>
      <c r="E43">
        <v>51.554518999999999</v>
      </c>
      <c r="H43" s="131" t="s">
        <v>71</v>
      </c>
      <c r="I43" s="132">
        <v>32.151366333333335</v>
      </c>
      <c r="J43" s="132">
        <v>49.749668000000007</v>
      </c>
      <c r="K43" s="132">
        <v>15.319538388888892</v>
      </c>
      <c r="L43" s="132">
        <v>2.7794271955555554</v>
      </c>
      <c r="M43" s="134">
        <v>24.999999979444439</v>
      </c>
      <c r="O43" s="9" t="s">
        <v>71</v>
      </c>
      <c r="P43" s="12">
        <v>32.151366333333335</v>
      </c>
      <c r="Q43" s="12">
        <v>49.749668000000007</v>
      </c>
      <c r="R43" s="12">
        <v>15.319538388888892</v>
      </c>
      <c r="S43" s="12">
        <v>2.7794271955555554</v>
      </c>
      <c r="T43" s="8">
        <v>24.999999979444439</v>
      </c>
      <c r="U43" s="11"/>
    </row>
    <row r="44" spans="1:21">
      <c r="A44">
        <v>1997</v>
      </c>
      <c r="B44" t="s">
        <v>38</v>
      </c>
      <c r="C44" t="s">
        <v>47</v>
      </c>
      <c r="D44" t="s">
        <v>12</v>
      </c>
      <c r="E44">
        <v>53.240783999999998</v>
      </c>
      <c r="H44" s="131" t="s">
        <v>72</v>
      </c>
      <c r="I44" s="132">
        <v>18.686432522222223</v>
      </c>
      <c r="J44" s="132">
        <v>51.878261666666667</v>
      </c>
      <c r="K44" s="132">
        <v>24.327736333333334</v>
      </c>
      <c r="L44" s="132">
        <v>5.1075697444444454</v>
      </c>
      <c r="M44" s="134">
        <v>25.000000066666669</v>
      </c>
      <c r="O44" s="9" t="s">
        <v>72</v>
      </c>
      <c r="P44" s="12">
        <v>18.686432522222223</v>
      </c>
      <c r="Q44" s="12">
        <v>51.878261666666667</v>
      </c>
      <c r="R44" s="12">
        <v>24.327736333333334</v>
      </c>
      <c r="S44" s="12">
        <v>5.1075697444444454</v>
      </c>
      <c r="T44" s="8">
        <v>25.000000066666669</v>
      </c>
      <c r="U44" s="11"/>
    </row>
    <row r="45" spans="1:21">
      <c r="A45">
        <v>1997</v>
      </c>
      <c r="B45" t="s">
        <v>38</v>
      </c>
      <c r="C45" t="s">
        <v>48</v>
      </c>
      <c r="D45" t="s">
        <v>12</v>
      </c>
      <c r="E45">
        <v>51.377285000000001</v>
      </c>
      <c r="H45" s="131" t="s">
        <v>73</v>
      </c>
      <c r="I45" s="132">
        <v>27.391885111111108</v>
      </c>
      <c r="J45" s="132">
        <v>48.013396888888877</v>
      </c>
      <c r="K45" s="132">
        <v>20.251557666666667</v>
      </c>
      <c r="L45" s="132">
        <v>4.3431602188888885</v>
      </c>
      <c r="M45" s="134">
        <v>24.999999971388885</v>
      </c>
      <c r="O45" s="9" t="s">
        <v>73</v>
      </c>
      <c r="P45" s="12">
        <v>27.391885111111108</v>
      </c>
      <c r="Q45" s="12">
        <v>48.013396888888877</v>
      </c>
      <c r="R45" s="12">
        <v>20.251557666666667</v>
      </c>
      <c r="S45" s="12">
        <v>4.3431602188888885</v>
      </c>
      <c r="T45" s="8">
        <v>24.999999971388885</v>
      </c>
      <c r="U45" s="11"/>
    </row>
    <row r="46" spans="1:21">
      <c r="A46">
        <v>1997</v>
      </c>
      <c r="B46" t="s">
        <v>38</v>
      </c>
      <c r="C46" t="s">
        <v>49</v>
      </c>
      <c r="D46" t="s">
        <v>12</v>
      </c>
      <c r="E46">
        <v>49.752485999999998</v>
      </c>
      <c r="H46" s="131" t="s">
        <v>75</v>
      </c>
      <c r="I46" s="132">
        <v>38.312787444444446</v>
      </c>
      <c r="J46" s="132">
        <v>48.800089</v>
      </c>
      <c r="K46" s="132">
        <v>10.952523755555553</v>
      </c>
      <c r="L46" s="132">
        <v>1.9346000522222222</v>
      </c>
      <c r="M46" s="134">
        <v>25.000000063055559</v>
      </c>
      <c r="O46" s="9" t="s">
        <v>75</v>
      </c>
      <c r="P46" s="12">
        <v>38.312787444444446</v>
      </c>
      <c r="Q46" s="12">
        <v>48.800089</v>
      </c>
      <c r="R46" s="12">
        <v>10.952523755555553</v>
      </c>
      <c r="S46" s="12">
        <v>1.9346000522222222</v>
      </c>
      <c r="T46" s="8">
        <v>25.000000063055559</v>
      </c>
      <c r="U46" s="11"/>
    </row>
    <row r="47" spans="1:21">
      <c r="A47">
        <v>1997</v>
      </c>
      <c r="B47" t="s">
        <v>38</v>
      </c>
      <c r="C47" t="s">
        <v>50</v>
      </c>
      <c r="D47" t="s">
        <v>12</v>
      </c>
      <c r="E47">
        <v>52.232703000000001</v>
      </c>
      <c r="H47" s="131" t="s">
        <v>74</v>
      </c>
      <c r="I47" s="132">
        <v>25.02590866666667</v>
      </c>
      <c r="J47" s="132">
        <v>61.891414777777783</v>
      </c>
      <c r="K47" s="132">
        <v>11.703371122222224</v>
      </c>
      <c r="L47" s="132">
        <v>1.3793056277777778</v>
      </c>
      <c r="M47" s="134">
        <v>25.00000004861111</v>
      </c>
      <c r="O47" s="9" t="s">
        <v>74</v>
      </c>
      <c r="P47" s="12">
        <v>25.02590866666667</v>
      </c>
      <c r="Q47" s="12">
        <v>61.891414777777783</v>
      </c>
      <c r="R47" s="12">
        <v>11.703371122222224</v>
      </c>
      <c r="S47" s="12">
        <v>1.3793056277777778</v>
      </c>
      <c r="T47" s="8">
        <v>25.00000004861111</v>
      </c>
      <c r="U47" s="11"/>
    </row>
    <row r="48" spans="1:21">
      <c r="A48">
        <v>1997</v>
      </c>
      <c r="B48" t="s">
        <v>39</v>
      </c>
      <c r="C48" t="s">
        <v>51</v>
      </c>
      <c r="D48" t="s">
        <v>12</v>
      </c>
      <c r="E48">
        <v>51.246951000000003</v>
      </c>
      <c r="H48" s="131" t="s">
        <v>77</v>
      </c>
      <c r="I48" s="132">
        <v>18.21826981111111</v>
      </c>
      <c r="J48" s="132">
        <v>57.505912888888894</v>
      </c>
      <c r="K48" s="132">
        <v>22.639604511111113</v>
      </c>
      <c r="L48" s="132">
        <v>1.6362124488888889</v>
      </c>
      <c r="M48" s="134">
        <v>24.999999915</v>
      </c>
      <c r="O48" s="9" t="s">
        <v>77</v>
      </c>
      <c r="P48" s="12">
        <v>18.21826981111111</v>
      </c>
      <c r="Q48" s="12">
        <v>57.505912888888894</v>
      </c>
      <c r="R48" s="12">
        <v>22.639604511111113</v>
      </c>
      <c r="S48" s="12">
        <v>1.6362124488888889</v>
      </c>
      <c r="T48" s="8">
        <v>24.999999915</v>
      </c>
      <c r="U48" s="11"/>
    </row>
    <row r="49" spans="1:21">
      <c r="A49">
        <v>1997</v>
      </c>
      <c r="B49" t="s">
        <v>39</v>
      </c>
      <c r="C49" t="s">
        <v>52</v>
      </c>
      <c r="D49" t="s">
        <v>12</v>
      </c>
      <c r="E49">
        <v>51.441749000000002</v>
      </c>
      <c r="H49" s="131" t="s">
        <v>78</v>
      </c>
      <c r="I49" s="132">
        <v>23.508835777777776</v>
      </c>
      <c r="J49" s="132">
        <v>42.959083999999997</v>
      </c>
      <c r="K49" s="132">
        <v>26.615645000000001</v>
      </c>
      <c r="L49" s="132">
        <v>6.9164351777777773</v>
      </c>
      <c r="M49" s="134">
        <v>24.999999988888895</v>
      </c>
      <c r="O49" s="10" t="s">
        <v>78</v>
      </c>
      <c r="P49" s="56">
        <v>23.508835777777776</v>
      </c>
      <c r="Q49" s="56">
        <v>42.959083999999997</v>
      </c>
      <c r="R49" s="56">
        <v>26.615645000000001</v>
      </c>
      <c r="S49" s="56">
        <v>6.9164351777777799</v>
      </c>
      <c r="T49" s="138">
        <v>24.999999988888895</v>
      </c>
      <c r="U49" s="11"/>
    </row>
    <row r="50" spans="1:21">
      <c r="A50">
        <v>1997</v>
      </c>
      <c r="B50" t="s">
        <v>40</v>
      </c>
      <c r="C50" t="s">
        <v>53</v>
      </c>
      <c r="D50" t="s">
        <v>12</v>
      </c>
      <c r="E50">
        <v>50.878433000000001</v>
      </c>
      <c r="H50"/>
      <c r="I50"/>
      <c r="J50"/>
      <c r="K50"/>
      <c r="L50"/>
      <c r="M50"/>
      <c r="O50" s="11"/>
      <c r="P50" s="11"/>
      <c r="Q50" s="11"/>
      <c r="R50" s="11"/>
      <c r="S50" s="11"/>
      <c r="T50" s="139"/>
      <c r="U50" s="11"/>
    </row>
    <row r="51" spans="1:21">
      <c r="A51">
        <v>1997</v>
      </c>
      <c r="B51" t="s">
        <v>40</v>
      </c>
      <c r="C51" t="s">
        <v>54</v>
      </c>
      <c r="D51" t="s">
        <v>12</v>
      </c>
      <c r="E51">
        <v>52.012121999999998</v>
      </c>
      <c r="H51"/>
      <c r="I51"/>
      <c r="J51"/>
      <c r="K51"/>
      <c r="L51"/>
      <c r="M51"/>
      <c r="O51" s="11"/>
      <c r="P51" s="11"/>
      <c r="Q51" s="11"/>
      <c r="R51" s="11"/>
      <c r="S51" s="11"/>
      <c r="T51" s="139"/>
      <c r="U51" s="11"/>
    </row>
    <row r="52" spans="1:21" ht="15.75">
      <c r="A52">
        <v>1997</v>
      </c>
      <c r="B52" t="s">
        <v>41</v>
      </c>
      <c r="C52" t="s">
        <v>55</v>
      </c>
      <c r="D52" t="s">
        <v>12</v>
      </c>
      <c r="E52">
        <v>46.803938000000002</v>
      </c>
      <c r="H52"/>
      <c r="I52"/>
      <c r="J52"/>
      <c r="K52"/>
      <c r="L52"/>
      <c r="M52"/>
    </row>
    <row r="53" spans="1:21" ht="15.75">
      <c r="A53">
        <v>1997</v>
      </c>
      <c r="B53" t="s">
        <v>41</v>
      </c>
      <c r="C53" t="s">
        <v>56</v>
      </c>
      <c r="D53" t="s">
        <v>12</v>
      </c>
      <c r="E53">
        <v>52.731940999999999</v>
      </c>
      <c r="H53"/>
      <c r="I53"/>
      <c r="J53"/>
      <c r="K53"/>
      <c r="L53"/>
      <c r="M53"/>
    </row>
    <row r="54" spans="1:21" ht="15.75">
      <c r="A54">
        <v>1997</v>
      </c>
      <c r="B54" t="s">
        <v>42</v>
      </c>
      <c r="C54" t="s">
        <v>57</v>
      </c>
      <c r="D54" t="s">
        <v>12</v>
      </c>
      <c r="E54">
        <v>47.219422000000002</v>
      </c>
      <c r="H54"/>
      <c r="I54" s="5"/>
      <c r="J54" s="5"/>
      <c r="K54" s="5"/>
      <c r="L54" s="5"/>
    </row>
    <row r="55" spans="1:21">
      <c r="A55">
        <v>1997</v>
      </c>
      <c r="B55" t="s">
        <v>42</v>
      </c>
      <c r="C55" t="s">
        <v>58</v>
      </c>
      <c r="D55" t="s">
        <v>12</v>
      </c>
      <c r="E55">
        <v>51.699877999999998</v>
      </c>
    </row>
    <row r="56" spans="1:21">
      <c r="A56">
        <v>1997</v>
      </c>
      <c r="B56" t="s">
        <v>42</v>
      </c>
      <c r="C56" t="s">
        <v>59</v>
      </c>
      <c r="D56" t="s">
        <v>12</v>
      </c>
      <c r="E56">
        <v>50.282775000000001</v>
      </c>
    </row>
    <row r="57" spans="1:21">
      <c r="A57">
        <v>1997</v>
      </c>
      <c r="B57" t="s">
        <v>42</v>
      </c>
      <c r="C57" t="s">
        <v>60</v>
      </c>
      <c r="D57" t="s">
        <v>12</v>
      </c>
      <c r="E57">
        <v>52.938409</v>
      </c>
    </row>
    <row r="58" spans="1:21">
      <c r="A58">
        <v>1997</v>
      </c>
      <c r="B58" t="s">
        <v>0</v>
      </c>
      <c r="C58" t="s">
        <v>61</v>
      </c>
      <c r="D58" t="s">
        <v>12</v>
      </c>
      <c r="E58">
        <v>40.990606</v>
      </c>
    </row>
    <row r="59" spans="1:21">
      <c r="A59">
        <v>1997</v>
      </c>
      <c r="B59" t="s">
        <v>0</v>
      </c>
      <c r="C59" t="s">
        <v>62</v>
      </c>
      <c r="D59" t="s">
        <v>12</v>
      </c>
      <c r="E59">
        <v>66.237112999999994</v>
      </c>
    </row>
    <row r="60" spans="1:21">
      <c r="A60">
        <v>1997</v>
      </c>
      <c r="B60" t="s">
        <v>0</v>
      </c>
      <c r="C60" t="s">
        <v>63</v>
      </c>
      <c r="D60" t="s">
        <v>12</v>
      </c>
      <c r="E60">
        <v>54.098360999999997</v>
      </c>
    </row>
    <row r="61" spans="1:21">
      <c r="A61">
        <v>1997</v>
      </c>
      <c r="B61" t="s">
        <v>0</v>
      </c>
      <c r="C61" t="s">
        <v>64</v>
      </c>
      <c r="D61" t="s">
        <v>12</v>
      </c>
      <c r="E61">
        <v>53.936967000000003</v>
      </c>
    </row>
    <row r="62" spans="1:21">
      <c r="A62">
        <v>1997</v>
      </c>
      <c r="B62" t="s">
        <v>0</v>
      </c>
      <c r="C62" t="s">
        <v>65</v>
      </c>
      <c r="D62" t="s">
        <v>12</v>
      </c>
      <c r="E62">
        <v>52.269025999999997</v>
      </c>
    </row>
    <row r="63" spans="1:21">
      <c r="A63">
        <v>1997</v>
      </c>
      <c r="B63" t="s">
        <v>0</v>
      </c>
      <c r="C63" t="s">
        <v>66</v>
      </c>
      <c r="D63" t="s">
        <v>12</v>
      </c>
      <c r="E63">
        <v>61.967545999999999</v>
      </c>
    </row>
    <row r="64" spans="1:21">
      <c r="A64">
        <v>1997</v>
      </c>
      <c r="B64" t="s">
        <v>0</v>
      </c>
      <c r="C64" t="s">
        <v>67</v>
      </c>
      <c r="D64" t="s">
        <v>12</v>
      </c>
      <c r="E64"/>
    </row>
    <row r="65" spans="1:5">
      <c r="A65">
        <v>1997</v>
      </c>
      <c r="B65" t="s">
        <v>0</v>
      </c>
      <c r="C65" t="s">
        <v>68</v>
      </c>
      <c r="D65" t="s">
        <v>12</v>
      </c>
      <c r="E65">
        <v>54.946995999999999</v>
      </c>
    </row>
    <row r="66" spans="1:5">
      <c r="A66">
        <v>1997</v>
      </c>
      <c r="B66" t="s">
        <v>0</v>
      </c>
      <c r="C66" t="s">
        <v>69</v>
      </c>
      <c r="D66" t="s">
        <v>12</v>
      </c>
      <c r="E66">
        <v>38.213132000000002</v>
      </c>
    </row>
    <row r="67" spans="1:5">
      <c r="A67">
        <v>1997</v>
      </c>
      <c r="B67" t="s">
        <v>0</v>
      </c>
      <c r="C67" t="s">
        <v>70</v>
      </c>
      <c r="D67" t="s">
        <v>12</v>
      </c>
      <c r="E67">
        <v>59.95872</v>
      </c>
    </row>
    <row r="68" spans="1:5">
      <c r="A68">
        <v>1997</v>
      </c>
      <c r="B68" t="s">
        <v>0</v>
      </c>
      <c r="C68" t="s">
        <v>71</v>
      </c>
      <c r="D68" t="s">
        <v>12</v>
      </c>
      <c r="E68">
        <v>39.182915999999999</v>
      </c>
    </row>
    <row r="69" spans="1:5">
      <c r="A69">
        <v>1997</v>
      </c>
      <c r="B69" t="s">
        <v>0</v>
      </c>
      <c r="C69" t="s">
        <v>72</v>
      </c>
      <c r="D69" t="s">
        <v>12</v>
      </c>
      <c r="E69">
        <v>43.248730999999999</v>
      </c>
    </row>
    <row r="70" spans="1:5">
      <c r="A70">
        <v>1997</v>
      </c>
      <c r="B70" t="s">
        <v>0</v>
      </c>
      <c r="C70" t="s">
        <v>73</v>
      </c>
      <c r="D70" t="s">
        <v>12</v>
      </c>
      <c r="E70">
        <v>58.458458</v>
      </c>
    </row>
    <row r="71" spans="1:5">
      <c r="A71">
        <v>1997</v>
      </c>
      <c r="B71" t="s">
        <v>0</v>
      </c>
      <c r="C71" t="s">
        <v>74</v>
      </c>
      <c r="D71" t="s">
        <v>12</v>
      </c>
      <c r="E71">
        <v>57.002938</v>
      </c>
    </row>
    <row r="72" spans="1:5">
      <c r="A72">
        <v>1997</v>
      </c>
      <c r="B72" t="s">
        <v>0</v>
      </c>
      <c r="C72" t="s">
        <v>75</v>
      </c>
      <c r="D72" t="s">
        <v>12</v>
      </c>
      <c r="E72">
        <v>52.356206999999998</v>
      </c>
    </row>
    <row r="73" spans="1:5">
      <c r="A73">
        <v>1997</v>
      </c>
      <c r="B73" t="s">
        <v>0</v>
      </c>
      <c r="C73" t="s">
        <v>76</v>
      </c>
      <c r="D73" t="s">
        <v>12</v>
      </c>
      <c r="E73">
        <v>44.343434000000002</v>
      </c>
    </row>
    <row r="74" spans="1:5">
      <c r="A74">
        <v>1997</v>
      </c>
      <c r="B74" t="s">
        <v>0</v>
      </c>
      <c r="C74" t="s">
        <v>77</v>
      </c>
      <c r="D74" t="s">
        <v>12</v>
      </c>
      <c r="E74">
        <v>52.386268999999999</v>
      </c>
    </row>
    <row r="75" spans="1:5">
      <c r="A75">
        <v>1997</v>
      </c>
      <c r="B75" t="s">
        <v>0</v>
      </c>
      <c r="C75" t="s">
        <v>78</v>
      </c>
      <c r="D75" t="s">
        <v>12</v>
      </c>
      <c r="E75">
        <v>48.164335999999999</v>
      </c>
    </row>
    <row r="76" spans="1:5">
      <c r="A76">
        <v>1997</v>
      </c>
      <c r="B76" t="s">
        <v>36</v>
      </c>
      <c r="C76" t="s">
        <v>36</v>
      </c>
      <c r="D76" t="s">
        <v>13</v>
      </c>
      <c r="E76">
        <v>14.317824</v>
      </c>
    </row>
    <row r="77" spans="1:5">
      <c r="A77">
        <v>1997</v>
      </c>
      <c r="B77" t="s">
        <v>37</v>
      </c>
      <c r="C77" t="s">
        <v>43</v>
      </c>
      <c r="D77" t="s">
        <v>13</v>
      </c>
      <c r="E77">
        <v>13.754386999999999</v>
      </c>
    </row>
    <row r="78" spans="1:5">
      <c r="A78">
        <v>1997</v>
      </c>
      <c r="B78" t="s">
        <v>37</v>
      </c>
      <c r="C78" t="s">
        <v>44</v>
      </c>
      <c r="D78" t="s">
        <v>13</v>
      </c>
      <c r="E78">
        <v>13.565058000000001</v>
      </c>
    </row>
    <row r="79" spans="1:5">
      <c r="A79">
        <v>1997</v>
      </c>
      <c r="B79" t="s">
        <v>37</v>
      </c>
      <c r="C79" t="s">
        <v>45</v>
      </c>
      <c r="D79" t="s">
        <v>13</v>
      </c>
      <c r="E79">
        <v>14.556501000000001</v>
      </c>
    </row>
    <row r="80" spans="1:5">
      <c r="A80">
        <v>1997</v>
      </c>
      <c r="B80" t="s">
        <v>37</v>
      </c>
      <c r="C80" t="s">
        <v>46</v>
      </c>
      <c r="D80" t="s">
        <v>13</v>
      </c>
      <c r="E80">
        <v>15.621578</v>
      </c>
    </row>
    <row r="81" spans="1:5">
      <c r="A81">
        <v>1997</v>
      </c>
      <c r="B81" t="s">
        <v>38</v>
      </c>
      <c r="C81" t="s">
        <v>47</v>
      </c>
      <c r="D81" t="s">
        <v>13</v>
      </c>
      <c r="E81">
        <v>13.913346000000001</v>
      </c>
    </row>
    <row r="82" spans="1:5">
      <c r="A82">
        <v>1997</v>
      </c>
      <c r="B82" t="s">
        <v>38</v>
      </c>
      <c r="C82" t="s">
        <v>48</v>
      </c>
      <c r="D82" t="s">
        <v>13</v>
      </c>
      <c r="E82">
        <v>15.108431</v>
      </c>
    </row>
    <row r="83" spans="1:5">
      <c r="A83">
        <v>1997</v>
      </c>
      <c r="B83" t="s">
        <v>38</v>
      </c>
      <c r="C83" t="s">
        <v>49</v>
      </c>
      <c r="D83" t="s">
        <v>13</v>
      </c>
      <c r="E83">
        <v>14.032501999999999</v>
      </c>
    </row>
    <row r="84" spans="1:5">
      <c r="A84">
        <v>1997</v>
      </c>
      <c r="B84" t="s">
        <v>38</v>
      </c>
      <c r="C84" t="s">
        <v>50</v>
      </c>
      <c r="D84" t="s">
        <v>13</v>
      </c>
      <c r="E84">
        <v>11.789904</v>
      </c>
    </row>
    <row r="85" spans="1:5">
      <c r="A85">
        <v>1997</v>
      </c>
      <c r="B85" t="s">
        <v>39</v>
      </c>
      <c r="C85" t="s">
        <v>51</v>
      </c>
      <c r="D85" t="s">
        <v>13</v>
      </c>
      <c r="E85">
        <v>13.4338</v>
      </c>
    </row>
    <row r="86" spans="1:5">
      <c r="A86">
        <v>1997</v>
      </c>
      <c r="B86" t="s">
        <v>39</v>
      </c>
      <c r="C86" t="s">
        <v>52</v>
      </c>
      <c r="D86" t="s">
        <v>13</v>
      </c>
      <c r="E86">
        <v>15.236729</v>
      </c>
    </row>
    <row r="87" spans="1:5">
      <c r="A87">
        <v>1997</v>
      </c>
      <c r="B87" t="s">
        <v>40</v>
      </c>
      <c r="C87" t="s">
        <v>53</v>
      </c>
      <c r="D87" t="s">
        <v>13</v>
      </c>
      <c r="E87">
        <v>14.351891999999999</v>
      </c>
    </row>
    <row r="88" spans="1:5">
      <c r="A88">
        <v>1997</v>
      </c>
      <c r="B88" t="s">
        <v>40</v>
      </c>
      <c r="C88" t="s">
        <v>54</v>
      </c>
      <c r="D88" t="s">
        <v>13</v>
      </c>
      <c r="E88">
        <v>14.167176</v>
      </c>
    </row>
    <row r="89" spans="1:5">
      <c r="A89">
        <v>1997</v>
      </c>
      <c r="B89" t="s">
        <v>41</v>
      </c>
      <c r="C89" t="s">
        <v>55</v>
      </c>
      <c r="D89" t="s">
        <v>13</v>
      </c>
      <c r="E89">
        <v>17.402847000000001</v>
      </c>
    </row>
    <row r="90" spans="1:5">
      <c r="A90">
        <v>1997</v>
      </c>
      <c r="B90" t="s">
        <v>41</v>
      </c>
      <c r="C90" t="s">
        <v>56</v>
      </c>
      <c r="D90" t="s">
        <v>13</v>
      </c>
      <c r="E90">
        <v>13.326942000000001</v>
      </c>
    </row>
    <row r="91" spans="1:5">
      <c r="A91">
        <v>1997</v>
      </c>
      <c r="B91" t="s">
        <v>42</v>
      </c>
      <c r="C91" t="s">
        <v>57</v>
      </c>
      <c r="D91" t="s">
        <v>13</v>
      </c>
      <c r="E91">
        <v>13.553857000000001</v>
      </c>
    </row>
    <row r="92" spans="1:5">
      <c r="A92">
        <v>1997</v>
      </c>
      <c r="B92" t="s">
        <v>42</v>
      </c>
      <c r="C92" t="s">
        <v>58</v>
      </c>
      <c r="D92" t="s">
        <v>13</v>
      </c>
      <c r="E92">
        <v>14.667261999999999</v>
      </c>
    </row>
    <row r="93" spans="1:5">
      <c r="A93">
        <v>1997</v>
      </c>
      <c r="B93" t="s">
        <v>42</v>
      </c>
      <c r="C93" t="s">
        <v>59</v>
      </c>
      <c r="D93" t="s">
        <v>13</v>
      </c>
      <c r="E93">
        <v>15.106548</v>
      </c>
    </row>
    <row r="94" spans="1:5">
      <c r="A94">
        <v>1997</v>
      </c>
      <c r="B94" t="s">
        <v>42</v>
      </c>
      <c r="C94" t="s">
        <v>60</v>
      </c>
      <c r="D94" t="s">
        <v>13</v>
      </c>
      <c r="E94">
        <v>12.401427999999999</v>
      </c>
    </row>
    <row r="95" spans="1:5">
      <c r="A95">
        <v>1997</v>
      </c>
      <c r="B95" t="s">
        <v>0</v>
      </c>
      <c r="C95" t="s">
        <v>61</v>
      </c>
      <c r="D95" t="s">
        <v>13</v>
      </c>
      <c r="E95">
        <v>4.0990605999999996</v>
      </c>
    </row>
    <row r="96" spans="1:5">
      <c r="A96">
        <v>1997</v>
      </c>
      <c r="B96" t="s">
        <v>0</v>
      </c>
      <c r="C96" t="s">
        <v>62</v>
      </c>
      <c r="D96" t="s">
        <v>13</v>
      </c>
      <c r="E96">
        <v>7.6030927999999998</v>
      </c>
    </row>
    <row r="97" spans="1:5">
      <c r="A97">
        <v>1997</v>
      </c>
      <c r="B97" t="s">
        <v>0</v>
      </c>
      <c r="C97" t="s">
        <v>63</v>
      </c>
      <c r="D97" t="s">
        <v>13</v>
      </c>
      <c r="E97">
        <v>5.6352459000000001</v>
      </c>
    </row>
    <row r="98" spans="1:5">
      <c r="A98">
        <v>1997</v>
      </c>
      <c r="B98" t="s">
        <v>0</v>
      </c>
      <c r="C98" t="s">
        <v>64</v>
      </c>
      <c r="D98" t="s">
        <v>13</v>
      </c>
      <c r="E98">
        <v>9.4108242000000004</v>
      </c>
    </row>
    <row r="99" spans="1:5">
      <c r="A99">
        <v>1997</v>
      </c>
      <c r="B99" t="s">
        <v>0</v>
      </c>
      <c r="C99" t="s">
        <v>65</v>
      </c>
      <c r="D99" t="s">
        <v>13</v>
      </c>
      <c r="E99">
        <v>8.6394257000000003</v>
      </c>
    </row>
    <row r="100" spans="1:5">
      <c r="A100">
        <v>1997</v>
      </c>
      <c r="B100" t="s">
        <v>0</v>
      </c>
      <c r="C100" t="s">
        <v>66</v>
      </c>
      <c r="D100" t="s">
        <v>13</v>
      </c>
      <c r="E100">
        <v>14.401623000000001</v>
      </c>
    </row>
    <row r="101" spans="1:5">
      <c r="A101">
        <v>1997</v>
      </c>
      <c r="B101" t="s">
        <v>0</v>
      </c>
      <c r="C101" t="s">
        <v>67</v>
      </c>
      <c r="D101" t="s">
        <v>13</v>
      </c>
      <c r="E101"/>
    </row>
    <row r="102" spans="1:5">
      <c r="A102">
        <v>1997</v>
      </c>
      <c r="B102" t="s">
        <v>0</v>
      </c>
      <c r="C102" t="s">
        <v>68</v>
      </c>
      <c r="D102" t="s">
        <v>13</v>
      </c>
      <c r="E102">
        <v>8.0388693</v>
      </c>
    </row>
    <row r="103" spans="1:5">
      <c r="A103">
        <v>1997</v>
      </c>
      <c r="B103" t="s">
        <v>0</v>
      </c>
      <c r="C103" t="s">
        <v>69</v>
      </c>
      <c r="D103" t="s">
        <v>13</v>
      </c>
      <c r="E103">
        <v>26.372443000000001</v>
      </c>
    </row>
    <row r="104" spans="1:5">
      <c r="A104">
        <v>1997</v>
      </c>
      <c r="B104" t="s">
        <v>0</v>
      </c>
      <c r="C104" t="s">
        <v>70</v>
      </c>
      <c r="D104" t="s">
        <v>13</v>
      </c>
      <c r="E104">
        <v>15.170279000000001</v>
      </c>
    </row>
    <row r="105" spans="1:5">
      <c r="A105">
        <v>1997</v>
      </c>
      <c r="B105" t="s">
        <v>0</v>
      </c>
      <c r="C105" t="s">
        <v>71</v>
      </c>
      <c r="D105" t="s">
        <v>13</v>
      </c>
      <c r="E105">
        <v>23.212627999999999</v>
      </c>
    </row>
    <row r="106" spans="1:5">
      <c r="A106">
        <v>1997</v>
      </c>
      <c r="B106" t="s">
        <v>0</v>
      </c>
      <c r="C106" t="s">
        <v>72</v>
      </c>
      <c r="D106" t="s">
        <v>13</v>
      </c>
      <c r="E106">
        <v>24.771574000000001</v>
      </c>
    </row>
    <row r="107" spans="1:5">
      <c r="A107">
        <v>1997</v>
      </c>
      <c r="B107" t="s">
        <v>0</v>
      </c>
      <c r="C107" t="s">
        <v>73</v>
      </c>
      <c r="D107" t="s">
        <v>13</v>
      </c>
      <c r="E107">
        <v>18.518519000000001</v>
      </c>
    </row>
    <row r="108" spans="1:5">
      <c r="A108">
        <v>1997</v>
      </c>
      <c r="B108" t="s">
        <v>0</v>
      </c>
      <c r="C108" t="s">
        <v>74</v>
      </c>
      <c r="D108" t="s">
        <v>13</v>
      </c>
      <c r="E108">
        <v>12.242899</v>
      </c>
    </row>
    <row r="109" spans="1:5">
      <c r="A109">
        <v>1997</v>
      </c>
      <c r="B109" t="s">
        <v>0</v>
      </c>
      <c r="C109" t="s">
        <v>75</v>
      </c>
      <c r="D109" t="s">
        <v>13</v>
      </c>
      <c r="E109">
        <v>6.9909029</v>
      </c>
    </row>
    <row r="110" spans="1:5">
      <c r="A110">
        <v>1997</v>
      </c>
      <c r="B110" t="s">
        <v>0</v>
      </c>
      <c r="C110" t="s">
        <v>76</v>
      </c>
      <c r="D110" t="s">
        <v>13</v>
      </c>
      <c r="E110">
        <v>30.404039999999998</v>
      </c>
    </row>
    <row r="111" spans="1:5">
      <c r="A111">
        <v>1997</v>
      </c>
      <c r="B111" t="s">
        <v>0</v>
      </c>
      <c r="C111" t="s">
        <v>77</v>
      </c>
      <c r="D111" t="s">
        <v>13</v>
      </c>
      <c r="E111">
        <v>17.599845999999999</v>
      </c>
    </row>
    <row r="112" spans="1:5">
      <c r="A112">
        <v>1997</v>
      </c>
      <c r="B112" t="s">
        <v>0</v>
      </c>
      <c r="C112" t="s">
        <v>78</v>
      </c>
      <c r="D112" t="s">
        <v>13</v>
      </c>
      <c r="E112">
        <v>10.402098000000001</v>
      </c>
    </row>
    <row r="113" spans="1:5">
      <c r="A113">
        <v>1997</v>
      </c>
      <c r="B113" t="s">
        <v>36</v>
      </c>
      <c r="C113" t="s">
        <v>36</v>
      </c>
      <c r="D113" t="s">
        <v>14</v>
      </c>
      <c r="E113">
        <v>5.1970213999999997</v>
      </c>
    </row>
    <row r="114" spans="1:5">
      <c r="A114">
        <v>1997</v>
      </c>
      <c r="B114" t="s">
        <v>37</v>
      </c>
      <c r="C114" t="s">
        <v>43</v>
      </c>
      <c r="D114" t="s">
        <v>14</v>
      </c>
      <c r="E114">
        <v>6.1770844</v>
      </c>
    </row>
    <row r="115" spans="1:5">
      <c r="A115">
        <v>1997</v>
      </c>
      <c r="B115" t="s">
        <v>37</v>
      </c>
      <c r="C115" t="s">
        <v>44</v>
      </c>
      <c r="D115" t="s">
        <v>14</v>
      </c>
      <c r="E115">
        <v>5.0810858999999997</v>
      </c>
    </row>
    <row r="116" spans="1:5">
      <c r="A116">
        <v>1997</v>
      </c>
      <c r="B116" t="s">
        <v>37</v>
      </c>
      <c r="C116" t="s">
        <v>45</v>
      </c>
      <c r="D116" t="s">
        <v>14</v>
      </c>
      <c r="E116">
        <v>4.6423848999999997</v>
      </c>
    </row>
    <row r="117" spans="1:5">
      <c r="A117">
        <v>1997</v>
      </c>
      <c r="B117" t="s">
        <v>37</v>
      </c>
      <c r="C117" t="s">
        <v>46</v>
      </c>
      <c r="D117" t="s">
        <v>14</v>
      </c>
      <c r="E117">
        <v>4.9474969</v>
      </c>
    </row>
    <row r="118" spans="1:5">
      <c r="A118">
        <v>1997</v>
      </c>
      <c r="B118" t="s">
        <v>38</v>
      </c>
      <c r="C118" t="s">
        <v>47</v>
      </c>
      <c r="D118" t="s">
        <v>14</v>
      </c>
      <c r="E118">
        <v>5.0821709999999998</v>
      </c>
    </row>
    <row r="119" spans="1:5">
      <c r="A119">
        <v>1997</v>
      </c>
      <c r="B119" t="s">
        <v>38</v>
      </c>
      <c r="C119" t="s">
        <v>48</v>
      </c>
      <c r="D119" t="s">
        <v>14</v>
      </c>
      <c r="E119">
        <v>6.0371378</v>
      </c>
    </row>
    <row r="120" spans="1:5">
      <c r="A120">
        <v>1997</v>
      </c>
      <c r="B120" t="s">
        <v>38</v>
      </c>
      <c r="C120" t="s">
        <v>49</v>
      </c>
      <c r="D120" t="s">
        <v>14</v>
      </c>
      <c r="E120">
        <v>4.4070182999999998</v>
      </c>
    </row>
    <row r="121" spans="1:5">
      <c r="A121">
        <v>1997</v>
      </c>
      <c r="B121" t="s">
        <v>38</v>
      </c>
      <c r="C121" t="s">
        <v>50</v>
      </c>
      <c r="D121" t="s">
        <v>14</v>
      </c>
      <c r="E121">
        <v>3.9230244000000001</v>
      </c>
    </row>
    <row r="122" spans="1:5">
      <c r="A122">
        <v>1997</v>
      </c>
      <c r="B122" t="s">
        <v>39</v>
      </c>
      <c r="C122" t="s">
        <v>51</v>
      </c>
      <c r="D122" t="s">
        <v>14</v>
      </c>
      <c r="E122">
        <v>5.1211253000000001</v>
      </c>
    </row>
    <row r="123" spans="1:5">
      <c r="A123">
        <v>1997</v>
      </c>
      <c r="B123" t="s">
        <v>39</v>
      </c>
      <c r="C123" t="s">
        <v>52</v>
      </c>
      <c r="D123" t="s">
        <v>14</v>
      </c>
      <c r="E123">
        <v>5.2759121000000002</v>
      </c>
    </row>
    <row r="124" spans="1:5">
      <c r="A124">
        <v>1997</v>
      </c>
      <c r="B124" t="s">
        <v>40</v>
      </c>
      <c r="C124" t="s">
        <v>53</v>
      </c>
      <c r="D124" t="s">
        <v>14</v>
      </c>
      <c r="E124">
        <v>5.1420022000000003</v>
      </c>
    </row>
    <row r="125" spans="1:5">
      <c r="A125">
        <v>1997</v>
      </c>
      <c r="B125" t="s">
        <v>40</v>
      </c>
      <c r="C125" t="s">
        <v>54</v>
      </c>
      <c r="D125" t="s">
        <v>14</v>
      </c>
      <c r="E125">
        <v>5.1812972000000004</v>
      </c>
    </row>
    <row r="126" spans="1:5">
      <c r="A126">
        <v>1997</v>
      </c>
      <c r="B126" t="s">
        <v>41</v>
      </c>
      <c r="C126" t="s">
        <v>55</v>
      </c>
      <c r="D126" t="s">
        <v>14</v>
      </c>
      <c r="E126">
        <v>6.0663425999999996</v>
      </c>
    </row>
    <row r="127" spans="1:5">
      <c r="A127">
        <v>1997</v>
      </c>
      <c r="B127" t="s">
        <v>41</v>
      </c>
      <c r="C127" t="s">
        <v>56</v>
      </c>
      <c r="D127" t="s">
        <v>14</v>
      </c>
      <c r="E127">
        <v>4.8937381000000002</v>
      </c>
    </row>
    <row r="128" spans="1:5">
      <c r="A128">
        <v>1997</v>
      </c>
      <c r="B128" t="s">
        <v>42</v>
      </c>
      <c r="C128" t="s">
        <v>57</v>
      </c>
      <c r="D128" t="s">
        <v>14</v>
      </c>
      <c r="E128">
        <v>4.6877198</v>
      </c>
    </row>
    <row r="129" spans="1:5">
      <c r="A129">
        <v>1997</v>
      </c>
      <c r="B129" t="s">
        <v>42</v>
      </c>
      <c r="C129" t="s">
        <v>58</v>
      </c>
      <c r="D129" t="s">
        <v>14</v>
      </c>
      <c r="E129">
        <v>5.2006290000000002</v>
      </c>
    </row>
    <row r="130" spans="1:5">
      <c r="A130">
        <v>1997</v>
      </c>
      <c r="B130" t="s">
        <v>42</v>
      </c>
      <c r="C130" t="s">
        <v>59</v>
      </c>
      <c r="D130" t="s">
        <v>14</v>
      </c>
      <c r="E130">
        <v>6.1029596000000002</v>
      </c>
    </row>
    <row r="131" spans="1:5">
      <c r="A131">
        <v>1997</v>
      </c>
      <c r="B131" t="s">
        <v>42</v>
      </c>
      <c r="C131" t="s">
        <v>60</v>
      </c>
      <c r="D131" t="s">
        <v>14</v>
      </c>
      <c r="E131">
        <v>4.2704880999999997</v>
      </c>
    </row>
    <row r="132" spans="1:5">
      <c r="A132">
        <v>1997</v>
      </c>
      <c r="B132" t="s">
        <v>0</v>
      </c>
      <c r="C132" t="s">
        <v>61</v>
      </c>
      <c r="D132" t="s">
        <v>14</v>
      </c>
      <c r="E132">
        <v>0.17079419000000001</v>
      </c>
    </row>
    <row r="133" spans="1:5">
      <c r="A133">
        <v>1997</v>
      </c>
      <c r="B133" t="s">
        <v>0</v>
      </c>
      <c r="C133" t="s">
        <v>62</v>
      </c>
      <c r="D133" t="s">
        <v>14</v>
      </c>
      <c r="E133">
        <v>2.3195876000000002</v>
      </c>
    </row>
    <row r="134" spans="1:5">
      <c r="A134">
        <v>1997</v>
      </c>
      <c r="B134" t="s">
        <v>0</v>
      </c>
      <c r="C134" t="s">
        <v>63</v>
      </c>
      <c r="D134" t="s">
        <v>14</v>
      </c>
      <c r="E134">
        <v>1.7418032999999999</v>
      </c>
    </row>
    <row r="135" spans="1:5">
      <c r="A135">
        <v>1997</v>
      </c>
      <c r="B135" t="s">
        <v>0</v>
      </c>
      <c r="C135" t="s">
        <v>64</v>
      </c>
      <c r="D135" t="s">
        <v>14</v>
      </c>
      <c r="E135">
        <v>2.1954020000000001</v>
      </c>
    </row>
    <row r="136" spans="1:5">
      <c r="A136">
        <v>1997</v>
      </c>
      <c r="B136" t="s">
        <v>0</v>
      </c>
      <c r="C136" t="s">
        <v>65</v>
      </c>
      <c r="D136" t="s">
        <v>14</v>
      </c>
      <c r="E136">
        <v>6.5740236999999997</v>
      </c>
    </row>
    <row r="137" spans="1:5">
      <c r="A137">
        <v>1997</v>
      </c>
      <c r="B137" t="s">
        <v>0</v>
      </c>
      <c r="C137" t="s">
        <v>66</v>
      </c>
      <c r="D137" t="s">
        <v>14</v>
      </c>
      <c r="E137">
        <v>8.3164300000000004</v>
      </c>
    </row>
    <row r="138" spans="1:5">
      <c r="A138">
        <v>1997</v>
      </c>
      <c r="B138" t="s">
        <v>0</v>
      </c>
      <c r="C138" t="s">
        <v>67</v>
      </c>
      <c r="D138" t="s">
        <v>14</v>
      </c>
      <c r="E138"/>
    </row>
    <row r="139" spans="1:5">
      <c r="A139">
        <v>1997</v>
      </c>
      <c r="B139" t="s">
        <v>0</v>
      </c>
      <c r="C139" t="s">
        <v>68</v>
      </c>
      <c r="D139" t="s">
        <v>14</v>
      </c>
      <c r="E139">
        <v>4.5053004000000003</v>
      </c>
    </row>
    <row r="140" spans="1:5">
      <c r="A140">
        <v>1997</v>
      </c>
      <c r="B140" t="s">
        <v>0</v>
      </c>
      <c r="C140" t="s">
        <v>69</v>
      </c>
      <c r="D140" t="s">
        <v>14</v>
      </c>
      <c r="E140">
        <v>10.65662</v>
      </c>
    </row>
    <row r="141" spans="1:5">
      <c r="A141">
        <v>1997</v>
      </c>
      <c r="B141" t="s">
        <v>0</v>
      </c>
      <c r="C141" t="s">
        <v>70</v>
      </c>
      <c r="D141" t="s">
        <v>14</v>
      </c>
      <c r="E141">
        <v>9.1847265</v>
      </c>
    </row>
    <row r="142" spans="1:5">
      <c r="A142">
        <v>1997</v>
      </c>
      <c r="B142" t="s">
        <v>0</v>
      </c>
      <c r="C142" t="s">
        <v>71</v>
      </c>
      <c r="D142" t="s">
        <v>14</v>
      </c>
      <c r="E142">
        <v>5.5710306000000003</v>
      </c>
    </row>
    <row r="143" spans="1:5">
      <c r="A143">
        <v>1997</v>
      </c>
      <c r="B143" t="s">
        <v>0</v>
      </c>
      <c r="C143" t="s">
        <v>72</v>
      </c>
      <c r="D143" t="s">
        <v>14</v>
      </c>
      <c r="E143">
        <v>12.690355</v>
      </c>
    </row>
    <row r="144" spans="1:5">
      <c r="A144">
        <v>1997</v>
      </c>
      <c r="B144" t="s">
        <v>0</v>
      </c>
      <c r="C144" t="s">
        <v>73</v>
      </c>
      <c r="D144" t="s">
        <v>14</v>
      </c>
      <c r="E144">
        <v>2.4024024000000002</v>
      </c>
    </row>
    <row r="145" spans="1:5">
      <c r="A145">
        <v>1997</v>
      </c>
      <c r="B145" t="s">
        <v>0</v>
      </c>
      <c r="C145" t="s">
        <v>74</v>
      </c>
      <c r="D145" t="s">
        <v>14</v>
      </c>
      <c r="E145">
        <v>1.9588639000000001</v>
      </c>
    </row>
    <row r="146" spans="1:5">
      <c r="A146">
        <v>1997</v>
      </c>
      <c r="B146" t="s">
        <v>0</v>
      </c>
      <c r="C146" t="s">
        <v>75</v>
      </c>
      <c r="D146" t="s">
        <v>14</v>
      </c>
      <c r="E146">
        <v>4.9822822000000002</v>
      </c>
    </row>
    <row r="147" spans="1:5">
      <c r="A147">
        <v>1997</v>
      </c>
      <c r="B147" t="s">
        <v>0</v>
      </c>
      <c r="C147" t="s">
        <v>76</v>
      </c>
      <c r="D147" t="s">
        <v>14</v>
      </c>
      <c r="E147">
        <v>8.6868686999999998</v>
      </c>
    </row>
    <row r="148" spans="1:5">
      <c r="A148">
        <v>1997</v>
      </c>
      <c r="B148" t="s">
        <v>0</v>
      </c>
      <c r="C148" t="s">
        <v>77</v>
      </c>
      <c r="D148" t="s">
        <v>14</v>
      </c>
      <c r="E148">
        <v>3.5283544999999998</v>
      </c>
    </row>
    <row r="149" spans="1:5">
      <c r="A149">
        <v>1997</v>
      </c>
      <c r="B149" t="s">
        <v>0</v>
      </c>
      <c r="C149" t="s">
        <v>78</v>
      </c>
      <c r="D149" t="s">
        <v>14</v>
      </c>
      <c r="E149">
        <v>4.3706294000000003</v>
      </c>
    </row>
    <row r="150" spans="1:5">
      <c r="A150">
        <v>2001</v>
      </c>
      <c r="B150" t="s">
        <v>36</v>
      </c>
      <c r="C150" t="s">
        <v>36</v>
      </c>
      <c r="D150" t="s">
        <v>11</v>
      </c>
      <c r="E150">
        <v>37.028218000000003</v>
      </c>
    </row>
    <row r="151" spans="1:5">
      <c r="A151">
        <v>2001</v>
      </c>
      <c r="B151" t="s">
        <v>37</v>
      </c>
      <c r="C151" t="s">
        <v>43</v>
      </c>
      <c r="D151" t="s">
        <v>11</v>
      </c>
      <c r="E151">
        <v>38.938800000000001</v>
      </c>
    </row>
    <row r="152" spans="1:5">
      <c r="A152">
        <v>2001</v>
      </c>
      <c r="B152" t="s">
        <v>37</v>
      </c>
      <c r="C152" t="s">
        <v>44</v>
      </c>
      <c r="D152" t="s">
        <v>11</v>
      </c>
      <c r="E152">
        <v>35.409756000000002</v>
      </c>
    </row>
    <row r="153" spans="1:5">
      <c r="A153">
        <v>2001</v>
      </c>
      <c r="B153" t="s">
        <v>37</v>
      </c>
      <c r="C153" t="s">
        <v>45</v>
      </c>
      <c r="D153" t="s">
        <v>11</v>
      </c>
      <c r="E153">
        <v>38.364033999999997</v>
      </c>
    </row>
    <row r="154" spans="1:5">
      <c r="A154">
        <v>2001</v>
      </c>
      <c r="B154" t="s">
        <v>37</v>
      </c>
      <c r="C154" t="s">
        <v>46</v>
      </c>
      <c r="D154" t="s">
        <v>11</v>
      </c>
      <c r="E154">
        <v>36.420195</v>
      </c>
    </row>
    <row r="155" spans="1:5">
      <c r="A155">
        <v>2001</v>
      </c>
      <c r="B155" t="s">
        <v>38</v>
      </c>
      <c r="C155" t="s">
        <v>47</v>
      </c>
      <c r="D155" t="s">
        <v>11</v>
      </c>
      <c r="E155">
        <v>32.414372</v>
      </c>
    </row>
    <row r="156" spans="1:5">
      <c r="A156">
        <v>2001</v>
      </c>
      <c r="B156" t="s">
        <v>38</v>
      </c>
      <c r="C156" t="s">
        <v>48</v>
      </c>
      <c r="D156" t="s">
        <v>11</v>
      </c>
      <c r="E156">
        <v>37.752662000000001</v>
      </c>
    </row>
    <row r="157" spans="1:5">
      <c r="A157">
        <v>2001</v>
      </c>
      <c r="B157" t="s">
        <v>38</v>
      </c>
      <c r="C157" t="s">
        <v>49</v>
      </c>
      <c r="D157" t="s">
        <v>11</v>
      </c>
      <c r="E157">
        <v>38.998972999999999</v>
      </c>
    </row>
    <row r="158" spans="1:5">
      <c r="A158">
        <v>2001</v>
      </c>
      <c r="B158" t="s">
        <v>38</v>
      </c>
      <c r="C158" t="s">
        <v>50</v>
      </c>
      <c r="D158" t="s">
        <v>11</v>
      </c>
      <c r="E158">
        <v>39.504323999999997</v>
      </c>
    </row>
    <row r="159" spans="1:5">
      <c r="A159">
        <v>2001</v>
      </c>
      <c r="B159" t="s">
        <v>39</v>
      </c>
      <c r="C159" t="s">
        <v>51</v>
      </c>
      <c r="D159" t="s">
        <v>11</v>
      </c>
      <c r="E159">
        <v>37.310184999999997</v>
      </c>
    </row>
    <row r="160" spans="1:5">
      <c r="A160">
        <v>2001</v>
      </c>
      <c r="B160" t="s">
        <v>39</v>
      </c>
      <c r="C160" t="s">
        <v>52</v>
      </c>
      <c r="D160" t="s">
        <v>11</v>
      </c>
      <c r="E160">
        <v>36.741754999999998</v>
      </c>
    </row>
    <row r="161" spans="1:5">
      <c r="A161">
        <v>2001</v>
      </c>
      <c r="B161" t="s">
        <v>40</v>
      </c>
      <c r="C161" t="s">
        <v>53</v>
      </c>
      <c r="D161" t="s">
        <v>11</v>
      </c>
      <c r="E161">
        <v>35.834491</v>
      </c>
    </row>
    <row r="162" spans="1:5">
      <c r="A162">
        <v>2001</v>
      </c>
      <c r="B162" t="s">
        <v>40</v>
      </c>
      <c r="C162" t="s">
        <v>54</v>
      </c>
      <c r="D162" t="s">
        <v>11</v>
      </c>
      <c r="E162">
        <v>37.986975999999999</v>
      </c>
    </row>
    <row r="163" spans="1:5">
      <c r="A163">
        <v>2001</v>
      </c>
      <c r="B163" t="s">
        <v>41</v>
      </c>
      <c r="C163" t="s">
        <v>55</v>
      </c>
      <c r="D163" t="s">
        <v>11</v>
      </c>
      <c r="E163">
        <v>34.714146</v>
      </c>
    </row>
    <row r="164" spans="1:5">
      <c r="A164">
        <v>2001</v>
      </c>
      <c r="B164" t="s">
        <v>41</v>
      </c>
      <c r="C164" t="s">
        <v>56</v>
      </c>
      <c r="D164" t="s">
        <v>11</v>
      </c>
      <c r="E164">
        <v>37.561633999999998</v>
      </c>
    </row>
    <row r="165" spans="1:5">
      <c r="A165">
        <v>2001</v>
      </c>
      <c r="B165" t="s">
        <v>42</v>
      </c>
      <c r="C165" t="s">
        <v>57</v>
      </c>
      <c r="D165" t="s">
        <v>11</v>
      </c>
      <c r="E165">
        <v>31.288309999999999</v>
      </c>
    </row>
    <row r="166" spans="1:5">
      <c r="A166">
        <v>2001</v>
      </c>
      <c r="B166" t="s">
        <v>42</v>
      </c>
      <c r="C166" t="s">
        <v>58</v>
      </c>
      <c r="D166" t="s">
        <v>11</v>
      </c>
      <c r="E166">
        <v>35.459054000000002</v>
      </c>
    </row>
    <row r="167" spans="1:5">
      <c r="A167">
        <v>2001</v>
      </c>
      <c r="B167" t="s">
        <v>42</v>
      </c>
      <c r="C167" t="s">
        <v>59</v>
      </c>
      <c r="D167" t="s">
        <v>11</v>
      </c>
      <c r="E167">
        <v>37.872900000000001</v>
      </c>
    </row>
    <row r="168" spans="1:5">
      <c r="A168">
        <v>2001</v>
      </c>
      <c r="B168" t="s">
        <v>42</v>
      </c>
      <c r="C168" t="s">
        <v>60</v>
      </c>
      <c r="D168" t="s">
        <v>11</v>
      </c>
      <c r="E168">
        <v>38.780647000000002</v>
      </c>
    </row>
    <row r="169" spans="1:5">
      <c r="A169">
        <v>2001</v>
      </c>
      <c r="B169" t="s">
        <v>0</v>
      </c>
      <c r="C169" t="s">
        <v>61</v>
      </c>
      <c r="D169" t="s">
        <v>11</v>
      </c>
      <c r="E169">
        <v>54.878391000000001</v>
      </c>
    </row>
    <row r="170" spans="1:5">
      <c r="A170">
        <v>2001</v>
      </c>
      <c r="B170" t="s">
        <v>0</v>
      </c>
      <c r="C170" t="s">
        <v>62</v>
      </c>
      <c r="D170" t="s">
        <v>11</v>
      </c>
      <c r="E170">
        <v>34.247871000000004</v>
      </c>
    </row>
    <row r="171" spans="1:5">
      <c r="A171">
        <v>2001</v>
      </c>
      <c r="B171" t="s">
        <v>0</v>
      </c>
      <c r="C171" t="s">
        <v>63</v>
      </c>
      <c r="D171" t="s">
        <v>11</v>
      </c>
      <c r="E171">
        <v>35.691657999999997</v>
      </c>
    </row>
    <row r="172" spans="1:5">
      <c r="A172">
        <v>2001</v>
      </c>
      <c r="B172" t="s">
        <v>0</v>
      </c>
      <c r="C172" t="s">
        <v>64</v>
      </c>
      <c r="D172" t="s">
        <v>11</v>
      </c>
      <c r="E172">
        <v>38.167968999999999</v>
      </c>
    </row>
    <row r="173" spans="1:5">
      <c r="A173">
        <v>2001</v>
      </c>
      <c r="B173" t="s">
        <v>0</v>
      </c>
      <c r="C173" t="s">
        <v>65</v>
      </c>
      <c r="D173" t="s">
        <v>11</v>
      </c>
      <c r="E173">
        <v>53.329728000000003</v>
      </c>
    </row>
    <row r="174" spans="1:5">
      <c r="A174">
        <v>2001</v>
      </c>
      <c r="B174" t="s">
        <v>0</v>
      </c>
      <c r="C174" t="s">
        <v>66</v>
      </c>
      <c r="D174" t="s">
        <v>11</v>
      </c>
      <c r="E174">
        <v>32.661718</v>
      </c>
    </row>
    <row r="175" spans="1:5">
      <c r="A175">
        <v>2001</v>
      </c>
      <c r="B175" t="s">
        <v>0</v>
      </c>
      <c r="C175" t="s">
        <v>67</v>
      </c>
      <c r="D175" t="s">
        <v>11</v>
      </c>
      <c r="E175"/>
    </row>
    <row r="176" spans="1:5">
      <c r="A176">
        <v>2001</v>
      </c>
      <c r="B176" t="s">
        <v>0</v>
      </c>
      <c r="C176" t="s">
        <v>68</v>
      </c>
      <c r="D176" t="s">
        <v>11</v>
      </c>
      <c r="E176">
        <v>32.547958000000001</v>
      </c>
    </row>
    <row r="177" spans="1:5">
      <c r="A177">
        <v>2001</v>
      </c>
      <c r="B177" t="s">
        <v>0</v>
      </c>
      <c r="C177" t="s">
        <v>69</v>
      </c>
      <c r="D177" t="s">
        <v>11</v>
      </c>
      <c r="E177">
        <v>30.749735999999999</v>
      </c>
    </row>
    <row r="178" spans="1:5">
      <c r="A178">
        <v>2001</v>
      </c>
      <c r="B178" t="s">
        <v>0</v>
      </c>
      <c r="C178" t="s">
        <v>70</v>
      </c>
      <c r="D178" t="s">
        <v>11</v>
      </c>
      <c r="E178">
        <v>28.270690999999999</v>
      </c>
    </row>
    <row r="179" spans="1:5">
      <c r="A179">
        <v>2001</v>
      </c>
      <c r="B179" t="s">
        <v>0</v>
      </c>
      <c r="C179" t="s">
        <v>71</v>
      </c>
      <c r="D179" t="s">
        <v>11</v>
      </c>
      <c r="E179">
        <v>29.694578</v>
      </c>
    </row>
    <row r="180" spans="1:5">
      <c r="A180">
        <v>2001</v>
      </c>
      <c r="B180" t="s">
        <v>0</v>
      </c>
      <c r="C180" t="s">
        <v>72</v>
      </c>
      <c r="D180" t="s">
        <v>11</v>
      </c>
      <c r="E180">
        <v>29.886246</v>
      </c>
    </row>
    <row r="181" spans="1:5">
      <c r="A181">
        <v>2001</v>
      </c>
      <c r="B181" t="s">
        <v>0</v>
      </c>
      <c r="C181" t="s">
        <v>73</v>
      </c>
      <c r="D181" t="s">
        <v>11</v>
      </c>
      <c r="E181">
        <v>54.017856999999999</v>
      </c>
    </row>
    <row r="182" spans="1:5">
      <c r="A182">
        <v>2001</v>
      </c>
      <c r="B182" t="s">
        <v>0</v>
      </c>
      <c r="C182" t="s">
        <v>74</v>
      </c>
      <c r="D182" t="s">
        <v>11</v>
      </c>
      <c r="E182">
        <v>36.879432999999999</v>
      </c>
    </row>
    <row r="183" spans="1:5">
      <c r="A183">
        <v>2001</v>
      </c>
      <c r="B183" t="s">
        <v>0</v>
      </c>
      <c r="C183" t="s">
        <v>75</v>
      </c>
      <c r="D183" t="s">
        <v>11</v>
      </c>
      <c r="E183">
        <v>54.694744999999998</v>
      </c>
    </row>
    <row r="184" spans="1:5">
      <c r="A184">
        <v>2001</v>
      </c>
      <c r="B184" t="s">
        <v>0</v>
      </c>
      <c r="C184" t="s">
        <v>76</v>
      </c>
      <c r="D184" t="s">
        <v>11</v>
      </c>
      <c r="E184">
        <v>34.557371000000003</v>
      </c>
    </row>
    <row r="185" spans="1:5">
      <c r="A185">
        <v>2001</v>
      </c>
      <c r="B185" t="s">
        <v>0</v>
      </c>
      <c r="C185" t="s">
        <v>77</v>
      </c>
      <c r="D185" t="s">
        <v>11</v>
      </c>
      <c r="E185">
        <v>31.326899000000001</v>
      </c>
    </row>
    <row r="186" spans="1:5">
      <c r="A186">
        <v>2001</v>
      </c>
      <c r="B186" t="s">
        <v>0</v>
      </c>
      <c r="C186" t="s">
        <v>78</v>
      </c>
      <c r="D186" t="s">
        <v>11</v>
      </c>
      <c r="E186">
        <v>24.789868999999999</v>
      </c>
    </row>
    <row r="187" spans="1:5">
      <c r="A187">
        <v>2001</v>
      </c>
      <c r="B187" t="s">
        <v>36</v>
      </c>
      <c r="C187" t="s">
        <v>36</v>
      </c>
      <c r="D187" t="s">
        <v>12</v>
      </c>
      <c r="E187">
        <v>51.706265999999999</v>
      </c>
    </row>
    <row r="188" spans="1:5">
      <c r="A188">
        <v>2001</v>
      </c>
      <c r="B188" t="s">
        <v>37</v>
      </c>
      <c r="C188" t="s">
        <v>43</v>
      </c>
      <c r="D188" t="s">
        <v>12</v>
      </c>
      <c r="E188">
        <v>49.034424999999999</v>
      </c>
    </row>
    <row r="189" spans="1:5">
      <c r="A189">
        <v>2001</v>
      </c>
      <c r="B189" t="s">
        <v>37</v>
      </c>
      <c r="C189" t="s">
        <v>44</v>
      </c>
      <c r="D189" t="s">
        <v>12</v>
      </c>
      <c r="E189">
        <v>52.233085000000003</v>
      </c>
    </row>
    <row r="190" spans="1:5">
      <c r="A190">
        <v>2001</v>
      </c>
      <c r="B190" t="s">
        <v>37</v>
      </c>
      <c r="C190" t="s">
        <v>45</v>
      </c>
      <c r="D190" t="s">
        <v>12</v>
      </c>
      <c r="E190">
        <v>52.809378000000002</v>
      </c>
    </row>
    <row r="191" spans="1:5">
      <c r="A191">
        <v>2001</v>
      </c>
      <c r="B191" t="s">
        <v>37</v>
      </c>
      <c r="C191" t="s">
        <v>46</v>
      </c>
      <c r="D191" t="s">
        <v>12</v>
      </c>
      <c r="E191">
        <v>53.544426999999999</v>
      </c>
    </row>
    <row r="192" spans="1:5">
      <c r="A192">
        <v>2001</v>
      </c>
      <c r="B192" t="s">
        <v>38</v>
      </c>
      <c r="C192" t="s">
        <v>47</v>
      </c>
      <c r="D192" t="s">
        <v>12</v>
      </c>
      <c r="E192">
        <v>53.575355000000002</v>
      </c>
    </row>
    <row r="193" spans="1:5">
      <c r="A193">
        <v>2001</v>
      </c>
      <c r="B193" t="s">
        <v>38</v>
      </c>
      <c r="C193" t="s">
        <v>48</v>
      </c>
      <c r="D193" t="s">
        <v>12</v>
      </c>
      <c r="E193">
        <v>51.161914000000003</v>
      </c>
    </row>
    <row r="194" spans="1:5">
      <c r="A194">
        <v>2001</v>
      </c>
      <c r="B194" t="s">
        <v>38</v>
      </c>
      <c r="C194" t="s">
        <v>49</v>
      </c>
      <c r="D194" t="s">
        <v>12</v>
      </c>
      <c r="E194">
        <v>51.207166999999998</v>
      </c>
    </row>
    <row r="195" spans="1:5">
      <c r="A195">
        <v>2001</v>
      </c>
      <c r="B195" t="s">
        <v>38</v>
      </c>
      <c r="C195" t="s">
        <v>50</v>
      </c>
      <c r="D195" t="s">
        <v>12</v>
      </c>
      <c r="E195">
        <v>50.730376</v>
      </c>
    </row>
    <row r="196" spans="1:5">
      <c r="A196">
        <v>2001</v>
      </c>
      <c r="B196" t="s">
        <v>39</v>
      </c>
      <c r="C196" t="s">
        <v>51</v>
      </c>
      <c r="D196" t="s">
        <v>12</v>
      </c>
      <c r="E196">
        <v>51.592025999999997</v>
      </c>
    </row>
    <row r="197" spans="1:5">
      <c r="A197">
        <v>2001</v>
      </c>
      <c r="B197" t="s">
        <v>39</v>
      </c>
      <c r="C197" t="s">
        <v>52</v>
      </c>
      <c r="D197" t="s">
        <v>12</v>
      </c>
      <c r="E197">
        <v>51.822327000000001</v>
      </c>
    </row>
    <row r="198" spans="1:5">
      <c r="A198">
        <v>2001</v>
      </c>
      <c r="B198" t="s">
        <v>40</v>
      </c>
      <c r="C198" t="s">
        <v>53</v>
      </c>
      <c r="D198" t="s">
        <v>12</v>
      </c>
      <c r="E198">
        <v>52.630609999999997</v>
      </c>
    </row>
    <row r="199" spans="1:5">
      <c r="A199">
        <v>2001</v>
      </c>
      <c r="B199" t="s">
        <v>40</v>
      </c>
      <c r="C199" t="s">
        <v>54</v>
      </c>
      <c r="D199" t="s">
        <v>12</v>
      </c>
      <c r="E199">
        <v>50.994118999999998</v>
      </c>
    </row>
    <row r="200" spans="1:5">
      <c r="A200">
        <v>2001</v>
      </c>
      <c r="B200" t="s">
        <v>41</v>
      </c>
      <c r="C200" t="s">
        <v>55</v>
      </c>
      <c r="D200" t="s">
        <v>12</v>
      </c>
      <c r="E200">
        <v>53.178398999999999</v>
      </c>
    </row>
    <row r="201" spans="1:5">
      <c r="A201">
        <v>2001</v>
      </c>
      <c r="B201" t="s">
        <v>41</v>
      </c>
      <c r="C201" t="s">
        <v>56</v>
      </c>
      <c r="D201" t="s">
        <v>12</v>
      </c>
      <c r="E201">
        <v>51.391326999999997</v>
      </c>
    </row>
    <row r="202" spans="1:5">
      <c r="A202">
        <v>2001</v>
      </c>
      <c r="B202" t="s">
        <v>42</v>
      </c>
      <c r="C202" t="s">
        <v>57</v>
      </c>
      <c r="D202" t="s">
        <v>12</v>
      </c>
      <c r="E202">
        <v>56.719811999999997</v>
      </c>
    </row>
    <row r="203" spans="1:5">
      <c r="A203">
        <v>2001</v>
      </c>
      <c r="B203" t="s">
        <v>42</v>
      </c>
      <c r="C203" t="s">
        <v>58</v>
      </c>
      <c r="D203" t="s">
        <v>12</v>
      </c>
      <c r="E203">
        <v>53.628673999999997</v>
      </c>
    </row>
    <row r="204" spans="1:5">
      <c r="A204">
        <v>2001</v>
      </c>
      <c r="B204" t="s">
        <v>42</v>
      </c>
      <c r="C204" t="s">
        <v>59</v>
      </c>
      <c r="D204" t="s">
        <v>12</v>
      </c>
      <c r="E204">
        <v>50.475351000000003</v>
      </c>
    </row>
    <row r="205" spans="1:5">
      <c r="A205">
        <v>2001</v>
      </c>
      <c r="B205" t="s">
        <v>42</v>
      </c>
      <c r="C205" t="s">
        <v>60</v>
      </c>
      <c r="D205" t="s">
        <v>12</v>
      </c>
      <c r="E205">
        <v>50.966431999999998</v>
      </c>
    </row>
    <row r="206" spans="1:5">
      <c r="A206">
        <v>2001</v>
      </c>
      <c r="B206" t="s">
        <v>0</v>
      </c>
      <c r="C206" t="s">
        <v>61</v>
      </c>
      <c r="D206" t="s">
        <v>12</v>
      </c>
      <c r="E206">
        <v>42.004798000000001</v>
      </c>
    </row>
    <row r="207" spans="1:5">
      <c r="A207">
        <v>2001</v>
      </c>
      <c r="B207" t="s">
        <v>0</v>
      </c>
      <c r="C207" t="s">
        <v>62</v>
      </c>
      <c r="D207" t="s">
        <v>12</v>
      </c>
      <c r="E207">
        <v>57.142856999999999</v>
      </c>
    </row>
    <row r="208" spans="1:5">
      <c r="A208">
        <v>2001</v>
      </c>
      <c r="B208" t="s">
        <v>0</v>
      </c>
      <c r="C208" t="s">
        <v>63</v>
      </c>
      <c r="D208" t="s">
        <v>12</v>
      </c>
      <c r="E208">
        <v>50.686377999999998</v>
      </c>
    </row>
    <row r="209" spans="1:5">
      <c r="A209">
        <v>2001</v>
      </c>
      <c r="B209" t="s">
        <v>0</v>
      </c>
      <c r="C209" t="s">
        <v>64</v>
      </c>
      <c r="D209" t="s">
        <v>12</v>
      </c>
      <c r="E209">
        <v>52.036504999999998</v>
      </c>
    </row>
    <row r="210" spans="1:5">
      <c r="A210">
        <v>2001</v>
      </c>
      <c r="B210" t="s">
        <v>0</v>
      </c>
      <c r="C210" t="s">
        <v>65</v>
      </c>
      <c r="D210" t="s">
        <v>12</v>
      </c>
      <c r="E210">
        <v>42.482683999999999</v>
      </c>
    </row>
    <row r="211" spans="1:5">
      <c r="A211">
        <v>2001</v>
      </c>
      <c r="B211" t="s">
        <v>0</v>
      </c>
      <c r="C211" t="s">
        <v>66</v>
      </c>
      <c r="D211" t="s">
        <v>12</v>
      </c>
      <c r="E211">
        <v>51.855778999999998</v>
      </c>
    </row>
    <row r="212" spans="1:5">
      <c r="A212">
        <v>2001</v>
      </c>
      <c r="B212" t="s">
        <v>0</v>
      </c>
      <c r="C212" t="s">
        <v>67</v>
      </c>
      <c r="D212" t="s">
        <v>12</v>
      </c>
      <c r="E212"/>
    </row>
    <row r="213" spans="1:5">
      <c r="A213">
        <v>2001</v>
      </c>
      <c r="B213" t="s">
        <v>0</v>
      </c>
      <c r="C213" t="s">
        <v>68</v>
      </c>
      <c r="D213" t="s">
        <v>12</v>
      </c>
      <c r="E213">
        <v>57.433714000000002</v>
      </c>
    </row>
    <row r="214" spans="1:5">
      <c r="A214">
        <v>2001</v>
      </c>
      <c r="B214" t="s">
        <v>0</v>
      </c>
      <c r="C214" t="s">
        <v>69</v>
      </c>
      <c r="D214" t="s">
        <v>12</v>
      </c>
      <c r="E214">
        <v>54.286234</v>
      </c>
    </row>
    <row r="215" spans="1:5">
      <c r="A215">
        <v>2001</v>
      </c>
      <c r="B215" t="s">
        <v>0</v>
      </c>
      <c r="C215" t="s">
        <v>70</v>
      </c>
      <c r="D215" t="s">
        <v>12</v>
      </c>
      <c r="E215">
        <v>63.453307000000002</v>
      </c>
    </row>
    <row r="216" spans="1:5">
      <c r="A216">
        <v>2001</v>
      </c>
      <c r="B216" t="s">
        <v>0</v>
      </c>
      <c r="C216" t="s">
        <v>71</v>
      </c>
      <c r="D216" t="s">
        <v>12</v>
      </c>
      <c r="E216">
        <v>52.93103</v>
      </c>
    </row>
    <row r="217" spans="1:5">
      <c r="A217">
        <v>2001</v>
      </c>
      <c r="B217" t="s">
        <v>0</v>
      </c>
      <c r="C217" t="s">
        <v>72</v>
      </c>
      <c r="D217" t="s">
        <v>12</v>
      </c>
      <c r="E217">
        <v>54.705274000000003</v>
      </c>
    </row>
    <row r="218" spans="1:5">
      <c r="A218">
        <v>2001</v>
      </c>
      <c r="B218" t="s">
        <v>0</v>
      </c>
      <c r="C218" t="s">
        <v>73</v>
      </c>
      <c r="D218" t="s">
        <v>12</v>
      </c>
      <c r="E218">
        <v>40.848213999999999</v>
      </c>
    </row>
    <row r="219" spans="1:5">
      <c r="A219">
        <v>2001</v>
      </c>
      <c r="B219" t="s">
        <v>0</v>
      </c>
      <c r="C219" t="s">
        <v>74</v>
      </c>
      <c r="D219" t="s">
        <v>12</v>
      </c>
      <c r="E219">
        <v>57.75076</v>
      </c>
    </row>
    <row r="220" spans="1:5">
      <c r="A220">
        <v>2001</v>
      </c>
      <c r="B220" t="s">
        <v>0</v>
      </c>
      <c r="C220" t="s">
        <v>75</v>
      </c>
      <c r="D220" t="s">
        <v>12</v>
      </c>
      <c r="E220">
        <v>39.769950999999999</v>
      </c>
    </row>
    <row r="221" spans="1:5">
      <c r="A221">
        <v>2001</v>
      </c>
      <c r="B221" t="s">
        <v>0</v>
      </c>
      <c r="C221" t="s">
        <v>76</v>
      </c>
      <c r="D221" t="s">
        <v>12</v>
      </c>
      <c r="E221">
        <v>49.069735000000001</v>
      </c>
    </row>
    <row r="222" spans="1:5">
      <c r="A222">
        <v>2001</v>
      </c>
      <c r="B222" t="s">
        <v>0</v>
      </c>
      <c r="C222" t="s">
        <v>77</v>
      </c>
      <c r="D222" t="s">
        <v>12</v>
      </c>
      <c r="E222">
        <v>60.536360000000002</v>
      </c>
    </row>
    <row r="223" spans="1:5">
      <c r="A223">
        <v>2001</v>
      </c>
      <c r="B223" t="s">
        <v>0</v>
      </c>
      <c r="C223" t="s">
        <v>78</v>
      </c>
      <c r="D223" t="s">
        <v>12</v>
      </c>
      <c r="E223">
        <v>47.398665999999999</v>
      </c>
    </row>
    <row r="224" spans="1:5">
      <c r="A224">
        <v>2001</v>
      </c>
      <c r="B224" t="s">
        <v>36</v>
      </c>
      <c r="C224" t="s">
        <v>36</v>
      </c>
      <c r="D224" t="s">
        <v>13</v>
      </c>
      <c r="E224">
        <v>9.5296730000000007</v>
      </c>
    </row>
    <row r="225" spans="1:5">
      <c r="A225">
        <v>2001</v>
      </c>
      <c r="B225" t="s">
        <v>37</v>
      </c>
      <c r="C225" t="s">
        <v>43</v>
      </c>
      <c r="D225" t="s">
        <v>13</v>
      </c>
      <c r="E225">
        <v>10.291482</v>
      </c>
    </row>
    <row r="226" spans="1:5">
      <c r="A226">
        <v>2001</v>
      </c>
      <c r="B226" t="s">
        <v>37</v>
      </c>
      <c r="C226" t="s">
        <v>44</v>
      </c>
      <c r="D226" t="s">
        <v>13</v>
      </c>
      <c r="E226">
        <v>10.720924999999999</v>
      </c>
    </row>
    <row r="227" spans="1:5">
      <c r="A227">
        <v>2001</v>
      </c>
      <c r="B227" t="s">
        <v>37</v>
      </c>
      <c r="C227" t="s">
        <v>45</v>
      </c>
      <c r="D227" t="s">
        <v>13</v>
      </c>
      <c r="E227">
        <v>7.0406950000000004</v>
      </c>
    </row>
    <row r="228" spans="1:5">
      <c r="A228">
        <v>2001</v>
      </c>
      <c r="B228" t="s">
        <v>37</v>
      </c>
      <c r="C228" t="s">
        <v>46</v>
      </c>
      <c r="D228" t="s">
        <v>13</v>
      </c>
      <c r="E228">
        <v>7.9537626000000001</v>
      </c>
    </row>
    <row r="229" spans="1:5">
      <c r="A229">
        <v>2001</v>
      </c>
      <c r="B229" t="s">
        <v>38</v>
      </c>
      <c r="C229" t="s">
        <v>47</v>
      </c>
      <c r="D229" t="s">
        <v>13</v>
      </c>
      <c r="E229">
        <v>12.166316999999999</v>
      </c>
    </row>
    <row r="230" spans="1:5">
      <c r="A230">
        <v>2001</v>
      </c>
      <c r="B230" t="s">
        <v>38</v>
      </c>
      <c r="C230" t="s">
        <v>48</v>
      </c>
      <c r="D230" t="s">
        <v>13</v>
      </c>
      <c r="E230">
        <v>9.4628256000000004</v>
      </c>
    </row>
    <row r="231" spans="1:5">
      <c r="A231">
        <v>2001</v>
      </c>
      <c r="B231" t="s">
        <v>38</v>
      </c>
      <c r="C231" t="s">
        <v>49</v>
      </c>
      <c r="D231" t="s">
        <v>13</v>
      </c>
      <c r="E231">
        <v>7.9113571</v>
      </c>
    </row>
    <row r="232" spans="1:5">
      <c r="A232">
        <v>2001</v>
      </c>
      <c r="B232" t="s">
        <v>38</v>
      </c>
      <c r="C232" t="s">
        <v>50</v>
      </c>
      <c r="D232" t="s">
        <v>13</v>
      </c>
      <c r="E232">
        <v>8.3652453999999992</v>
      </c>
    </row>
    <row r="233" spans="1:5">
      <c r="A233">
        <v>2001</v>
      </c>
      <c r="B233" t="s">
        <v>39</v>
      </c>
      <c r="C233" t="s">
        <v>51</v>
      </c>
      <c r="D233" t="s">
        <v>13</v>
      </c>
      <c r="E233">
        <v>9.4876465000000003</v>
      </c>
    </row>
    <row r="234" spans="1:5">
      <c r="A234">
        <v>2001</v>
      </c>
      <c r="B234" t="s">
        <v>39</v>
      </c>
      <c r="C234" t="s">
        <v>52</v>
      </c>
      <c r="D234" t="s">
        <v>13</v>
      </c>
      <c r="E234">
        <v>9.5723696999999994</v>
      </c>
    </row>
    <row r="235" spans="1:5">
      <c r="A235">
        <v>2001</v>
      </c>
      <c r="B235" t="s">
        <v>40</v>
      </c>
      <c r="C235" t="s">
        <v>53</v>
      </c>
      <c r="D235" t="s">
        <v>13</v>
      </c>
      <c r="E235">
        <v>9.9215149999999994</v>
      </c>
    </row>
    <row r="236" spans="1:5">
      <c r="A236">
        <v>2001</v>
      </c>
      <c r="B236" t="s">
        <v>40</v>
      </c>
      <c r="C236" t="s">
        <v>54</v>
      </c>
      <c r="D236" t="s">
        <v>13</v>
      </c>
      <c r="E236">
        <v>9.1846112000000009</v>
      </c>
    </row>
    <row r="237" spans="1:5">
      <c r="A237">
        <v>2001</v>
      </c>
      <c r="B237" t="s">
        <v>41</v>
      </c>
      <c r="C237" t="s">
        <v>55</v>
      </c>
      <c r="D237" t="s">
        <v>13</v>
      </c>
      <c r="E237">
        <v>10.735314000000001</v>
      </c>
    </row>
    <row r="238" spans="1:5">
      <c r="A238">
        <v>2001</v>
      </c>
      <c r="B238" t="s">
        <v>41</v>
      </c>
      <c r="C238" t="s">
        <v>56</v>
      </c>
      <c r="D238" t="s">
        <v>13</v>
      </c>
      <c r="E238">
        <v>9.1805356000000007</v>
      </c>
    </row>
    <row r="239" spans="1:5">
      <c r="A239">
        <v>2001</v>
      </c>
      <c r="B239" t="s">
        <v>42</v>
      </c>
      <c r="C239" t="s">
        <v>57</v>
      </c>
      <c r="D239" t="s">
        <v>13</v>
      </c>
      <c r="E239">
        <v>11.270977</v>
      </c>
    </row>
    <row r="240" spans="1:5">
      <c r="A240">
        <v>2001</v>
      </c>
      <c r="B240" t="s">
        <v>42</v>
      </c>
      <c r="C240" t="s">
        <v>58</v>
      </c>
      <c r="D240" t="s">
        <v>13</v>
      </c>
      <c r="E240">
        <v>9.4142328000000006</v>
      </c>
    </row>
    <row r="241" spans="1:5">
      <c r="A241">
        <v>2001</v>
      </c>
      <c r="B241" t="s">
        <v>42</v>
      </c>
      <c r="C241" t="s">
        <v>59</v>
      </c>
      <c r="D241" t="s">
        <v>13</v>
      </c>
      <c r="E241">
        <v>9.6286327000000007</v>
      </c>
    </row>
    <row r="242" spans="1:5">
      <c r="A242">
        <v>2001</v>
      </c>
      <c r="B242" t="s">
        <v>42</v>
      </c>
      <c r="C242" t="s">
        <v>60</v>
      </c>
      <c r="D242" t="s">
        <v>13</v>
      </c>
      <c r="E242">
        <v>7.9091448</v>
      </c>
    </row>
    <row r="243" spans="1:5">
      <c r="A243">
        <v>2001</v>
      </c>
      <c r="B243" t="s">
        <v>0</v>
      </c>
      <c r="C243" t="s">
        <v>61</v>
      </c>
      <c r="D243" t="s">
        <v>13</v>
      </c>
      <c r="E243">
        <v>2.1169007999999998</v>
      </c>
    </row>
    <row r="244" spans="1:5">
      <c r="A244">
        <v>2001</v>
      </c>
      <c r="B244" t="s">
        <v>0</v>
      </c>
      <c r="C244" t="s">
        <v>62</v>
      </c>
      <c r="D244" t="s">
        <v>13</v>
      </c>
      <c r="E244">
        <v>5.7710501000000001</v>
      </c>
    </row>
    <row r="245" spans="1:5">
      <c r="A245">
        <v>2001</v>
      </c>
      <c r="B245" t="s">
        <v>0</v>
      </c>
      <c r="C245" t="s">
        <v>63</v>
      </c>
      <c r="D245" t="s">
        <v>13</v>
      </c>
      <c r="E245">
        <v>12.777191</v>
      </c>
    </row>
    <row r="246" spans="1:5">
      <c r="A246">
        <v>2001</v>
      </c>
      <c r="B246" t="s">
        <v>0</v>
      </c>
      <c r="C246" t="s">
        <v>64</v>
      </c>
      <c r="D246" t="s">
        <v>13</v>
      </c>
      <c r="E246">
        <v>8.4135072999999991</v>
      </c>
    </row>
    <row r="247" spans="1:5">
      <c r="A247">
        <v>2001</v>
      </c>
      <c r="B247" t="s">
        <v>0</v>
      </c>
      <c r="C247" t="s">
        <v>65</v>
      </c>
      <c r="D247" t="s">
        <v>13</v>
      </c>
      <c r="E247">
        <v>3.5919354999999999</v>
      </c>
    </row>
    <row r="248" spans="1:5">
      <c r="A248">
        <v>2001</v>
      </c>
      <c r="B248" t="s">
        <v>0</v>
      </c>
      <c r="C248" t="s">
        <v>66</v>
      </c>
      <c r="D248" t="s">
        <v>13</v>
      </c>
      <c r="E248">
        <v>14.209968</v>
      </c>
    </row>
    <row r="249" spans="1:5">
      <c r="A249">
        <v>2001</v>
      </c>
      <c r="B249" t="s">
        <v>0</v>
      </c>
      <c r="C249" t="s">
        <v>67</v>
      </c>
      <c r="D249" t="s">
        <v>13</v>
      </c>
      <c r="E249"/>
    </row>
    <row r="250" spans="1:5">
      <c r="A250">
        <v>2001</v>
      </c>
      <c r="B250" t="s">
        <v>0</v>
      </c>
      <c r="C250" t="s">
        <v>68</v>
      </c>
      <c r="D250" t="s">
        <v>13</v>
      </c>
      <c r="E250">
        <v>6.5365004000000004</v>
      </c>
    </row>
    <row r="251" spans="1:5">
      <c r="A251">
        <v>2001</v>
      </c>
      <c r="B251" t="s">
        <v>0</v>
      </c>
      <c r="C251" t="s">
        <v>69</v>
      </c>
      <c r="D251" t="s">
        <v>13</v>
      </c>
      <c r="E251">
        <v>14.095082</v>
      </c>
    </row>
    <row r="252" spans="1:5">
      <c r="A252">
        <v>2001</v>
      </c>
      <c r="B252" t="s">
        <v>0</v>
      </c>
      <c r="C252" t="s">
        <v>70</v>
      </c>
      <c r="D252" t="s">
        <v>13</v>
      </c>
      <c r="E252">
        <v>6.6625512999999996</v>
      </c>
    </row>
    <row r="253" spans="1:5">
      <c r="A253">
        <v>2001</v>
      </c>
      <c r="B253" t="s">
        <v>0</v>
      </c>
      <c r="C253" t="s">
        <v>71</v>
      </c>
      <c r="D253" t="s">
        <v>13</v>
      </c>
      <c r="E253">
        <v>16.438845000000001</v>
      </c>
    </row>
    <row r="254" spans="1:5">
      <c r="A254">
        <v>2001</v>
      </c>
      <c r="B254" t="s">
        <v>0</v>
      </c>
      <c r="C254" t="s">
        <v>72</v>
      </c>
      <c r="D254" t="s">
        <v>13</v>
      </c>
      <c r="E254">
        <v>13.340228</v>
      </c>
    </row>
    <row r="255" spans="1:5">
      <c r="A255">
        <v>2001</v>
      </c>
      <c r="B255" t="s">
        <v>0</v>
      </c>
      <c r="C255" t="s">
        <v>73</v>
      </c>
      <c r="D255" t="s">
        <v>13</v>
      </c>
      <c r="E255">
        <v>4.6875</v>
      </c>
    </row>
    <row r="256" spans="1:5">
      <c r="A256">
        <v>2001</v>
      </c>
      <c r="B256" t="s">
        <v>0</v>
      </c>
      <c r="C256" t="s">
        <v>74</v>
      </c>
      <c r="D256" t="s">
        <v>13</v>
      </c>
      <c r="E256">
        <v>4.0526849</v>
      </c>
    </row>
    <row r="257" spans="1:5">
      <c r="A257">
        <v>2001</v>
      </c>
      <c r="B257" t="s">
        <v>0</v>
      </c>
      <c r="C257" t="s">
        <v>75</v>
      </c>
      <c r="D257" t="s">
        <v>13</v>
      </c>
      <c r="E257">
        <v>4.4560994999999997</v>
      </c>
    </row>
    <row r="258" spans="1:5">
      <c r="A258">
        <v>2001</v>
      </c>
      <c r="B258" t="s">
        <v>0</v>
      </c>
      <c r="C258" t="s">
        <v>76</v>
      </c>
      <c r="D258" t="s">
        <v>13</v>
      </c>
      <c r="E258">
        <v>14.78889</v>
      </c>
    </row>
    <row r="259" spans="1:5">
      <c r="A259">
        <v>2001</v>
      </c>
      <c r="B259" t="s">
        <v>0</v>
      </c>
      <c r="C259" t="s">
        <v>77</v>
      </c>
      <c r="D259" t="s">
        <v>13</v>
      </c>
      <c r="E259">
        <v>7.1526695</v>
      </c>
    </row>
    <row r="260" spans="1:5">
      <c r="A260">
        <v>2001</v>
      </c>
      <c r="B260" t="s">
        <v>0</v>
      </c>
      <c r="C260" t="s">
        <v>78</v>
      </c>
      <c r="D260" t="s">
        <v>13</v>
      </c>
      <c r="E260">
        <v>21.507131000000001</v>
      </c>
    </row>
    <row r="261" spans="1:5">
      <c r="A261">
        <v>2001</v>
      </c>
      <c r="B261" t="s">
        <v>36</v>
      </c>
      <c r="C261" t="s">
        <v>36</v>
      </c>
      <c r="D261" t="s">
        <v>14</v>
      </c>
      <c r="E261">
        <v>1.7358431999999999</v>
      </c>
    </row>
    <row r="262" spans="1:5">
      <c r="A262">
        <v>2001</v>
      </c>
      <c r="B262" t="s">
        <v>37</v>
      </c>
      <c r="C262" t="s">
        <v>43</v>
      </c>
      <c r="D262" t="s">
        <v>14</v>
      </c>
      <c r="E262">
        <v>1.735293</v>
      </c>
    </row>
    <row r="263" spans="1:5">
      <c r="A263">
        <v>2001</v>
      </c>
      <c r="B263" t="s">
        <v>37</v>
      </c>
      <c r="C263" t="s">
        <v>44</v>
      </c>
      <c r="D263" t="s">
        <v>14</v>
      </c>
      <c r="E263">
        <v>1.6362342000000001</v>
      </c>
    </row>
    <row r="264" spans="1:5">
      <c r="A264">
        <v>2001</v>
      </c>
      <c r="B264" t="s">
        <v>37</v>
      </c>
      <c r="C264" t="s">
        <v>45</v>
      </c>
      <c r="D264" t="s">
        <v>14</v>
      </c>
      <c r="E264">
        <v>1.7858924</v>
      </c>
    </row>
    <row r="265" spans="1:5">
      <c r="A265">
        <v>2001</v>
      </c>
      <c r="B265" t="s">
        <v>37</v>
      </c>
      <c r="C265" t="s">
        <v>46</v>
      </c>
      <c r="D265" t="s">
        <v>14</v>
      </c>
      <c r="E265">
        <v>2.0816151999999999</v>
      </c>
    </row>
    <row r="266" spans="1:5">
      <c r="A266">
        <v>2001</v>
      </c>
      <c r="B266" t="s">
        <v>38</v>
      </c>
      <c r="C266" t="s">
        <v>47</v>
      </c>
      <c r="D266" t="s">
        <v>14</v>
      </c>
      <c r="E266">
        <v>1.8439559999999999</v>
      </c>
    </row>
    <row r="267" spans="1:5">
      <c r="A267">
        <v>2001</v>
      </c>
      <c r="B267" t="s">
        <v>38</v>
      </c>
      <c r="C267" t="s">
        <v>48</v>
      </c>
      <c r="D267" t="s">
        <v>14</v>
      </c>
      <c r="E267">
        <v>1.6225984</v>
      </c>
    </row>
    <row r="268" spans="1:5">
      <c r="A268">
        <v>2001</v>
      </c>
      <c r="B268" t="s">
        <v>38</v>
      </c>
      <c r="C268" t="s">
        <v>49</v>
      </c>
      <c r="D268" t="s">
        <v>14</v>
      </c>
      <c r="E268">
        <v>1.8825023000000001</v>
      </c>
    </row>
    <row r="269" spans="1:5">
      <c r="A269">
        <v>2001</v>
      </c>
      <c r="B269" t="s">
        <v>38</v>
      </c>
      <c r="C269" t="s">
        <v>50</v>
      </c>
      <c r="D269" t="s">
        <v>14</v>
      </c>
      <c r="E269">
        <v>1.4000547000000001</v>
      </c>
    </row>
    <row r="270" spans="1:5">
      <c r="A270">
        <v>2001</v>
      </c>
      <c r="B270" t="s">
        <v>39</v>
      </c>
      <c r="C270" t="s">
        <v>51</v>
      </c>
      <c r="D270" t="s">
        <v>14</v>
      </c>
      <c r="E270">
        <v>1.6101428</v>
      </c>
    </row>
    <row r="271" spans="1:5">
      <c r="A271">
        <v>2001</v>
      </c>
      <c r="B271" t="s">
        <v>39</v>
      </c>
      <c r="C271" t="s">
        <v>52</v>
      </c>
      <c r="D271" t="s">
        <v>14</v>
      </c>
      <c r="E271">
        <v>1.8635482999999999</v>
      </c>
    </row>
    <row r="272" spans="1:5">
      <c r="A272">
        <v>2001</v>
      </c>
      <c r="B272" t="s">
        <v>40</v>
      </c>
      <c r="C272" t="s">
        <v>53</v>
      </c>
      <c r="D272" t="s">
        <v>14</v>
      </c>
      <c r="E272">
        <v>1.6133843000000001</v>
      </c>
    </row>
    <row r="273" spans="1:5">
      <c r="A273">
        <v>2001</v>
      </c>
      <c r="B273" t="s">
        <v>40</v>
      </c>
      <c r="C273" t="s">
        <v>54</v>
      </c>
      <c r="D273" t="s">
        <v>14</v>
      </c>
      <c r="E273">
        <v>1.8342943</v>
      </c>
    </row>
    <row r="274" spans="1:5">
      <c r="A274">
        <v>2001</v>
      </c>
      <c r="B274" t="s">
        <v>41</v>
      </c>
      <c r="C274" t="s">
        <v>55</v>
      </c>
      <c r="D274" t="s">
        <v>14</v>
      </c>
      <c r="E274">
        <v>1.3721413</v>
      </c>
    </row>
    <row r="275" spans="1:5">
      <c r="A275">
        <v>2001</v>
      </c>
      <c r="B275" t="s">
        <v>41</v>
      </c>
      <c r="C275" t="s">
        <v>56</v>
      </c>
      <c r="D275" t="s">
        <v>14</v>
      </c>
      <c r="E275">
        <v>1.8665037</v>
      </c>
    </row>
    <row r="276" spans="1:5">
      <c r="A276">
        <v>2001</v>
      </c>
      <c r="B276" t="s">
        <v>42</v>
      </c>
      <c r="C276" t="s">
        <v>57</v>
      </c>
      <c r="D276" t="s">
        <v>14</v>
      </c>
      <c r="E276">
        <v>0.72090129999999997</v>
      </c>
    </row>
    <row r="277" spans="1:5">
      <c r="A277">
        <v>2001</v>
      </c>
      <c r="B277" t="s">
        <v>42</v>
      </c>
      <c r="C277" t="s">
        <v>58</v>
      </c>
      <c r="D277" t="s">
        <v>14</v>
      </c>
      <c r="E277">
        <v>1.4980401000000001</v>
      </c>
    </row>
    <row r="278" spans="1:5">
      <c r="A278">
        <v>2001</v>
      </c>
      <c r="B278" t="s">
        <v>42</v>
      </c>
      <c r="C278" t="s">
        <v>59</v>
      </c>
      <c r="D278" t="s">
        <v>14</v>
      </c>
      <c r="E278">
        <v>2.0231165999999998</v>
      </c>
    </row>
    <row r="279" spans="1:5">
      <c r="A279">
        <v>2001</v>
      </c>
      <c r="B279" t="s">
        <v>42</v>
      </c>
      <c r="C279" t="s">
        <v>60</v>
      </c>
      <c r="D279" t="s">
        <v>14</v>
      </c>
      <c r="E279">
        <v>2.3437768999999999</v>
      </c>
    </row>
    <row r="280" spans="1:5">
      <c r="A280">
        <v>2001</v>
      </c>
      <c r="B280" t="s">
        <v>0</v>
      </c>
      <c r="C280" t="s">
        <v>61</v>
      </c>
      <c r="D280" t="s">
        <v>14</v>
      </c>
      <c r="E280">
        <v>0.99990983</v>
      </c>
    </row>
    <row r="281" spans="1:5">
      <c r="A281">
        <v>2001</v>
      </c>
      <c r="B281" t="s">
        <v>0</v>
      </c>
      <c r="C281" t="s">
        <v>62</v>
      </c>
      <c r="D281" t="s">
        <v>14</v>
      </c>
      <c r="E281">
        <v>2.8382214000000001</v>
      </c>
    </row>
    <row r="282" spans="1:5">
      <c r="A282">
        <v>2001</v>
      </c>
      <c r="B282" t="s">
        <v>0</v>
      </c>
      <c r="C282" t="s">
        <v>63</v>
      </c>
      <c r="D282" t="s">
        <v>14</v>
      </c>
      <c r="E282">
        <v>0.84477296999999996</v>
      </c>
    </row>
    <row r="283" spans="1:5">
      <c r="A283">
        <v>2001</v>
      </c>
      <c r="B283" t="s">
        <v>0</v>
      </c>
      <c r="C283" t="s">
        <v>64</v>
      </c>
      <c r="D283" t="s">
        <v>14</v>
      </c>
      <c r="E283">
        <v>1.3820189000000001</v>
      </c>
    </row>
    <row r="284" spans="1:5">
      <c r="A284">
        <v>2001</v>
      </c>
      <c r="B284" t="s">
        <v>0</v>
      </c>
      <c r="C284" t="s">
        <v>65</v>
      </c>
      <c r="D284" t="s">
        <v>14</v>
      </c>
      <c r="E284">
        <v>0.59565190999999995</v>
      </c>
    </row>
    <row r="285" spans="1:5">
      <c r="A285">
        <v>2001</v>
      </c>
      <c r="B285" t="s">
        <v>0</v>
      </c>
      <c r="C285" t="s">
        <v>66</v>
      </c>
      <c r="D285" t="s">
        <v>14</v>
      </c>
      <c r="E285">
        <v>1.2725344999999999</v>
      </c>
    </row>
    <row r="286" spans="1:5">
      <c r="A286">
        <v>2001</v>
      </c>
      <c r="B286" t="s">
        <v>0</v>
      </c>
      <c r="C286" t="s">
        <v>67</v>
      </c>
      <c r="D286" t="s">
        <v>14</v>
      </c>
      <c r="E286"/>
    </row>
    <row r="287" spans="1:5">
      <c r="A287">
        <v>2001</v>
      </c>
      <c r="B287" t="s">
        <v>0</v>
      </c>
      <c r="C287" t="s">
        <v>68</v>
      </c>
      <c r="D287" t="s">
        <v>14</v>
      </c>
      <c r="E287">
        <v>3.4818277000000002</v>
      </c>
    </row>
    <row r="288" spans="1:5">
      <c r="A288">
        <v>2001</v>
      </c>
      <c r="B288" t="s">
        <v>0</v>
      </c>
      <c r="C288" t="s">
        <v>69</v>
      </c>
      <c r="D288" t="s">
        <v>14</v>
      </c>
      <c r="E288">
        <v>0.86894817999999996</v>
      </c>
    </row>
    <row r="289" spans="1:5">
      <c r="A289">
        <v>2001</v>
      </c>
      <c r="B289" t="s">
        <v>0</v>
      </c>
      <c r="C289" t="s">
        <v>70</v>
      </c>
      <c r="D289" t="s">
        <v>14</v>
      </c>
      <c r="E289">
        <v>1.6134504000000001</v>
      </c>
    </row>
    <row r="290" spans="1:5">
      <c r="A290">
        <v>2001</v>
      </c>
      <c r="B290" t="s">
        <v>0</v>
      </c>
      <c r="C290" t="s">
        <v>71</v>
      </c>
      <c r="D290" t="s">
        <v>14</v>
      </c>
      <c r="E290">
        <v>0.93554625999999996</v>
      </c>
    </row>
    <row r="291" spans="1:5">
      <c r="A291">
        <v>2001</v>
      </c>
      <c r="B291" t="s">
        <v>0</v>
      </c>
      <c r="C291" t="s">
        <v>72</v>
      </c>
      <c r="D291" t="s">
        <v>14</v>
      </c>
      <c r="E291">
        <v>2.0682523000000002</v>
      </c>
    </row>
    <row r="292" spans="1:5">
      <c r="A292">
        <v>2001</v>
      </c>
      <c r="B292" t="s">
        <v>0</v>
      </c>
      <c r="C292" t="s">
        <v>73</v>
      </c>
      <c r="D292" t="s">
        <v>14</v>
      </c>
      <c r="E292">
        <v>0.44642857000000002</v>
      </c>
    </row>
    <row r="293" spans="1:5">
      <c r="A293">
        <v>2001</v>
      </c>
      <c r="B293" t="s">
        <v>0</v>
      </c>
      <c r="C293" t="s">
        <v>74</v>
      </c>
      <c r="D293" t="s">
        <v>14</v>
      </c>
      <c r="E293">
        <v>1.3171226</v>
      </c>
    </row>
    <row r="294" spans="1:5">
      <c r="A294">
        <v>2001</v>
      </c>
      <c r="B294" t="s">
        <v>0</v>
      </c>
      <c r="C294" t="s">
        <v>75</v>
      </c>
      <c r="D294" t="s">
        <v>14</v>
      </c>
      <c r="E294">
        <v>1.0792047</v>
      </c>
    </row>
    <row r="295" spans="1:5">
      <c r="A295">
        <v>2001</v>
      </c>
      <c r="B295" t="s">
        <v>0</v>
      </c>
      <c r="C295" t="s">
        <v>76</v>
      </c>
      <c r="D295" t="s">
        <v>14</v>
      </c>
      <c r="E295">
        <v>1.5840041</v>
      </c>
    </row>
    <row r="296" spans="1:5">
      <c r="A296">
        <v>2001</v>
      </c>
      <c r="B296" t="s">
        <v>0</v>
      </c>
      <c r="C296" t="s">
        <v>77</v>
      </c>
      <c r="D296" t="s">
        <v>14</v>
      </c>
      <c r="E296">
        <v>0.98407157000000001</v>
      </c>
    </row>
    <row r="297" spans="1:5">
      <c r="A297">
        <v>2001</v>
      </c>
      <c r="B297" t="s">
        <v>0</v>
      </c>
      <c r="C297" t="s">
        <v>78</v>
      </c>
      <c r="D297" t="s">
        <v>14</v>
      </c>
      <c r="E297">
        <v>6.3043332000000003</v>
      </c>
    </row>
    <row r="298" spans="1:5">
      <c r="A298">
        <v>2002</v>
      </c>
      <c r="B298" t="s">
        <v>36</v>
      </c>
      <c r="C298" t="s">
        <v>36</v>
      </c>
      <c r="D298" t="s">
        <v>11</v>
      </c>
      <c r="E298">
        <v>33.586094000000003</v>
      </c>
    </row>
    <row r="299" spans="1:5">
      <c r="A299">
        <v>2002</v>
      </c>
      <c r="B299" t="s">
        <v>37</v>
      </c>
      <c r="C299" t="s">
        <v>43</v>
      </c>
      <c r="D299" t="s">
        <v>11</v>
      </c>
      <c r="E299">
        <v>32.115270000000002</v>
      </c>
    </row>
    <row r="300" spans="1:5">
      <c r="A300">
        <v>2002</v>
      </c>
      <c r="B300" t="s">
        <v>37</v>
      </c>
      <c r="C300" t="s">
        <v>44</v>
      </c>
      <c r="D300" t="s">
        <v>11</v>
      </c>
      <c r="E300">
        <v>33.062882999999999</v>
      </c>
    </row>
    <row r="301" spans="1:5">
      <c r="A301">
        <v>2002</v>
      </c>
      <c r="B301" t="s">
        <v>37</v>
      </c>
      <c r="C301" t="s">
        <v>45</v>
      </c>
      <c r="D301" t="s">
        <v>11</v>
      </c>
      <c r="E301">
        <v>35.910001999999999</v>
      </c>
    </row>
    <row r="302" spans="1:5">
      <c r="A302">
        <v>2002</v>
      </c>
      <c r="B302" t="s">
        <v>37</v>
      </c>
      <c r="C302" t="s">
        <v>46</v>
      </c>
      <c r="D302" t="s">
        <v>11</v>
      </c>
      <c r="E302">
        <v>36.137143999999999</v>
      </c>
    </row>
    <row r="303" spans="1:5">
      <c r="A303">
        <v>2002</v>
      </c>
      <c r="B303" t="s">
        <v>38</v>
      </c>
      <c r="C303" t="s">
        <v>47</v>
      </c>
      <c r="D303" t="s">
        <v>11</v>
      </c>
      <c r="E303">
        <v>31.17362</v>
      </c>
    </row>
    <row r="304" spans="1:5">
      <c r="A304">
        <v>2002</v>
      </c>
      <c r="B304" t="s">
        <v>38</v>
      </c>
      <c r="C304" t="s">
        <v>48</v>
      </c>
      <c r="D304" t="s">
        <v>11</v>
      </c>
      <c r="E304">
        <v>33.385098999999997</v>
      </c>
    </row>
    <row r="305" spans="1:5">
      <c r="A305">
        <v>2002</v>
      </c>
      <c r="B305" t="s">
        <v>38</v>
      </c>
      <c r="C305" t="s">
        <v>49</v>
      </c>
      <c r="D305" t="s">
        <v>11</v>
      </c>
      <c r="E305">
        <v>35.289532000000001</v>
      </c>
    </row>
    <row r="306" spans="1:5">
      <c r="A306">
        <v>2002</v>
      </c>
      <c r="B306" t="s">
        <v>38</v>
      </c>
      <c r="C306" t="s">
        <v>50</v>
      </c>
      <c r="D306" t="s">
        <v>11</v>
      </c>
      <c r="E306">
        <v>34.904998999999997</v>
      </c>
    </row>
    <row r="307" spans="1:5">
      <c r="A307">
        <v>2002</v>
      </c>
      <c r="B307" t="s">
        <v>39</v>
      </c>
      <c r="C307" t="s">
        <v>51</v>
      </c>
      <c r="D307" t="s">
        <v>11</v>
      </c>
      <c r="E307">
        <v>33.555298999999998</v>
      </c>
    </row>
    <row r="308" spans="1:5">
      <c r="A308">
        <v>2002</v>
      </c>
      <c r="B308" t="s">
        <v>39</v>
      </c>
      <c r="C308" t="s">
        <v>52</v>
      </c>
      <c r="D308" t="s">
        <v>11</v>
      </c>
      <c r="E308">
        <v>33.618662</v>
      </c>
    </row>
    <row r="309" spans="1:5">
      <c r="A309">
        <v>2002</v>
      </c>
      <c r="B309" t="s">
        <v>40</v>
      </c>
      <c r="C309" t="s">
        <v>53</v>
      </c>
      <c r="D309" t="s">
        <v>11</v>
      </c>
      <c r="E309">
        <v>33.445346999999998</v>
      </c>
    </row>
    <row r="310" spans="1:5">
      <c r="A310">
        <v>2002</v>
      </c>
      <c r="B310" t="s">
        <v>40</v>
      </c>
      <c r="C310" t="s">
        <v>54</v>
      </c>
      <c r="D310" t="s">
        <v>11</v>
      </c>
      <c r="E310">
        <v>33.482137000000002</v>
      </c>
    </row>
    <row r="311" spans="1:5">
      <c r="A311">
        <v>2002</v>
      </c>
      <c r="B311" t="s">
        <v>41</v>
      </c>
      <c r="C311" t="s">
        <v>55</v>
      </c>
      <c r="D311" t="s">
        <v>11</v>
      </c>
      <c r="E311">
        <v>32.671992000000003</v>
      </c>
    </row>
    <row r="312" spans="1:5">
      <c r="A312">
        <v>2002</v>
      </c>
      <c r="B312" t="s">
        <v>41</v>
      </c>
      <c r="C312" t="s">
        <v>56</v>
      </c>
      <c r="D312" t="s">
        <v>11</v>
      </c>
      <c r="E312">
        <v>33.795029999999997</v>
      </c>
    </row>
    <row r="313" spans="1:5">
      <c r="A313">
        <v>2002</v>
      </c>
      <c r="B313" t="s">
        <v>42</v>
      </c>
      <c r="C313" t="s">
        <v>57</v>
      </c>
      <c r="D313" t="s">
        <v>11</v>
      </c>
      <c r="E313">
        <v>26.33943</v>
      </c>
    </row>
    <row r="314" spans="1:5">
      <c r="A314">
        <v>2002</v>
      </c>
      <c r="B314" t="s">
        <v>42</v>
      </c>
      <c r="C314" t="s">
        <v>58</v>
      </c>
      <c r="D314" t="s">
        <v>11</v>
      </c>
      <c r="E314">
        <v>35.821506999999997</v>
      </c>
    </row>
    <row r="315" spans="1:5">
      <c r="A315">
        <v>2002</v>
      </c>
      <c r="B315" t="s">
        <v>42</v>
      </c>
      <c r="C315" t="s">
        <v>59</v>
      </c>
      <c r="D315" t="s">
        <v>11</v>
      </c>
      <c r="E315">
        <v>32.560495000000003</v>
      </c>
    </row>
    <row r="316" spans="1:5">
      <c r="A316">
        <v>2002</v>
      </c>
      <c r="B316" t="s">
        <v>42</v>
      </c>
      <c r="C316" t="s">
        <v>60</v>
      </c>
      <c r="D316" t="s">
        <v>11</v>
      </c>
      <c r="E316">
        <v>35.727767999999998</v>
      </c>
    </row>
    <row r="317" spans="1:5">
      <c r="A317">
        <v>2002</v>
      </c>
      <c r="B317" t="s">
        <v>0</v>
      </c>
      <c r="C317" t="s">
        <v>61</v>
      </c>
      <c r="D317" t="s">
        <v>11</v>
      </c>
      <c r="E317">
        <v>63.688574000000003</v>
      </c>
    </row>
    <row r="318" spans="1:5">
      <c r="A318">
        <v>2002</v>
      </c>
      <c r="B318" t="s">
        <v>0</v>
      </c>
      <c r="C318" t="s">
        <v>62</v>
      </c>
      <c r="D318" t="s">
        <v>11</v>
      </c>
      <c r="E318">
        <v>23.647570999999999</v>
      </c>
    </row>
    <row r="319" spans="1:5">
      <c r="A319">
        <v>2002</v>
      </c>
      <c r="B319" t="s">
        <v>0</v>
      </c>
      <c r="C319" t="s">
        <v>63</v>
      </c>
      <c r="D319" t="s">
        <v>11</v>
      </c>
      <c r="E319">
        <v>32.920537000000003</v>
      </c>
    </row>
    <row r="320" spans="1:5">
      <c r="A320">
        <v>2002</v>
      </c>
      <c r="B320" t="s">
        <v>0</v>
      </c>
      <c r="C320" t="s">
        <v>64</v>
      </c>
      <c r="D320" t="s">
        <v>11</v>
      </c>
      <c r="E320">
        <v>30.460539000000001</v>
      </c>
    </row>
    <row r="321" spans="1:5">
      <c r="A321">
        <v>2002</v>
      </c>
      <c r="B321" t="s">
        <v>0</v>
      </c>
      <c r="C321" t="s">
        <v>65</v>
      </c>
      <c r="D321" t="s">
        <v>11</v>
      </c>
      <c r="E321">
        <v>41.498091000000002</v>
      </c>
    </row>
    <row r="322" spans="1:5">
      <c r="A322">
        <v>2002</v>
      </c>
      <c r="B322" t="s">
        <v>0</v>
      </c>
      <c r="C322" t="s">
        <v>66</v>
      </c>
      <c r="D322" t="s">
        <v>11</v>
      </c>
      <c r="E322">
        <v>16.111111000000001</v>
      </c>
    </row>
    <row r="323" spans="1:5">
      <c r="A323">
        <v>2002</v>
      </c>
      <c r="B323" t="s">
        <v>0</v>
      </c>
      <c r="C323" t="s">
        <v>67</v>
      </c>
      <c r="D323" t="s">
        <v>11</v>
      </c>
      <c r="E323"/>
    </row>
    <row r="324" spans="1:5">
      <c r="A324">
        <v>2002</v>
      </c>
      <c r="B324" t="s">
        <v>0</v>
      </c>
      <c r="C324" t="s">
        <v>68</v>
      </c>
      <c r="D324" t="s">
        <v>11</v>
      </c>
      <c r="E324">
        <v>36.331733999999997</v>
      </c>
    </row>
    <row r="325" spans="1:5">
      <c r="A325">
        <v>2002</v>
      </c>
      <c r="B325" t="s">
        <v>0</v>
      </c>
      <c r="C325" t="s">
        <v>69</v>
      </c>
      <c r="D325" t="s">
        <v>11</v>
      </c>
      <c r="E325">
        <v>33.817751999999999</v>
      </c>
    </row>
    <row r="326" spans="1:5">
      <c r="A326">
        <v>2002</v>
      </c>
      <c r="B326" t="s">
        <v>0</v>
      </c>
      <c r="C326" t="s">
        <v>70</v>
      </c>
      <c r="D326" t="s">
        <v>11</v>
      </c>
      <c r="E326">
        <v>19.116954</v>
      </c>
    </row>
    <row r="327" spans="1:5">
      <c r="A327">
        <v>2002</v>
      </c>
      <c r="B327" t="s">
        <v>0</v>
      </c>
      <c r="C327" t="s">
        <v>71</v>
      </c>
      <c r="D327" t="s">
        <v>11</v>
      </c>
      <c r="E327">
        <v>47.921509999999998</v>
      </c>
    </row>
    <row r="328" spans="1:5">
      <c r="A328">
        <v>2002</v>
      </c>
      <c r="B328" t="s">
        <v>0</v>
      </c>
      <c r="C328" t="s">
        <v>72</v>
      </c>
      <c r="D328" t="s">
        <v>11</v>
      </c>
      <c r="E328">
        <v>24.035281000000001</v>
      </c>
    </row>
    <row r="329" spans="1:5">
      <c r="A329">
        <v>2002</v>
      </c>
      <c r="B329" t="s">
        <v>0</v>
      </c>
      <c r="C329" t="s">
        <v>73</v>
      </c>
      <c r="D329" t="s">
        <v>11</v>
      </c>
      <c r="E329">
        <v>46.764961999999997</v>
      </c>
    </row>
    <row r="330" spans="1:5">
      <c r="A330">
        <v>2002</v>
      </c>
      <c r="B330" t="s">
        <v>0</v>
      </c>
      <c r="C330" t="s">
        <v>74</v>
      </c>
      <c r="D330" t="s">
        <v>11</v>
      </c>
      <c r="E330">
        <v>29.156210999999999</v>
      </c>
    </row>
    <row r="331" spans="1:5">
      <c r="A331">
        <v>2002</v>
      </c>
      <c r="B331" t="s">
        <v>0</v>
      </c>
      <c r="C331" t="s">
        <v>75</v>
      </c>
      <c r="D331" t="s">
        <v>11</v>
      </c>
      <c r="E331">
        <v>40.033726999999999</v>
      </c>
    </row>
    <row r="332" spans="1:5">
      <c r="A332">
        <v>2002</v>
      </c>
      <c r="B332" t="s">
        <v>0</v>
      </c>
      <c r="C332" t="s">
        <v>76</v>
      </c>
      <c r="D332" t="s">
        <v>11</v>
      </c>
      <c r="E332">
        <v>22.207868000000001</v>
      </c>
    </row>
    <row r="333" spans="1:5">
      <c r="A333">
        <v>2002</v>
      </c>
      <c r="B333" t="s">
        <v>0</v>
      </c>
      <c r="C333" t="s">
        <v>77</v>
      </c>
      <c r="D333" t="s">
        <v>11</v>
      </c>
      <c r="E333">
        <v>30.414158</v>
      </c>
    </row>
    <row r="334" spans="1:5">
      <c r="A334">
        <v>2002</v>
      </c>
      <c r="B334" t="s">
        <v>0</v>
      </c>
      <c r="C334" t="s">
        <v>78</v>
      </c>
      <c r="D334" t="s">
        <v>11</v>
      </c>
      <c r="E334">
        <v>24.287787000000002</v>
      </c>
    </row>
    <row r="335" spans="1:5">
      <c r="A335">
        <v>2002</v>
      </c>
      <c r="B335" t="s">
        <v>36</v>
      </c>
      <c r="C335" t="s">
        <v>36</v>
      </c>
      <c r="D335" t="s">
        <v>12</v>
      </c>
      <c r="E335">
        <v>53.297753999999998</v>
      </c>
    </row>
    <row r="336" spans="1:5">
      <c r="A336">
        <v>2002</v>
      </c>
      <c r="B336" t="s">
        <v>37</v>
      </c>
      <c r="C336" t="s">
        <v>43</v>
      </c>
      <c r="D336" t="s">
        <v>12</v>
      </c>
      <c r="E336">
        <v>53.929653000000002</v>
      </c>
    </row>
    <row r="337" spans="1:5">
      <c r="A337">
        <v>2002</v>
      </c>
      <c r="B337" t="s">
        <v>37</v>
      </c>
      <c r="C337" t="s">
        <v>44</v>
      </c>
      <c r="D337" t="s">
        <v>12</v>
      </c>
      <c r="E337">
        <v>52.967359999999999</v>
      </c>
    </row>
    <row r="338" spans="1:5">
      <c r="A338">
        <v>2002</v>
      </c>
      <c r="B338" t="s">
        <v>37</v>
      </c>
      <c r="C338" t="s">
        <v>45</v>
      </c>
      <c r="D338" t="s">
        <v>12</v>
      </c>
      <c r="E338">
        <v>53.243031000000002</v>
      </c>
    </row>
    <row r="339" spans="1:5">
      <c r="A339">
        <v>2002</v>
      </c>
      <c r="B339" t="s">
        <v>37</v>
      </c>
      <c r="C339" t="s">
        <v>46</v>
      </c>
      <c r="D339" t="s">
        <v>12</v>
      </c>
      <c r="E339">
        <v>53.273223999999999</v>
      </c>
    </row>
    <row r="340" spans="1:5">
      <c r="A340">
        <v>2002</v>
      </c>
      <c r="B340" t="s">
        <v>38</v>
      </c>
      <c r="C340" t="s">
        <v>47</v>
      </c>
      <c r="D340" t="s">
        <v>12</v>
      </c>
      <c r="E340">
        <v>52.625146000000001</v>
      </c>
    </row>
    <row r="341" spans="1:5">
      <c r="A341">
        <v>2002</v>
      </c>
      <c r="B341" t="s">
        <v>38</v>
      </c>
      <c r="C341" t="s">
        <v>48</v>
      </c>
      <c r="D341" t="s">
        <v>12</v>
      </c>
      <c r="E341">
        <v>53.559457000000002</v>
      </c>
    </row>
    <row r="342" spans="1:5">
      <c r="A342">
        <v>2002</v>
      </c>
      <c r="B342" t="s">
        <v>38</v>
      </c>
      <c r="C342" t="s">
        <v>49</v>
      </c>
      <c r="D342" t="s">
        <v>12</v>
      </c>
      <c r="E342">
        <v>53.504756999999998</v>
      </c>
    </row>
    <row r="343" spans="1:5">
      <c r="A343">
        <v>2002</v>
      </c>
      <c r="B343" t="s">
        <v>38</v>
      </c>
      <c r="C343" t="s">
        <v>50</v>
      </c>
      <c r="D343" t="s">
        <v>12</v>
      </c>
      <c r="E343">
        <v>53.188975999999997</v>
      </c>
    </row>
    <row r="344" spans="1:5">
      <c r="A344">
        <v>2002</v>
      </c>
      <c r="B344" t="s">
        <v>39</v>
      </c>
      <c r="C344" t="s">
        <v>51</v>
      </c>
      <c r="D344" t="s">
        <v>12</v>
      </c>
      <c r="E344">
        <v>53.346356999999998</v>
      </c>
    </row>
    <row r="345" spans="1:5">
      <c r="A345">
        <v>2002</v>
      </c>
      <c r="B345" t="s">
        <v>39</v>
      </c>
      <c r="C345" t="s">
        <v>52</v>
      </c>
      <c r="D345" t="s">
        <v>12</v>
      </c>
      <c r="E345">
        <v>53.246352999999999</v>
      </c>
    </row>
    <row r="346" spans="1:5">
      <c r="A346">
        <v>2002</v>
      </c>
      <c r="B346" t="s">
        <v>40</v>
      </c>
      <c r="C346" t="s">
        <v>53</v>
      </c>
      <c r="D346" t="s">
        <v>12</v>
      </c>
      <c r="E346">
        <v>52.200938000000001</v>
      </c>
    </row>
    <row r="347" spans="1:5">
      <c r="A347">
        <v>2002</v>
      </c>
      <c r="B347" t="s">
        <v>40</v>
      </c>
      <c r="C347" t="s">
        <v>54</v>
      </c>
      <c r="D347" t="s">
        <v>12</v>
      </c>
      <c r="E347">
        <v>54.290154999999999</v>
      </c>
    </row>
    <row r="348" spans="1:5">
      <c r="A348">
        <v>2002</v>
      </c>
      <c r="B348" t="s">
        <v>41</v>
      </c>
      <c r="C348" t="s">
        <v>55</v>
      </c>
      <c r="D348" t="s">
        <v>12</v>
      </c>
      <c r="E348">
        <v>53.722436000000002</v>
      </c>
    </row>
    <row r="349" spans="1:5">
      <c r="A349">
        <v>2002</v>
      </c>
      <c r="B349" t="s">
        <v>41</v>
      </c>
      <c r="C349" t="s">
        <v>56</v>
      </c>
      <c r="D349" t="s">
        <v>12</v>
      </c>
      <c r="E349">
        <v>53.244045</v>
      </c>
    </row>
    <row r="350" spans="1:5">
      <c r="A350">
        <v>2002</v>
      </c>
      <c r="B350" t="s">
        <v>42</v>
      </c>
      <c r="C350" t="s">
        <v>57</v>
      </c>
      <c r="D350" t="s">
        <v>12</v>
      </c>
      <c r="E350">
        <v>62.459293000000002</v>
      </c>
    </row>
    <row r="351" spans="1:5">
      <c r="A351">
        <v>2002</v>
      </c>
      <c r="B351" t="s">
        <v>42</v>
      </c>
      <c r="C351" t="s">
        <v>58</v>
      </c>
      <c r="D351" t="s">
        <v>12</v>
      </c>
      <c r="E351">
        <v>52.114856000000003</v>
      </c>
    </row>
    <row r="352" spans="1:5">
      <c r="A352">
        <v>2002</v>
      </c>
      <c r="B352" t="s">
        <v>42</v>
      </c>
      <c r="C352" t="s">
        <v>59</v>
      </c>
      <c r="D352" t="s">
        <v>12</v>
      </c>
      <c r="E352">
        <v>54.173637999999997</v>
      </c>
    </row>
    <row r="353" spans="1:5">
      <c r="A353">
        <v>2002</v>
      </c>
      <c r="B353" t="s">
        <v>42</v>
      </c>
      <c r="C353" t="s">
        <v>60</v>
      </c>
      <c r="D353" t="s">
        <v>12</v>
      </c>
      <c r="E353">
        <v>51.423955999999997</v>
      </c>
    </row>
    <row r="354" spans="1:5">
      <c r="A354">
        <v>2002</v>
      </c>
      <c r="B354" t="s">
        <v>0</v>
      </c>
      <c r="C354" t="s">
        <v>61</v>
      </c>
      <c r="D354" t="s">
        <v>12</v>
      </c>
      <c r="E354">
        <v>33.837420000000002</v>
      </c>
    </row>
    <row r="355" spans="1:5">
      <c r="A355">
        <v>2002</v>
      </c>
      <c r="B355" t="s">
        <v>0</v>
      </c>
      <c r="C355" t="s">
        <v>62</v>
      </c>
      <c r="D355" t="s">
        <v>12</v>
      </c>
      <c r="E355">
        <v>63.166448000000003</v>
      </c>
    </row>
    <row r="356" spans="1:5">
      <c r="A356">
        <v>2002</v>
      </c>
      <c r="B356" t="s">
        <v>0</v>
      </c>
      <c r="C356" t="s">
        <v>63</v>
      </c>
      <c r="D356" t="s">
        <v>12</v>
      </c>
      <c r="E356">
        <v>53.044376</v>
      </c>
    </row>
    <row r="357" spans="1:5">
      <c r="A357">
        <v>2002</v>
      </c>
      <c r="B357" t="s">
        <v>0</v>
      </c>
      <c r="C357" t="s">
        <v>64</v>
      </c>
      <c r="D357" t="s">
        <v>12</v>
      </c>
      <c r="E357">
        <v>60.406550000000003</v>
      </c>
    </row>
    <row r="358" spans="1:5">
      <c r="A358">
        <v>2002</v>
      </c>
      <c r="B358" t="s">
        <v>0</v>
      </c>
      <c r="C358" t="s">
        <v>65</v>
      </c>
      <c r="D358" t="s">
        <v>12</v>
      </c>
      <c r="E358">
        <v>49.211587999999999</v>
      </c>
    </row>
    <row r="359" spans="1:5">
      <c r="A359">
        <v>2002</v>
      </c>
      <c r="B359" t="s">
        <v>0</v>
      </c>
      <c r="C359" t="s">
        <v>66</v>
      </c>
      <c r="D359" t="s">
        <v>12</v>
      </c>
      <c r="E359">
        <v>58.888888999999999</v>
      </c>
    </row>
    <row r="360" spans="1:5">
      <c r="A360">
        <v>2002</v>
      </c>
      <c r="B360" t="s">
        <v>0</v>
      </c>
      <c r="C360" t="s">
        <v>67</v>
      </c>
      <c r="D360" t="s">
        <v>12</v>
      </c>
      <c r="E360"/>
    </row>
    <row r="361" spans="1:5">
      <c r="A361">
        <v>2002</v>
      </c>
      <c r="B361" t="s">
        <v>0</v>
      </c>
      <c r="C361" t="s">
        <v>68</v>
      </c>
      <c r="D361" t="s">
        <v>12</v>
      </c>
      <c r="E361">
        <v>51.988658999999998</v>
      </c>
    </row>
    <row r="362" spans="1:5">
      <c r="A362">
        <v>2002</v>
      </c>
      <c r="B362" t="s">
        <v>0</v>
      </c>
      <c r="C362" t="s">
        <v>69</v>
      </c>
      <c r="D362" t="s">
        <v>12</v>
      </c>
      <c r="E362">
        <v>53.320346999999998</v>
      </c>
    </row>
    <row r="363" spans="1:5">
      <c r="A363">
        <v>2002</v>
      </c>
      <c r="B363" t="s">
        <v>0</v>
      </c>
      <c r="C363" t="s">
        <v>70</v>
      </c>
      <c r="D363" t="s">
        <v>12</v>
      </c>
      <c r="E363">
        <v>62.497020999999997</v>
      </c>
    </row>
    <row r="364" spans="1:5">
      <c r="A364">
        <v>2002</v>
      </c>
      <c r="B364" t="s">
        <v>0</v>
      </c>
      <c r="C364" t="s">
        <v>71</v>
      </c>
      <c r="D364" t="s">
        <v>12</v>
      </c>
      <c r="E364">
        <v>44.352192000000002</v>
      </c>
    </row>
    <row r="365" spans="1:5">
      <c r="A365">
        <v>2002</v>
      </c>
      <c r="B365" t="s">
        <v>0</v>
      </c>
      <c r="C365" t="s">
        <v>72</v>
      </c>
      <c r="D365" t="s">
        <v>12</v>
      </c>
      <c r="E365">
        <v>54.355016999999997</v>
      </c>
    </row>
    <row r="366" spans="1:5">
      <c r="A366">
        <v>2002</v>
      </c>
      <c r="B366" t="s">
        <v>0</v>
      </c>
      <c r="C366" t="s">
        <v>73</v>
      </c>
      <c r="D366" t="s">
        <v>12</v>
      </c>
      <c r="E366">
        <v>45.030659</v>
      </c>
    </row>
    <row r="367" spans="1:5">
      <c r="A367">
        <v>2002</v>
      </c>
      <c r="B367" t="s">
        <v>0</v>
      </c>
      <c r="C367" t="s">
        <v>74</v>
      </c>
      <c r="D367" t="s">
        <v>12</v>
      </c>
      <c r="E367">
        <v>56.904710999999999</v>
      </c>
    </row>
    <row r="368" spans="1:5">
      <c r="A368">
        <v>2002</v>
      </c>
      <c r="B368" t="s">
        <v>0</v>
      </c>
      <c r="C368" t="s">
        <v>75</v>
      </c>
      <c r="D368" t="s">
        <v>12</v>
      </c>
      <c r="E368">
        <v>52.241447999999998</v>
      </c>
    </row>
    <row r="369" spans="1:5">
      <c r="A369">
        <v>2002</v>
      </c>
      <c r="B369" t="s">
        <v>0</v>
      </c>
      <c r="C369" t="s">
        <v>76</v>
      </c>
      <c r="D369" t="s">
        <v>12</v>
      </c>
      <c r="E369">
        <v>59.146825</v>
      </c>
    </row>
    <row r="370" spans="1:5">
      <c r="A370">
        <v>2002</v>
      </c>
      <c r="B370" t="s">
        <v>0</v>
      </c>
      <c r="C370" t="s">
        <v>77</v>
      </c>
      <c r="D370" t="s">
        <v>12</v>
      </c>
      <c r="E370">
        <v>61.196389000000003</v>
      </c>
    </row>
    <row r="371" spans="1:5">
      <c r="A371">
        <v>2002</v>
      </c>
      <c r="B371" t="s">
        <v>0</v>
      </c>
      <c r="C371" t="s">
        <v>78</v>
      </c>
      <c r="D371" t="s">
        <v>12</v>
      </c>
      <c r="E371">
        <v>50.312579999999997</v>
      </c>
    </row>
    <row r="372" spans="1:5">
      <c r="A372">
        <v>2002</v>
      </c>
      <c r="B372" t="s">
        <v>36</v>
      </c>
      <c r="C372" t="s">
        <v>36</v>
      </c>
      <c r="D372" t="s">
        <v>13</v>
      </c>
      <c r="E372">
        <v>10.937457</v>
      </c>
    </row>
    <row r="373" spans="1:5">
      <c r="A373">
        <v>2002</v>
      </c>
      <c r="B373" t="s">
        <v>37</v>
      </c>
      <c r="C373" t="s">
        <v>43</v>
      </c>
      <c r="D373" t="s">
        <v>13</v>
      </c>
      <c r="E373">
        <v>12.422545</v>
      </c>
    </row>
    <row r="374" spans="1:5">
      <c r="A374">
        <v>2002</v>
      </c>
      <c r="B374" t="s">
        <v>37</v>
      </c>
      <c r="C374" t="s">
        <v>44</v>
      </c>
      <c r="D374" t="s">
        <v>13</v>
      </c>
      <c r="E374">
        <v>11.322239</v>
      </c>
    </row>
    <row r="375" spans="1:5">
      <c r="A375">
        <v>2002</v>
      </c>
      <c r="B375" t="s">
        <v>37</v>
      </c>
      <c r="C375" t="s">
        <v>45</v>
      </c>
      <c r="D375" t="s">
        <v>13</v>
      </c>
      <c r="E375">
        <v>8.9054635999999991</v>
      </c>
    </row>
    <row r="376" spans="1:5">
      <c r="A376">
        <v>2002</v>
      </c>
      <c r="B376" t="s">
        <v>37</v>
      </c>
      <c r="C376" t="s">
        <v>46</v>
      </c>
      <c r="D376" t="s">
        <v>13</v>
      </c>
      <c r="E376">
        <v>8.4590730999999995</v>
      </c>
    </row>
    <row r="377" spans="1:5">
      <c r="A377">
        <v>2002</v>
      </c>
      <c r="B377" t="s">
        <v>38</v>
      </c>
      <c r="C377" t="s">
        <v>47</v>
      </c>
      <c r="D377" t="s">
        <v>13</v>
      </c>
      <c r="E377">
        <v>13.341797</v>
      </c>
    </row>
    <row r="378" spans="1:5">
      <c r="A378">
        <v>2002</v>
      </c>
      <c r="B378" t="s">
        <v>38</v>
      </c>
      <c r="C378" t="s">
        <v>48</v>
      </c>
      <c r="D378" t="s">
        <v>13</v>
      </c>
      <c r="E378">
        <v>10.749254000000001</v>
      </c>
    </row>
    <row r="379" spans="1:5">
      <c r="A379">
        <v>2002</v>
      </c>
      <c r="B379" t="s">
        <v>38</v>
      </c>
      <c r="C379" t="s">
        <v>49</v>
      </c>
      <c r="D379" t="s">
        <v>13</v>
      </c>
      <c r="E379">
        <v>9.4124721999999998</v>
      </c>
    </row>
    <row r="380" spans="1:5">
      <c r="A380">
        <v>2002</v>
      </c>
      <c r="B380" t="s">
        <v>38</v>
      </c>
      <c r="C380" t="s">
        <v>50</v>
      </c>
      <c r="D380" t="s">
        <v>13</v>
      </c>
      <c r="E380">
        <v>10.736772999999999</v>
      </c>
    </row>
    <row r="381" spans="1:5">
      <c r="A381">
        <v>2002</v>
      </c>
      <c r="B381" t="s">
        <v>39</v>
      </c>
      <c r="C381" t="s">
        <v>51</v>
      </c>
      <c r="D381" t="s">
        <v>13</v>
      </c>
      <c r="E381">
        <v>10.849114999999999</v>
      </c>
    </row>
    <row r="382" spans="1:5">
      <c r="A382">
        <v>2002</v>
      </c>
      <c r="B382" t="s">
        <v>39</v>
      </c>
      <c r="C382" t="s">
        <v>52</v>
      </c>
      <c r="D382" t="s">
        <v>13</v>
      </c>
      <c r="E382">
        <v>11.030882999999999</v>
      </c>
    </row>
    <row r="383" spans="1:5">
      <c r="A383">
        <v>2002</v>
      </c>
      <c r="B383" t="s">
        <v>40</v>
      </c>
      <c r="C383" t="s">
        <v>53</v>
      </c>
      <c r="D383" t="s">
        <v>13</v>
      </c>
      <c r="E383">
        <v>11.684877</v>
      </c>
    </row>
    <row r="384" spans="1:5">
      <c r="A384">
        <v>2002</v>
      </c>
      <c r="B384" t="s">
        <v>40</v>
      </c>
      <c r="C384" t="s">
        <v>54</v>
      </c>
      <c r="D384" t="s">
        <v>13</v>
      </c>
      <c r="E384">
        <v>10.437326000000001</v>
      </c>
    </row>
    <row r="385" spans="1:5">
      <c r="A385">
        <v>2002</v>
      </c>
      <c r="B385" t="s">
        <v>41</v>
      </c>
      <c r="C385" t="s">
        <v>55</v>
      </c>
      <c r="D385" t="s">
        <v>13</v>
      </c>
      <c r="E385">
        <v>11.602126999999999</v>
      </c>
    </row>
    <row r="386" spans="1:5">
      <c r="A386">
        <v>2002</v>
      </c>
      <c r="B386" t="s">
        <v>41</v>
      </c>
      <c r="C386" t="s">
        <v>56</v>
      </c>
      <c r="D386" t="s">
        <v>13</v>
      </c>
      <c r="E386">
        <v>10.718870000000001</v>
      </c>
    </row>
    <row r="387" spans="1:5">
      <c r="A387">
        <v>2002</v>
      </c>
      <c r="B387" t="s">
        <v>42</v>
      </c>
      <c r="C387" t="s">
        <v>57</v>
      </c>
      <c r="D387" t="s">
        <v>13</v>
      </c>
      <c r="E387">
        <v>9.2071225999999999</v>
      </c>
    </row>
    <row r="388" spans="1:5">
      <c r="A388">
        <v>2002</v>
      </c>
      <c r="B388" t="s">
        <v>42</v>
      </c>
      <c r="C388" t="s">
        <v>58</v>
      </c>
      <c r="D388" t="s">
        <v>13</v>
      </c>
      <c r="E388">
        <v>9.6269968000000006</v>
      </c>
    </row>
    <row r="389" spans="1:5">
      <c r="A389">
        <v>2002</v>
      </c>
      <c r="B389" t="s">
        <v>42</v>
      </c>
      <c r="C389" t="s">
        <v>59</v>
      </c>
      <c r="D389" t="s">
        <v>13</v>
      </c>
      <c r="E389">
        <v>11.324665</v>
      </c>
    </row>
    <row r="390" spans="1:5">
      <c r="A390">
        <v>2002</v>
      </c>
      <c r="B390" t="s">
        <v>42</v>
      </c>
      <c r="C390" t="s">
        <v>60</v>
      </c>
      <c r="D390" t="s">
        <v>13</v>
      </c>
      <c r="E390">
        <v>10.708584999999999</v>
      </c>
    </row>
    <row r="391" spans="1:5">
      <c r="A391">
        <v>2002</v>
      </c>
      <c r="B391" t="s">
        <v>0</v>
      </c>
      <c r="C391" t="s">
        <v>61</v>
      </c>
      <c r="D391" t="s">
        <v>13</v>
      </c>
      <c r="E391">
        <v>1.5132715000000001</v>
      </c>
    </row>
    <row r="392" spans="1:5">
      <c r="A392">
        <v>2002</v>
      </c>
      <c r="B392" t="s">
        <v>0</v>
      </c>
      <c r="C392" t="s">
        <v>62</v>
      </c>
      <c r="D392" t="s">
        <v>13</v>
      </c>
      <c r="E392">
        <v>11.094742</v>
      </c>
    </row>
    <row r="393" spans="1:5">
      <c r="A393">
        <v>2002</v>
      </c>
      <c r="B393" t="s">
        <v>0</v>
      </c>
      <c r="C393" t="s">
        <v>63</v>
      </c>
      <c r="D393" t="s">
        <v>13</v>
      </c>
      <c r="E393">
        <v>13.003095999999999</v>
      </c>
    </row>
    <row r="394" spans="1:5">
      <c r="A394">
        <v>2002</v>
      </c>
      <c r="B394" t="s">
        <v>0</v>
      </c>
      <c r="C394" t="s">
        <v>64</v>
      </c>
      <c r="D394" t="s">
        <v>13</v>
      </c>
      <c r="E394">
        <v>6.3545255999999997</v>
      </c>
    </row>
    <row r="395" spans="1:5">
      <c r="A395">
        <v>2002</v>
      </c>
      <c r="B395" t="s">
        <v>0</v>
      </c>
      <c r="C395" t="s">
        <v>65</v>
      </c>
      <c r="D395" t="s">
        <v>13</v>
      </c>
      <c r="E395">
        <v>6.7983057999999996</v>
      </c>
    </row>
    <row r="396" spans="1:5">
      <c r="A396">
        <v>2002</v>
      </c>
      <c r="B396" t="s">
        <v>0</v>
      </c>
      <c r="C396" t="s">
        <v>66</v>
      </c>
      <c r="D396" t="s">
        <v>13</v>
      </c>
      <c r="E396">
        <v>23.666667</v>
      </c>
    </row>
    <row r="397" spans="1:5">
      <c r="A397">
        <v>2002</v>
      </c>
      <c r="B397" t="s">
        <v>0</v>
      </c>
      <c r="C397" t="s">
        <v>67</v>
      </c>
      <c r="D397" t="s">
        <v>13</v>
      </c>
      <c r="E397"/>
    </row>
    <row r="398" spans="1:5">
      <c r="A398">
        <v>2002</v>
      </c>
      <c r="B398" t="s">
        <v>0</v>
      </c>
      <c r="C398" t="s">
        <v>68</v>
      </c>
      <c r="D398" t="s">
        <v>13</v>
      </c>
      <c r="E398">
        <v>9.8052308999999997</v>
      </c>
    </row>
    <row r="399" spans="1:5">
      <c r="A399">
        <v>2002</v>
      </c>
      <c r="B399" t="s">
        <v>0</v>
      </c>
      <c r="C399" t="s">
        <v>69</v>
      </c>
      <c r="D399" t="s">
        <v>13</v>
      </c>
      <c r="E399">
        <v>11.833656</v>
      </c>
    </row>
    <row r="400" spans="1:5">
      <c r="A400">
        <v>2002</v>
      </c>
      <c r="B400" t="s">
        <v>0</v>
      </c>
      <c r="C400" t="s">
        <v>70</v>
      </c>
      <c r="D400" t="s">
        <v>13</v>
      </c>
      <c r="E400">
        <v>16.967967999999999</v>
      </c>
    </row>
    <row r="401" spans="1:5">
      <c r="A401">
        <v>2002</v>
      </c>
      <c r="B401" t="s">
        <v>0</v>
      </c>
      <c r="C401" t="s">
        <v>71</v>
      </c>
      <c r="D401" t="s">
        <v>13</v>
      </c>
      <c r="E401">
        <v>4.5328084999999998</v>
      </c>
    </row>
    <row r="402" spans="1:5">
      <c r="A402">
        <v>2002</v>
      </c>
      <c r="B402" t="s">
        <v>0</v>
      </c>
      <c r="C402" t="s">
        <v>72</v>
      </c>
      <c r="D402" t="s">
        <v>13</v>
      </c>
      <c r="E402">
        <v>19.514883999999999</v>
      </c>
    </row>
    <row r="403" spans="1:5">
      <c r="A403">
        <v>2002</v>
      </c>
      <c r="B403" t="s">
        <v>0</v>
      </c>
      <c r="C403" t="s">
        <v>73</v>
      </c>
      <c r="D403" t="s">
        <v>13</v>
      </c>
      <c r="E403">
        <v>6.3583939999999997</v>
      </c>
    </row>
    <row r="404" spans="1:5">
      <c r="A404">
        <v>2002</v>
      </c>
      <c r="B404" t="s">
        <v>0</v>
      </c>
      <c r="C404" t="s">
        <v>74</v>
      </c>
      <c r="D404" t="s">
        <v>13</v>
      </c>
      <c r="E404">
        <v>9.9268595000000008</v>
      </c>
    </row>
    <row r="405" spans="1:5">
      <c r="A405">
        <v>2002</v>
      </c>
      <c r="B405" t="s">
        <v>0</v>
      </c>
      <c r="C405" t="s">
        <v>75</v>
      </c>
      <c r="D405" t="s">
        <v>13</v>
      </c>
      <c r="E405">
        <v>7.0043467000000001</v>
      </c>
    </row>
    <row r="406" spans="1:5">
      <c r="A406">
        <v>2002</v>
      </c>
      <c r="B406" t="s">
        <v>0</v>
      </c>
      <c r="C406" t="s">
        <v>76</v>
      </c>
      <c r="D406" t="s">
        <v>13</v>
      </c>
      <c r="E406">
        <v>15.489606999999999</v>
      </c>
    </row>
    <row r="407" spans="1:5">
      <c r="A407">
        <v>2002</v>
      </c>
      <c r="B407" t="s">
        <v>0</v>
      </c>
      <c r="C407" t="s">
        <v>77</v>
      </c>
      <c r="D407" t="s">
        <v>13</v>
      </c>
      <c r="E407">
        <v>7.5445981</v>
      </c>
    </row>
    <row r="408" spans="1:5">
      <c r="A408">
        <v>2002</v>
      </c>
      <c r="B408" t="s">
        <v>0</v>
      </c>
      <c r="C408" t="s">
        <v>78</v>
      </c>
      <c r="D408" t="s">
        <v>13</v>
      </c>
      <c r="E408">
        <v>20.416543000000001</v>
      </c>
    </row>
    <row r="409" spans="1:5">
      <c r="A409">
        <v>2002</v>
      </c>
      <c r="B409" t="s">
        <v>36</v>
      </c>
      <c r="C409" t="s">
        <v>36</v>
      </c>
      <c r="D409" t="s">
        <v>14</v>
      </c>
      <c r="E409">
        <v>2.1786948000000002</v>
      </c>
    </row>
    <row r="410" spans="1:5">
      <c r="A410">
        <v>2002</v>
      </c>
      <c r="B410" t="s">
        <v>37</v>
      </c>
      <c r="C410" t="s">
        <v>43</v>
      </c>
      <c r="D410" t="s">
        <v>14</v>
      </c>
      <c r="E410">
        <v>1.5325325000000001</v>
      </c>
    </row>
    <row r="411" spans="1:5">
      <c r="A411">
        <v>2002</v>
      </c>
      <c r="B411" t="s">
        <v>37</v>
      </c>
      <c r="C411" t="s">
        <v>44</v>
      </c>
      <c r="D411" t="s">
        <v>14</v>
      </c>
      <c r="E411">
        <v>2.6475173999999999</v>
      </c>
    </row>
    <row r="412" spans="1:5">
      <c r="A412">
        <v>2002</v>
      </c>
      <c r="B412" t="s">
        <v>37</v>
      </c>
      <c r="C412" t="s">
        <v>45</v>
      </c>
      <c r="D412" t="s">
        <v>14</v>
      </c>
      <c r="E412">
        <v>1.9415043000000001</v>
      </c>
    </row>
    <row r="413" spans="1:5">
      <c r="A413">
        <v>2002</v>
      </c>
      <c r="B413" t="s">
        <v>37</v>
      </c>
      <c r="C413" t="s">
        <v>46</v>
      </c>
      <c r="D413" t="s">
        <v>14</v>
      </c>
      <c r="E413">
        <v>2.1305584</v>
      </c>
    </row>
    <row r="414" spans="1:5">
      <c r="A414">
        <v>2002</v>
      </c>
      <c r="B414" t="s">
        <v>38</v>
      </c>
      <c r="C414" t="s">
        <v>47</v>
      </c>
      <c r="D414" t="s">
        <v>14</v>
      </c>
      <c r="E414">
        <v>2.8594368000000001</v>
      </c>
    </row>
    <row r="415" spans="1:5">
      <c r="A415">
        <v>2002</v>
      </c>
      <c r="B415" t="s">
        <v>38</v>
      </c>
      <c r="C415" t="s">
        <v>48</v>
      </c>
      <c r="D415" t="s">
        <v>14</v>
      </c>
      <c r="E415">
        <v>2.3061900999999998</v>
      </c>
    </row>
    <row r="416" spans="1:5">
      <c r="A416">
        <v>2002</v>
      </c>
      <c r="B416" t="s">
        <v>38</v>
      </c>
      <c r="C416" t="s">
        <v>49</v>
      </c>
      <c r="D416" t="s">
        <v>14</v>
      </c>
      <c r="E416">
        <v>1.7932386</v>
      </c>
    </row>
    <row r="417" spans="1:5">
      <c r="A417">
        <v>2002</v>
      </c>
      <c r="B417" t="s">
        <v>38</v>
      </c>
      <c r="C417" t="s">
        <v>50</v>
      </c>
      <c r="D417" t="s">
        <v>14</v>
      </c>
      <c r="E417">
        <v>1.1692521</v>
      </c>
    </row>
    <row r="418" spans="1:5">
      <c r="A418">
        <v>2002</v>
      </c>
      <c r="B418" t="s">
        <v>39</v>
      </c>
      <c r="C418" t="s">
        <v>51</v>
      </c>
      <c r="D418" t="s">
        <v>14</v>
      </c>
      <c r="E418">
        <v>2.2492285999999999</v>
      </c>
    </row>
    <row r="419" spans="1:5">
      <c r="A419">
        <v>2002</v>
      </c>
      <c r="B419" t="s">
        <v>39</v>
      </c>
      <c r="C419" t="s">
        <v>52</v>
      </c>
      <c r="D419" t="s">
        <v>14</v>
      </c>
      <c r="E419">
        <v>2.1041018</v>
      </c>
    </row>
    <row r="420" spans="1:5">
      <c r="A420">
        <v>2002</v>
      </c>
      <c r="B420" t="s">
        <v>40</v>
      </c>
      <c r="C420" t="s">
        <v>53</v>
      </c>
      <c r="D420" t="s">
        <v>14</v>
      </c>
      <c r="E420">
        <v>2.6688380999999999</v>
      </c>
    </row>
    <row r="421" spans="1:5">
      <c r="A421">
        <v>2002</v>
      </c>
      <c r="B421" t="s">
        <v>40</v>
      </c>
      <c r="C421" t="s">
        <v>54</v>
      </c>
      <c r="D421" t="s">
        <v>14</v>
      </c>
      <c r="E421">
        <v>1.7903818</v>
      </c>
    </row>
    <row r="422" spans="1:5">
      <c r="A422">
        <v>2002</v>
      </c>
      <c r="B422" t="s">
        <v>41</v>
      </c>
      <c r="C422" t="s">
        <v>55</v>
      </c>
      <c r="D422" t="s">
        <v>14</v>
      </c>
      <c r="E422">
        <v>2.0034448999999999</v>
      </c>
    </row>
    <row r="423" spans="1:5">
      <c r="A423">
        <v>2002</v>
      </c>
      <c r="B423" t="s">
        <v>41</v>
      </c>
      <c r="C423" t="s">
        <v>56</v>
      </c>
      <c r="D423" t="s">
        <v>14</v>
      </c>
      <c r="E423">
        <v>2.2420555000000002</v>
      </c>
    </row>
    <row r="424" spans="1:5">
      <c r="A424">
        <v>2002</v>
      </c>
      <c r="B424" t="s">
        <v>42</v>
      </c>
      <c r="C424" t="s">
        <v>57</v>
      </c>
      <c r="D424" t="s">
        <v>14</v>
      </c>
      <c r="E424">
        <v>1.9941544</v>
      </c>
    </row>
    <row r="425" spans="1:5">
      <c r="A425">
        <v>2002</v>
      </c>
      <c r="B425" t="s">
        <v>42</v>
      </c>
      <c r="C425" t="s">
        <v>58</v>
      </c>
      <c r="D425" t="s">
        <v>14</v>
      </c>
      <c r="E425">
        <v>2.4366403999999999</v>
      </c>
    </row>
    <row r="426" spans="1:5">
      <c r="A426">
        <v>2002</v>
      </c>
      <c r="B426" t="s">
        <v>42</v>
      </c>
      <c r="C426" t="s">
        <v>59</v>
      </c>
      <c r="D426" t="s">
        <v>14</v>
      </c>
      <c r="E426">
        <v>1.9412015</v>
      </c>
    </row>
    <row r="427" spans="1:5">
      <c r="A427">
        <v>2002</v>
      </c>
      <c r="B427" t="s">
        <v>42</v>
      </c>
      <c r="C427" t="s">
        <v>60</v>
      </c>
      <c r="D427" t="s">
        <v>14</v>
      </c>
      <c r="E427">
        <v>2.1396913999999998</v>
      </c>
    </row>
    <row r="428" spans="1:5">
      <c r="A428">
        <v>2002</v>
      </c>
      <c r="B428" t="s">
        <v>0</v>
      </c>
      <c r="C428" t="s">
        <v>61</v>
      </c>
      <c r="D428" t="s">
        <v>14</v>
      </c>
      <c r="E428">
        <v>0.96073496000000003</v>
      </c>
    </row>
    <row r="429" spans="1:5">
      <c r="A429">
        <v>2002</v>
      </c>
      <c r="B429" t="s">
        <v>0</v>
      </c>
      <c r="C429" t="s">
        <v>62</v>
      </c>
      <c r="D429" t="s">
        <v>14</v>
      </c>
      <c r="E429">
        <v>2.0912397999999999</v>
      </c>
    </row>
    <row r="430" spans="1:5">
      <c r="A430">
        <v>2002</v>
      </c>
      <c r="B430" t="s">
        <v>0</v>
      </c>
      <c r="C430" t="s">
        <v>63</v>
      </c>
      <c r="D430" t="s">
        <v>14</v>
      </c>
      <c r="E430">
        <v>1.0319917000000001</v>
      </c>
    </row>
    <row r="431" spans="1:5">
      <c r="A431">
        <v>2002</v>
      </c>
      <c r="B431" t="s">
        <v>0</v>
      </c>
      <c r="C431" t="s">
        <v>64</v>
      </c>
      <c r="D431" t="s">
        <v>14</v>
      </c>
      <c r="E431">
        <v>2.7783848999999998</v>
      </c>
    </row>
    <row r="432" spans="1:5">
      <c r="A432">
        <v>2002</v>
      </c>
      <c r="B432" t="s">
        <v>0</v>
      </c>
      <c r="C432" t="s">
        <v>65</v>
      </c>
      <c r="D432" t="s">
        <v>14</v>
      </c>
      <c r="E432">
        <v>2.4920159000000002</v>
      </c>
    </row>
    <row r="433" spans="1:5">
      <c r="A433">
        <v>2002</v>
      </c>
      <c r="B433" t="s">
        <v>0</v>
      </c>
      <c r="C433" t="s">
        <v>66</v>
      </c>
      <c r="D433" t="s">
        <v>14</v>
      </c>
      <c r="E433">
        <v>1.3333333000000001</v>
      </c>
    </row>
    <row r="434" spans="1:5">
      <c r="A434">
        <v>2002</v>
      </c>
      <c r="B434" t="s">
        <v>0</v>
      </c>
      <c r="C434" t="s">
        <v>67</v>
      </c>
      <c r="D434" t="s">
        <v>14</v>
      </c>
      <c r="E434"/>
    </row>
    <row r="435" spans="1:5">
      <c r="A435">
        <v>2002</v>
      </c>
      <c r="B435" t="s">
        <v>0</v>
      </c>
      <c r="C435" t="s">
        <v>68</v>
      </c>
      <c r="D435" t="s">
        <v>14</v>
      </c>
      <c r="E435">
        <v>1.8743761999999999</v>
      </c>
    </row>
    <row r="436" spans="1:5">
      <c r="A436">
        <v>2002</v>
      </c>
      <c r="B436" t="s">
        <v>0</v>
      </c>
      <c r="C436" t="s">
        <v>69</v>
      </c>
      <c r="D436" t="s">
        <v>14</v>
      </c>
      <c r="E436">
        <v>1.0282454000000001</v>
      </c>
    </row>
    <row r="437" spans="1:5">
      <c r="A437">
        <v>2002</v>
      </c>
      <c r="B437" t="s">
        <v>0</v>
      </c>
      <c r="C437" t="s">
        <v>70</v>
      </c>
      <c r="D437" t="s">
        <v>14</v>
      </c>
      <c r="E437">
        <v>1.4180562000000001</v>
      </c>
    </row>
    <row r="438" spans="1:5">
      <c r="A438">
        <v>2002</v>
      </c>
      <c r="B438" t="s">
        <v>0</v>
      </c>
      <c r="C438" t="s">
        <v>71</v>
      </c>
      <c r="D438" t="s">
        <v>14</v>
      </c>
      <c r="E438">
        <v>3.1934897000000002</v>
      </c>
    </row>
    <row r="439" spans="1:5">
      <c r="A439">
        <v>2002</v>
      </c>
      <c r="B439" t="s">
        <v>0</v>
      </c>
      <c r="C439" t="s">
        <v>72</v>
      </c>
      <c r="D439" t="s">
        <v>14</v>
      </c>
      <c r="E439">
        <v>2.0948180999999999</v>
      </c>
    </row>
    <row r="440" spans="1:5">
      <c r="A440">
        <v>2002</v>
      </c>
      <c r="B440" t="s">
        <v>0</v>
      </c>
      <c r="C440" t="s">
        <v>73</v>
      </c>
      <c r="D440" t="s">
        <v>14</v>
      </c>
      <c r="E440">
        <v>1.8459852999999999</v>
      </c>
    </row>
    <row r="441" spans="1:5">
      <c r="A441">
        <v>2002</v>
      </c>
      <c r="B441" t="s">
        <v>0</v>
      </c>
      <c r="C441" t="s">
        <v>74</v>
      </c>
      <c r="D441" t="s">
        <v>14</v>
      </c>
      <c r="E441">
        <v>4.0122178999999996</v>
      </c>
    </row>
    <row r="442" spans="1:5">
      <c r="A442">
        <v>2002</v>
      </c>
      <c r="B442" t="s">
        <v>0</v>
      </c>
      <c r="C442" t="s">
        <v>75</v>
      </c>
      <c r="D442" t="s">
        <v>14</v>
      </c>
      <c r="E442">
        <v>0.72047806000000003</v>
      </c>
    </row>
    <row r="443" spans="1:5">
      <c r="A443">
        <v>2002</v>
      </c>
      <c r="B443" t="s">
        <v>0</v>
      </c>
      <c r="C443" t="s">
        <v>76</v>
      </c>
      <c r="D443" t="s">
        <v>14</v>
      </c>
      <c r="E443">
        <v>3.1556997999999998</v>
      </c>
    </row>
    <row r="444" spans="1:5">
      <c r="A444">
        <v>2002</v>
      </c>
      <c r="B444" t="s">
        <v>0</v>
      </c>
      <c r="C444" t="s">
        <v>77</v>
      </c>
      <c r="D444" t="s">
        <v>14</v>
      </c>
      <c r="E444">
        <v>0.84485451</v>
      </c>
    </row>
    <row r="445" spans="1:5">
      <c r="A445">
        <v>2002</v>
      </c>
      <c r="B445" t="s">
        <v>0</v>
      </c>
      <c r="C445" t="s">
        <v>78</v>
      </c>
      <c r="D445" t="s">
        <v>14</v>
      </c>
      <c r="E445">
        <v>4.9830896999999998</v>
      </c>
    </row>
    <row r="446" spans="1:5">
      <c r="A446">
        <v>2007</v>
      </c>
      <c r="B446" t="s">
        <v>36</v>
      </c>
      <c r="C446" t="s">
        <v>36</v>
      </c>
      <c r="D446" t="s">
        <v>11</v>
      </c>
      <c r="E446">
        <v>27.686924999999999</v>
      </c>
    </row>
    <row r="447" spans="1:5">
      <c r="A447">
        <v>2007</v>
      </c>
      <c r="B447" t="s">
        <v>37</v>
      </c>
      <c r="C447" t="s">
        <v>43</v>
      </c>
      <c r="D447" t="s">
        <v>11</v>
      </c>
      <c r="E447">
        <v>27.81307</v>
      </c>
    </row>
    <row r="448" spans="1:5">
      <c r="A448">
        <v>2007</v>
      </c>
      <c r="B448" t="s">
        <v>37</v>
      </c>
      <c r="C448" t="s">
        <v>44</v>
      </c>
      <c r="D448" t="s">
        <v>11</v>
      </c>
      <c r="E448">
        <v>26.960719999999998</v>
      </c>
    </row>
    <row r="449" spans="1:5">
      <c r="A449">
        <v>2007</v>
      </c>
      <c r="B449" t="s">
        <v>37</v>
      </c>
      <c r="C449" t="s">
        <v>45</v>
      </c>
      <c r="D449" t="s">
        <v>11</v>
      </c>
      <c r="E449">
        <v>28.651873999999999</v>
      </c>
    </row>
    <row r="450" spans="1:5">
      <c r="A450">
        <v>2007</v>
      </c>
      <c r="B450" t="s">
        <v>37</v>
      </c>
      <c r="C450" t="s">
        <v>46</v>
      </c>
      <c r="D450" t="s">
        <v>11</v>
      </c>
      <c r="E450">
        <v>28.636679000000001</v>
      </c>
    </row>
    <row r="451" spans="1:5">
      <c r="A451">
        <v>2007</v>
      </c>
      <c r="B451" t="s">
        <v>38</v>
      </c>
      <c r="C451" t="s">
        <v>47</v>
      </c>
      <c r="D451" t="s">
        <v>11</v>
      </c>
      <c r="E451">
        <v>23.795838</v>
      </c>
    </row>
    <row r="452" spans="1:5">
      <c r="A452">
        <v>2007</v>
      </c>
      <c r="B452" t="s">
        <v>38</v>
      </c>
      <c r="C452" t="s">
        <v>48</v>
      </c>
      <c r="D452" t="s">
        <v>11</v>
      </c>
      <c r="E452">
        <v>28.626411999999998</v>
      </c>
    </row>
    <row r="453" spans="1:5">
      <c r="A453">
        <v>2007</v>
      </c>
      <c r="B453" t="s">
        <v>38</v>
      </c>
      <c r="C453" t="s">
        <v>49</v>
      </c>
      <c r="D453" t="s">
        <v>11</v>
      </c>
      <c r="E453">
        <v>28.956672000000001</v>
      </c>
    </row>
    <row r="454" spans="1:5">
      <c r="A454">
        <v>2007</v>
      </c>
      <c r="B454" t="s">
        <v>38</v>
      </c>
      <c r="C454" t="s">
        <v>50</v>
      </c>
      <c r="D454" t="s">
        <v>11</v>
      </c>
      <c r="E454">
        <v>28.132686</v>
      </c>
    </row>
    <row r="455" spans="1:5">
      <c r="A455">
        <v>2007</v>
      </c>
      <c r="B455" t="s">
        <v>39</v>
      </c>
      <c r="C455" t="s">
        <v>51</v>
      </c>
      <c r="D455" t="s">
        <v>11</v>
      </c>
      <c r="E455">
        <v>27.732638000000001</v>
      </c>
    </row>
    <row r="456" spans="1:5">
      <c r="A456">
        <v>2007</v>
      </c>
      <c r="B456" t="s">
        <v>39</v>
      </c>
      <c r="C456" t="s">
        <v>52</v>
      </c>
      <c r="D456" t="s">
        <v>11</v>
      </c>
      <c r="E456">
        <v>27.640554000000002</v>
      </c>
    </row>
    <row r="457" spans="1:5">
      <c r="A457">
        <v>2007</v>
      </c>
      <c r="B457" t="s">
        <v>40</v>
      </c>
      <c r="C457" t="s">
        <v>53</v>
      </c>
      <c r="D457" t="s">
        <v>11</v>
      </c>
      <c r="E457">
        <v>26.921710999999998</v>
      </c>
    </row>
    <row r="458" spans="1:5">
      <c r="A458">
        <v>2007</v>
      </c>
      <c r="B458" t="s">
        <v>40</v>
      </c>
      <c r="C458" t="s">
        <v>54</v>
      </c>
      <c r="D458" t="s">
        <v>11</v>
      </c>
      <c r="E458">
        <v>28.155923999999999</v>
      </c>
    </row>
    <row r="459" spans="1:5">
      <c r="A459">
        <v>2007</v>
      </c>
      <c r="B459" t="s">
        <v>41</v>
      </c>
      <c r="C459" t="s">
        <v>55</v>
      </c>
      <c r="D459" t="s">
        <v>11</v>
      </c>
      <c r="E459">
        <v>27.371362000000001</v>
      </c>
    </row>
    <row r="460" spans="1:5">
      <c r="A460">
        <v>2007</v>
      </c>
      <c r="B460" t="s">
        <v>41</v>
      </c>
      <c r="C460" t="s">
        <v>56</v>
      </c>
      <c r="D460" t="s">
        <v>11</v>
      </c>
      <c r="E460">
        <v>27.900867000000002</v>
      </c>
    </row>
    <row r="461" spans="1:5">
      <c r="A461">
        <v>2007</v>
      </c>
      <c r="B461" t="s">
        <v>42</v>
      </c>
      <c r="C461" t="s">
        <v>57</v>
      </c>
      <c r="D461" t="s">
        <v>11</v>
      </c>
      <c r="E461">
        <v>22.538492000000002</v>
      </c>
    </row>
    <row r="462" spans="1:5">
      <c r="A462">
        <v>2007</v>
      </c>
      <c r="B462" t="s">
        <v>42</v>
      </c>
      <c r="C462" t="s">
        <v>58</v>
      </c>
      <c r="D462" t="s">
        <v>11</v>
      </c>
      <c r="E462">
        <v>28.228065000000001</v>
      </c>
    </row>
    <row r="463" spans="1:5">
      <c r="A463">
        <v>2007</v>
      </c>
      <c r="B463" t="s">
        <v>42</v>
      </c>
      <c r="C463" t="s">
        <v>59</v>
      </c>
      <c r="D463" t="s">
        <v>11</v>
      </c>
      <c r="E463">
        <v>27.909976</v>
      </c>
    </row>
    <row r="464" spans="1:5">
      <c r="A464">
        <v>2007</v>
      </c>
      <c r="B464" t="s">
        <v>42</v>
      </c>
      <c r="C464" t="s">
        <v>60</v>
      </c>
      <c r="D464" t="s">
        <v>11</v>
      </c>
      <c r="E464">
        <v>27.339261</v>
      </c>
    </row>
    <row r="465" spans="1:5">
      <c r="A465">
        <v>2007</v>
      </c>
      <c r="B465" t="s">
        <v>0</v>
      </c>
      <c r="C465" t="s">
        <v>61</v>
      </c>
      <c r="D465" t="s">
        <v>11</v>
      </c>
      <c r="E465">
        <v>31.476544000000001</v>
      </c>
    </row>
    <row r="466" spans="1:5">
      <c r="A466">
        <v>2007</v>
      </c>
      <c r="B466" t="s">
        <v>0</v>
      </c>
      <c r="C466" t="s">
        <v>62</v>
      </c>
      <c r="D466" t="s">
        <v>11</v>
      </c>
      <c r="E466">
        <v>14.446367</v>
      </c>
    </row>
    <row r="467" spans="1:5">
      <c r="A467">
        <v>2007</v>
      </c>
      <c r="B467" t="s">
        <v>0</v>
      </c>
      <c r="C467" t="s">
        <v>63</v>
      </c>
      <c r="D467" t="s">
        <v>11</v>
      </c>
      <c r="E467">
        <v>33.104630999999998</v>
      </c>
    </row>
    <row r="468" spans="1:5">
      <c r="A468">
        <v>2007</v>
      </c>
      <c r="B468" t="s">
        <v>0</v>
      </c>
      <c r="C468" t="s">
        <v>64</v>
      </c>
      <c r="D468" t="s">
        <v>11</v>
      </c>
      <c r="E468">
        <v>44.836938000000004</v>
      </c>
    </row>
    <row r="469" spans="1:5">
      <c r="A469">
        <v>2007</v>
      </c>
      <c r="B469" t="s">
        <v>0</v>
      </c>
      <c r="C469" t="s">
        <v>65</v>
      </c>
      <c r="D469" t="s">
        <v>11</v>
      </c>
      <c r="E469">
        <v>28.792231999999998</v>
      </c>
    </row>
    <row r="470" spans="1:5">
      <c r="A470">
        <v>2007</v>
      </c>
      <c r="B470" t="s">
        <v>0</v>
      </c>
      <c r="C470" t="s">
        <v>66</v>
      </c>
      <c r="D470" t="s">
        <v>11</v>
      </c>
      <c r="E470">
        <v>16.922350000000002</v>
      </c>
    </row>
    <row r="471" spans="1:5">
      <c r="A471">
        <v>2007</v>
      </c>
      <c r="B471" t="s">
        <v>0</v>
      </c>
      <c r="C471" t="s">
        <v>67</v>
      </c>
      <c r="D471" t="s">
        <v>11</v>
      </c>
      <c r="E471">
        <v>27.712745999999999</v>
      </c>
    </row>
    <row r="472" spans="1:5">
      <c r="A472">
        <v>2007</v>
      </c>
      <c r="B472" t="s">
        <v>0</v>
      </c>
      <c r="C472" t="s">
        <v>68</v>
      </c>
      <c r="D472" t="s">
        <v>11</v>
      </c>
      <c r="E472">
        <v>23.962743</v>
      </c>
    </row>
    <row r="473" spans="1:5">
      <c r="A473">
        <v>2007</v>
      </c>
      <c r="B473" t="s">
        <v>0</v>
      </c>
      <c r="C473" t="s">
        <v>69</v>
      </c>
      <c r="D473" t="s">
        <v>11</v>
      </c>
      <c r="E473">
        <v>28.32152</v>
      </c>
    </row>
    <row r="474" spans="1:5">
      <c r="A474">
        <v>2007</v>
      </c>
      <c r="B474" t="s">
        <v>0</v>
      </c>
      <c r="C474" t="s">
        <v>70</v>
      </c>
      <c r="D474" t="s">
        <v>11</v>
      </c>
      <c r="E474">
        <v>28.410594</v>
      </c>
    </row>
    <row r="475" spans="1:5">
      <c r="A475">
        <v>2007</v>
      </c>
      <c r="B475" t="s">
        <v>0</v>
      </c>
      <c r="C475" t="s">
        <v>71</v>
      </c>
      <c r="D475" t="s">
        <v>11</v>
      </c>
      <c r="E475">
        <v>24.442539</v>
      </c>
    </row>
    <row r="476" spans="1:5">
      <c r="A476">
        <v>2007</v>
      </c>
      <c r="B476" t="s">
        <v>0</v>
      </c>
      <c r="C476" t="s">
        <v>72</v>
      </c>
      <c r="D476" t="s">
        <v>11</v>
      </c>
      <c r="E476">
        <v>23.190124999999998</v>
      </c>
    </row>
    <row r="477" spans="1:5">
      <c r="A477">
        <v>2007</v>
      </c>
      <c r="B477" t="s">
        <v>0</v>
      </c>
      <c r="C477" t="s">
        <v>73</v>
      </c>
      <c r="D477" t="s">
        <v>11</v>
      </c>
      <c r="E477">
        <v>32.391826999999999</v>
      </c>
    </row>
    <row r="478" spans="1:5">
      <c r="A478">
        <v>2007</v>
      </c>
      <c r="B478" t="s">
        <v>0</v>
      </c>
      <c r="C478" t="s">
        <v>74</v>
      </c>
      <c r="D478" t="s">
        <v>11</v>
      </c>
      <c r="E478">
        <v>25.865051999999999</v>
      </c>
    </row>
    <row r="479" spans="1:5">
      <c r="A479">
        <v>2007</v>
      </c>
      <c r="B479" t="s">
        <v>0</v>
      </c>
      <c r="C479" t="s">
        <v>75</v>
      </c>
      <c r="D479" t="s">
        <v>11</v>
      </c>
      <c r="E479">
        <v>54.6965</v>
      </c>
    </row>
    <row r="480" spans="1:5">
      <c r="A480">
        <v>2007</v>
      </c>
      <c r="B480" t="s">
        <v>0</v>
      </c>
      <c r="C480" t="s">
        <v>76</v>
      </c>
      <c r="D480" t="s">
        <v>11</v>
      </c>
      <c r="E480">
        <v>26.571874000000001</v>
      </c>
    </row>
    <row r="481" spans="1:5">
      <c r="A481">
        <v>2007</v>
      </c>
      <c r="B481" t="s">
        <v>0</v>
      </c>
      <c r="C481" t="s">
        <v>77</v>
      </c>
      <c r="D481" t="s">
        <v>11</v>
      </c>
      <c r="E481">
        <v>20.759716999999998</v>
      </c>
    </row>
    <row r="482" spans="1:5">
      <c r="A482">
        <v>2007</v>
      </c>
      <c r="B482" t="s">
        <v>0</v>
      </c>
      <c r="C482" t="s">
        <v>78</v>
      </c>
      <c r="D482" t="s">
        <v>11</v>
      </c>
      <c r="E482">
        <v>10.742758</v>
      </c>
    </row>
    <row r="483" spans="1:5">
      <c r="A483">
        <v>2007</v>
      </c>
      <c r="B483" t="s">
        <v>36</v>
      </c>
      <c r="C483" t="s">
        <v>36</v>
      </c>
      <c r="D483" t="s">
        <v>12</v>
      </c>
      <c r="E483">
        <v>50.313056000000003</v>
      </c>
    </row>
    <row r="484" spans="1:5">
      <c r="A484">
        <v>2007</v>
      </c>
      <c r="B484" t="s">
        <v>37</v>
      </c>
      <c r="C484" t="s">
        <v>43</v>
      </c>
      <c r="D484" t="s">
        <v>12</v>
      </c>
      <c r="E484">
        <v>48.450417000000002</v>
      </c>
    </row>
    <row r="485" spans="1:5">
      <c r="A485">
        <v>2007</v>
      </c>
      <c r="B485" t="s">
        <v>37</v>
      </c>
      <c r="C485" t="s">
        <v>44</v>
      </c>
      <c r="D485" t="s">
        <v>12</v>
      </c>
      <c r="E485">
        <v>50.217264999999998</v>
      </c>
    </row>
    <row r="486" spans="1:5">
      <c r="A486">
        <v>2007</v>
      </c>
      <c r="B486" t="s">
        <v>37</v>
      </c>
      <c r="C486" t="s">
        <v>45</v>
      </c>
      <c r="D486" t="s">
        <v>12</v>
      </c>
      <c r="E486">
        <v>52.035291999999998</v>
      </c>
    </row>
    <row r="487" spans="1:5">
      <c r="A487">
        <v>2007</v>
      </c>
      <c r="B487" t="s">
        <v>37</v>
      </c>
      <c r="C487" t="s">
        <v>46</v>
      </c>
      <c r="D487" t="s">
        <v>12</v>
      </c>
      <c r="E487">
        <v>53.147433999999997</v>
      </c>
    </row>
    <row r="488" spans="1:5">
      <c r="A488">
        <v>2007</v>
      </c>
      <c r="B488" t="s">
        <v>38</v>
      </c>
      <c r="C488" t="s">
        <v>47</v>
      </c>
      <c r="D488" t="s">
        <v>12</v>
      </c>
      <c r="E488">
        <v>51.718229000000001</v>
      </c>
    </row>
    <row r="489" spans="1:5">
      <c r="A489">
        <v>2007</v>
      </c>
      <c r="B489" t="s">
        <v>38</v>
      </c>
      <c r="C489" t="s">
        <v>48</v>
      </c>
      <c r="D489" t="s">
        <v>12</v>
      </c>
      <c r="E489">
        <v>49.388370999999999</v>
      </c>
    </row>
    <row r="490" spans="1:5">
      <c r="A490">
        <v>2007</v>
      </c>
      <c r="B490" t="s">
        <v>38</v>
      </c>
      <c r="C490" t="s">
        <v>49</v>
      </c>
      <c r="D490" t="s">
        <v>12</v>
      </c>
      <c r="E490">
        <v>50.391451000000004</v>
      </c>
    </row>
    <row r="491" spans="1:5">
      <c r="A491">
        <v>2007</v>
      </c>
      <c r="B491" t="s">
        <v>38</v>
      </c>
      <c r="C491" t="s">
        <v>50</v>
      </c>
      <c r="D491" t="s">
        <v>12</v>
      </c>
      <c r="E491">
        <v>50.782642000000003</v>
      </c>
    </row>
    <row r="492" spans="1:5">
      <c r="A492">
        <v>2007</v>
      </c>
      <c r="B492" t="s">
        <v>39</v>
      </c>
      <c r="C492" t="s">
        <v>51</v>
      </c>
      <c r="D492" t="s">
        <v>12</v>
      </c>
      <c r="E492">
        <v>50.633771000000003</v>
      </c>
    </row>
    <row r="493" spans="1:5">
      <c r="A493">
        <v>2007</v>
      </c>
      <c r="B493" t="s">
        <v>39</v>
      </c>
      <c r="C493" t="s">
        <v>52</v>
      </c>
      <c r="D493" t="s">
        <v>12</v>
      </c>
      <c r="E493">
        <v>49.987730999999997</v>
      </c>
    </row>
    <row r="494" spans="1:5">
      <c r="A494">
        <v>2007</v>
      </c>
      <c r="B494" t="s">
        <v>40</v>
      </c>
      <c r="C494" t="s">
        <v>53</v>
      </c>
      <c r="D494" t="s">
        <v>12</v>
      </c>
      <c r="E494">
        <v>50.923006000000001</v>
      </c>
    </row>
    <row r="495" spans="1:5">
      <c r="A495">
        <v>2007</v>
      </c>
      <c r="B495" t="s">
        <v>40</v>
      </c>
      <c r="C495" t="s">
        <v>54</v>
      </c>
      <c r="D495" t="s">
        <v>12</v>
      </c>
      <c r="E495">
        <v>49.972129000000002</v>
      </c>
    </row>
    <row r="496" spans="1:5">
      <c r="A496">
        <v>2007</v>
      </c>
      <c r="B496" t="s">
        <v>41</v>
      </c>
      <c r="C496" t="s">
        <v>55</v>
      </c>
      <c r="D496" t="s">
        <v>12</v>
      </c>
      <c r="E496">
        <v>50.657755000000002</v>
      </c>
    </row>
    <row r="497" spans="1:5">
      <c r="A497">
        <v>2007</v>
      </c>
      <c r="B497" t="s">
        <v>41</v>
      </c>
      <c r="C497" t="s">
        <v>56</v>
      </c>
      <c r="D497" t="s">
        <v>12</v>
      </c>
      <c r="E497">
        <v>50.182650000000002</v>
      </c>
    </row>
    <row r="498" spans="1:5">
      <c r="A498">
        <v>2007</v>
      </c>
      <c r="B498" t="s">
        <v>42</v>
      </c>
      <c r="C498" t="s">
        <v>57</v>
      </c>
      <c r="D498" t="s">
        <v>12</v>
      </c>
      <c r="E498">
        <v>55.445385000000002</v>
      </c>
    </row>
    <row r="499" spans="1:5">
      <c r="A499">
        <v>2007</v>
      </c>
      <c r="B499" t="s">
        <v>42</v>
      </c>
      <c r="C499" t="s">
        <v>58</v>
      </c>
      <c r="D499" t="s">
        <v>12</v>
      </c>
      <c r="E499">
        <v>50.062475999999997</v>
      </c>
    </row>
    <row r="500" spans="1:5">
      <c r="A500">
        <v>2007</v>
      </c>
      <c r="B500" t="s">
        <v>42</v>
      </c>
      <c r="C500" t="s">
        <v>59</v>
      </c>
      <c r="D500" t="s">
        <v>12</v>
      </c>
      <c r="E500">
        <v>49.107438000000002</v>
      </c>
    </row>
    <row r="501" spans="1:5">
      <c r="A501">
        <v>2007</v>
      </c>
      <c r="B501" t="s">
        <v>42</v>
      </c>
      <c r="C501" t="s">
        <v>60</v>
      </c>
      <c r="D501" t="s">
        <v>12</v>
      </c>
      <c r="E501">
        <v>54.868243999999997</v>
      </c>
    </row>
    <row r="502" spans="1:5">
      <c r="A502">
        <v>2007</v>
      </c>
      <c r="B502" t="s">
        <v>0</v>
      </c>
      <c r="C502" t="s">
        <v>61</v>
      </c>
      <c r="D502" t="s">
        <v>12</v>
      </c>
      <c r="E502">
        <v>58.186275000000002</v>
      </c>
    </row>
    <row r="503" spans="1:5">
      <c r="A503">
        <v>2007</v>
      </c>
      <c r="B503" t="s">
        <v>0</v>
      </c>
      <c r="C503" t="s">
        <v>62</v>
      </c>
      <c r="D503" t="s">
        <v>12</v>
      </c>
      <c r="E503">
        <v>54.152248999999998</v>
      </c>
    </row>
    <row r="504" spans="1:5">
      <c r="A504">
        <v>2007</v>
      </c>
      <c r="B504" t="s">
        <v>0</v>
      </c>
      <c r="C504" t="s">
        <v>63</v>
      </c>
      <c r="D504" t="s">
        <v>12</v>
      </c>
      <c r="E504">
        <v>53.173242000000002</v>
      </c>
    </row>
    <row r="505" spans="1:5">
      <c r="A505">
        <v>2007</v>
      </c>
      <c r="B505" t="s">
        <v>0</v>
      </c>
      <c r="C505" t="s">
        <v>64</v>
      </c>
      <c r="D505" t="s">
        <v>12</v>
      </c>
      <c r="E505">
        <v>45.393372999999997</v>
      </c>
    </row>
    <row r="506" spans="1:5">
      <c r="A506">
        <v>2007</v>
      </c>
      <c r="B506" t="s">
        <v>0</v>
      </c>
      <c r="C506" t="s">
        <v>65</v>
      </c>
      <c r="D506" t="s">
        <v>12</v>
      </c>
      <c r="E506">
        <v>52.586258999999998</v>
      </c>
    </row>
    <row r="507" spans="1:5">
      <c r="A507">
        <v>2007</v>
      </c>
      <c r="B507" t="s">
        <v>0</v>
      </c>
      <c r="C507" t="s">
        <v>66</v>
      </c>
      <c r="D507" t="s">
        <v>12</v>
      </c>
      <c r="E507">
        <v>53.505350999999997</v>
      </c>
    </row>
    <row r="508" spans="1:5">
      <c r="A508">
        <v>2007</v>
      </c>
      <c r="B508" t="s">
        <v>0</v>
      </c>
      <c r="C508" t="s">
        <v>67</v>
      </c>
      <c r="D508" t="s">
        <v>12</v>
      </c>
      <c r="E508">
        <v>46.617032999999999</v>
      </c>
    </row>
    <row r="509" spans="1:5">
      <c r="A509">
        <v>2007</v>
      </c>
      <c r="B509" t="s">
        <v>0</v>
      </c>
      <c r="C509" t="s">
        <v>68</v>
      </c>
      <c r="D509" t="s">
        <v>12</v>
      </c>
      <c r="E509">
        <v>53.429296999999998</v>
      </c>
    </row>
    <row r="510" spans="1:5">
      <c r="A510">
        <v>2007</v>
      </c>
      <c r="B510" t="s">
        <v>0</v>
      </c>
      <c r="C510" t="s">
        <v>69</v>
      </c>
      <c r="D510" t="s">
        <v>12</v>
      </c>
      <c r="E510">
        <v>47.240492000000003</v>
      </c>
    </row>
    <row r="511" spans="1:5">
      <c r="A511">
        <v>2007</v>
      </c>
      <c r="B511" t="s">
        <v>0</v>
      </c>
      <c r="C511" t="s">
        <v>70</v>
      </c>
      <c r="D511" t="s">
        <v>12</v>
      </c>
      <c r="E511">
        <v>50.442064999999999</v>
      </c>
    </row>
    <row r="512" spans="1:5">
      <c r="A512">
        <v>2007</v>
      </c>
      <c r="B512" t="s">
        <v>0</v>
      </c>
      <c r="C512" t="s">
        <v>71</v>
      </c>
      <c r="D512" t="s">
        <v>12</v>
      </c>
      <c r="E512">
        <v>50.514580000000002</v>
      </c>
    </row>
    <row r="513" spans="1:5">
      <c r="A513">
        <v>2007</v>
      </c>
      <c r="B513" t="s">
        <v>0</v>
      </c>
      <c r="C513" t="s">
        <v>72</v>
      </c>
      <c r="D513" t="s">
        <v>12</v>
      </c>
      <c r="E513">
        <v>46.386929000000002</v>
      </c>
    </row>
    <row r="514" spans="1:5">
      <c r="A514">
        <v>2007</v>
      </c>
      <c r="B514" t="s">
        <v>0</v>
      </c>
      <c r="C514" t="s">
        <v>73</v>
      </c>
      <c r="D514" t="s">
        <v>12</v>
      </c>
      <c r="E514">
        <v>49.321429000000002</v>
      </c>
    </row>
    <row r="515" spans="1:5">
      <c r="A515">
        <v>2007</v>
      </c>
      <c r="B515" t="s">
        <v>0</v>
      </c>
      <c r="C515" t="s">
        <v>74</v>
      </c>
      <c r="D515" t="s">
        <v>12</v>
      </c>
      <c r="E515">
        <v>65.397924000000003</v>
      </c>
    </row>
    <row r="516" spans="1:5">
      <c r="A516">
        <v>2007</v>
      </c>
      <c r="B516" t="s">
        <v>0</v>
      </c>
      <c r="C516" t="s">
        <v>75</v>
      </c>
      <c r="D516" t="s">
        <v>12</v>
      </c>
      <c r="E516">
        <v>39.078423000000001</v>
      </c>
    </row>
    <row r="517" spans="1:5">
      <c r="A517">
        <v>2007</v>
      </c>
      <c r="B517" t="s">
        <v>0</v>
      </c>
      <c r="C517" t="s">
        <v>76</v>
      </c>
      <c r="D517" t="s">
        <v>12</v>
      </c>
      <c r="E517">
        <v>46.386566000000002</v>
      </c>
    </row>
    <row r="518" spans="1:5">
      <c r="A518">
        <v>2007</v>
      </c>
      <c r="B518" t="s">
        <v>0</v>
      </c>
      <c r="C518" t="s">
        <v>77</v>
      </c>
      <c r="D518" t="s">
        <v>12</v>
      </c>
      <c r="E518">
        <v>58.745583000000003</v>
      </c>
    </row>
    <row r="519" spans="1:5">
      <c r="A519">
        <v>2007</v>
      </c>
      <c r="B519" t="s">
        <v>0</v>
      </c>
      <c r="C519" t="s">
        <v>78</v>
      </c>
      <c r="D519" t="s">
        <v>12</v>
      </c>
      <c r="E519">
        <v>32.354129999999998</v>
      </c>
    </row>
    <row r="520" spans="1:5">
      <c r="A520">
        <v>2007</v>
      </c>
      <c r="B520" t="s">
        <v>36</v>
      </c>
      <c r="C520" t="s">
        <v>36</v>
      </c>
      <c r="D520" t="s">
        <v>13</v>
      </c>
      <c r="E520">
        <v>17.775445999999999</v>
      </c>
    </row>
    <row r="521" spans="1:5">
      <c r="A521">
        <v>2007</v>
      </c>
      <c r="B521" t="s">
        <v>37</v>
      </c>
      <c r="C521" t="s">
        <v>43</v>
      </c>
      <c r="D521" t="s">
        <v>13</v>
      </c>
      <c r="E521">
        <v>18.584268000000002</v>
      </c>
    </row>
    <row r="522" spans="1:5">
      <c r="A522">
        <v>2007</v>
      </c>
      <c r="B522" t="s">
        <v>37</v>
      </c>
      <c r="C522" t="s">
        <v>44</v>
      </c>
      <c r="D522" t="s">
        <v>13</v>
      </c>
      <c r="E522">
        <v>18.398520000000001</v>
      </c>
    </row>
    <row r="523" spans="1:5">
      <c r="A523">
        <v>2007</v>
      </c>
      <c r="B523" t="s">
        <v>37</v>
      </c>
      <c r="C523" t="s">
        <v>45</v>
      </c>
      <c r="D523" t="s">
        <v>13</v>
      </c>
      <c r="E523">
        <v>16.349274000000001</v>
      </c>
    </row>
    <row r="524" spans="1:5">
      <c r="A524">
        <v>2007</v>
      </c>
      <c r="B524" t="s">
        <v>37</v>
      </c>
      <c r="C524" t="s">
        <v>46</v>
      </c>
      <c r="D524" t="s">
        <v>13</v>
      </c>
      <c r="E524">
        <v>15.251499000000001</v>
      </c>
    </row>
    <row r="525" spans="1:5">
      <c r="A525">
        <v>2007</v>
      </c>
      <c r="B525" t="s">
        <v>38</v>
      </c>
      <c r="C525" t="s">
        <v>47</v>
      </c>
      <c r="D525" t="s">
        <v>13</v>
      </c>
      <c r="E525">
        <v>20.045361</v>
      </c>
    </row>
    <row r="526" spans="1:5">
      <c r="A526">
        <v>2007</v>
      </c>
      <c r="B526" t="s">
        <v>38</v>
      </c>
      <c r="C526" t="s">
        <v>48</v>
      </c>
      <c r="D526" t="s">
        <v>13</v>
      </c>
      <c r="E526">
        <v>17.599377</v>
      </c>
    </row>
    <row r="527" spans="1:5">
      <c r="A527">
        <v>2007</v>
      </c>
      <c r="B527" t="s">
        <v>38</v>
      </c>
      <c r="C527" t="s">
        <v>49</v>
      </c>
      <c r="D527" t="s">
        <v>13</v>
      </c>
      <c r="E527">
        <v>16.721705</v>
      </c>
    </row>
    <row r="528" spans="1:5">
      <c r="A528">
        <v>2007</v>
      </c>
      <c r="B528" t="s">
        <v>38</v>
      </c>
      <c r="C528" t="s">
        <v>50</v>
      </c>
      <c r="D528" t="s">
        <v>13</v>
      </c>
      <c r="E528">
        <v>17.015628</v>
      </c>
    </row>
    <row r="529" spans="1:5">
      <c r="A529">
        <v>2007</v>
      </c>
      <c r="B529" t="s">
        <v>39</v>
      </c>
      <c r="C529" t="s">
        <v>51</v>
      </c>
      <c r="D529" t="s">
        <v>13</v>
      </c>
      <c r="E529">
        <v>17.609238000000001</v>
      </c>
    </row>
    <row r="530" spans="1:5">
      <c r="A530">
        <v>2007</v>
      </c>
      <c r="B530" t="s">
        <v>39</v>
      </c>
      <c r="C530" t="s">
        <v>52</v>
      </c>
      <c r="D530" t="s">
        <v>13</v>
      </c>
      <c r="E530">
        <v>17.944044000000002</v>
      </c>
    </row>
    <row r="531" spans="1:5">
      <c r="A531">
        <v>2007</v>
      </c>
      <c r="B531" t="s">
        <v>40</v>
      </c>
      <c r="C531" t="s">
        <v>53</v>
      </c>
      <c r="D531" t="s">
        <v>13</v>
      </c>
      <c r="E531">
        <v>17.469248</v>
      </c>
    </row>
    <row r="532" spans="1:5">
      <c r="A532">
        <v>2007</v>
      </c>
      <c r="B532" t="s">
        <v>40</v>
      </c>
      <c r="C532" t="s">
        <v>54</v>
      </c>
      <c r="D532" t="s">
        <v>13</v>
      </c>
      <c r="E532">
        <v>18.015765999999999</v>
      </c>
    </row>
    <row r="533" spans="1:5">
      <c r="A533">
        <v>2007</v>
      </c>
      <c r="B533" t="s">
        <v>41</v>
      </c>
      <c r="C533" t="s">
        <v>55</v>
      </c>
      <c r="D533" t="s">
        <v>13</v>
      </c>
      <c r="E533">
        <v>17.476889</v>
      </c>
    </row>
    <row r="534" spans="1:5">
      <c r="A534">
        <v>2007</v>
      </c>
      <c r="B534" t="s">
        <v>41</v>
      </c>
      <c r="C534" t="s">
        <v>56</v>
      </c>
      <c r="D534" t="s">
        <v>13</v>
      </c>
      <c r="E534">
        <v>17.856183000000001</v>
      </c>
    </row>
    <row r="535" spans="1:5">
      <c r="A535">
        <v>2007</v>
      </c>
      <c r="B535" t="s">
        <v>42</v>
      </c>
      <c r="C535" t="s">
        <v>57</v>
      </c>
      <c r="D535" t="s">
        <v>13</v>
      </c>
      <c r="E535">
        <v>17.683814000000002</v>
      </c>
    </row>
    <row r="536" spans="1:5">
      <c r="A536">
        <v>2007</v>
      </c>
      <c r="B536" t="s">
        <v>42</v>
      </c>
      <c r="C536" t="s">
        <v>58</v>
      </c>
      <c r="D536" t="s">
        <v>13</v>
      </c>
      <c r="E536">
        <v>17.267240999999999</v>
      </c>
    </row>
    <row r="537" spans="1:5">
      <c r="A537">
        <v>2007</v>
      </c>
      <c r="B537" t="s">
        <v>42</v>
      </c>
      <c r="C537" t="s">
        <v>59</v>
      </c>
      <c r="D537" t="s">
        <v>13</v>
      </c>
      <c r="E537">
        <v>18.575896</v>
      </c>
    </row>
    <row r="538" spans="1:5">
      <c r="A538">
        <v>2007</v>
      </c>
      <c r="B538" t="s">
        <v>42</v>
      </c>
      <c r="C538" t="s">
        <v>60</v>
      </c>
      <c r="D538" t="s">
        <v>13</v>
      </c>
      <c r="E538">
        <v>13.973576</v>
      </c>
    </row>
    <row r="539" spans="1:5">
      <c r="A539">
        <v>2007</v>
      </c>
      <c r="B539" t="s">
        <v>0</v>
      </c>
      <c r="C539" t="s">
        <v>61</v>
      </c>
      <c r="D539" t="s">
        <v>13</v>
      </c>
      <c r="E539">
        <v>9.1341167999999993</v>
      </c>
    </row>
    <row r="540" spans="1:5">
      <c r="A540">
        <v>2007</v>
      </c>
      <c r="B540" t="s">
        <v>0</v>
      </c>
      <c r="C540" t="s">
        <v>62</v>
      </c>
      <c r="D540" t="s">
        <v>13</v>
      </c>
      <c r="E540">
        <v>28.287196999999999</v>
      </c>
    </row>
    <row r="541" spans="1:5">
      <c r="A541">
        <v>2007</v>
      </c>
      <c r="B541" t="s">
        <v>0</v>
      </c>
      <c r="C541" t="s">
        <v>63</v>
      </c>
      <c r="D541" t="s">
        <v>13</v>
      </c>
      <c r="E541">
        <v>10.806175</v>
      </c>
    </row>
    <row r="542" spans="1:5">
      <c r="A542">
        <v>2007</v>
      </c>
      <c r="B542" t="s">
        <v>0</v>
      </c>
      <c r="C542" t="s">
        <v>64</v>
      </c>
      <c r="D542" t="s">
        <v>13</v>
      </c>
      <c r="E542">
        <v>8.3791157999999992</v>
      </c>
    </row>
    <row r="543" spans="1:5">
      <c r="A543">
        <v>2007</v>
      </c>
      <c r="B543" t="s">
        <v>0</v>
      </c>
      <c r="C543" t="s">
        <v>65</v>
      </c>
      <c r="D543" t="s">
        <v>13</v>
      </c>
      <c r="E543">
        <v>16.704449</v>
      </c>
    </row>
    <row r="544" spans="1:5">
      <c r="A544">
        <v>2007</v>
      </c>
      <c r="B544" t="s">
        <v>0</v>
      </c>
      <c r="C544" t="s">
        <v>66</v>
      </c>
      <c r="D544" t="s">
        <v>13</v>
      </c>
      <c r="E544">
        <v>26.243099000000001</v>
      </c>
    </row>
    <row r="545" spans="1:5">
      <c r="A545">
        <v>2007</v>
      </c>
      <c r="B545" t="s">
        <v>0</v>
      </c>
      <c r="C545" t="s">
        <v>67</v>
      </c>
      <c r="D545" t="s">
        <v>13</v>
      </c>
      <c r="E545">
        <v>20.288159</v>
      </c>
    </row>
    <row r="546" spans="1:5">
      <c r="A546">
        <v>2007</v>
      </c>
      <c r="B546" t="s">
        <v>0</v>
      </c>
      <c r="C546" t="s">
        <v>68</v>
      </c>
      <c r="D546" t="s">
        <v>13</v>
      </c>
      <c r="E546">
        <v>20.745131000000001</v>
      </c>
    </row>
    <row r="547" spans="1:5">
      <c r="A547">
        <v>2007</v>
      </c>
      <c r="B547" t="s">
        <v>0</v>
      </c>
      <c r="C547" t="s">
        <v>69</v>
      </c>
      <c r="D547" t="s">
        <v>13</v>
      </c>
      <c r="E547">
        <v>16.112587999999999</v>
      </c>
    </row>
    <row r="548" spans="1:5">
      <c r="A548">
        <v>2007</v>
      </c>
      <c r="B548" t="s">
        <v>0</v>
      </c>
      <c r="C548" t="s">
        <v>70</v>
      </c>
      <c r="D548" t="s">
        <v>13</v>
      </c>
      <c r="E548">
        <v>17.468364999999999</v>
      </c>
    </row>
    <row r="549" spans="1:5">
      <c r="A549">
        <v>2007</v>
      </c>
      <c r="B549" t="s">
        <v>0</v>
      </c>
      <c r="C549" t="s">
        <v>71</v>
      </c>
      <c r="D549" t="s">
        <v>13</v>
      </c>
      <c r="E549">
        <v>20.154374000000001</v>
      </c>
    </row>
    <row r="550" spans="1:5">
      <c r="A550">
        <v>2007</v>
      </c>
      <c r="B550" t="s">
        <v>0</v>
      </c>
      <c r="C550" t="s">
        <v>72</v>
      </c>
      <c r="D550" t="s">
        <v>13</v>
      </c>
      <c r="E550">
        <v>24.637145</v>
      </c>
    </row>
    <row r="551" spans="1:5">
      <c r="A551">
        <v>2007</v>
      </c>
      <c r="B551" t="s">
        <v>0</v>
      </c>
      <c r="C551" t="s">
        <v>73</v>
      </c>
      <c r="D551" t="s">
        <v>13</v>
      </c>
      <c r="E551">
        <v>11.647138</v>
      </c>
    </row>
    <row r="552" spans="1:5">
      <c r="A552">
        <v>2007</v>
      </c>
      <c r="B552" t="s">
        <v>0</v>
      </c>
      <c r="C552" t="s">
        <v>74</v>
      </c>
      <c r="D552" t="s">
        <v>13</v>
      </c>
      <c r="E552">
        <v>8.0449827000000003</v>
      </c>
    </row>
    <row r="553" spans="1:5">
      <c r="A553">
        <v>2007</v>
      </c>
      <c r="B553" t="s">
        <v>0</v>
      </c>
      <c r="C553" t="s">
        <v>75</v>
      </c>
      <c r="D553" t="s">
        <v>13</v>
      </c>
      <c r="E553">
        <v>5.5161718999999998</v>
      </c>
    </row>
    <row r="554" spans="1:5">
      <c r="A554">
        <v>2007</v>
      </c>
      <c r="B554" t="s">
        <v>0</v>
      </c>
      <c r="C554" t="s">
        <v>76</v>
      </c>
      <c r="D554" t="s">
        <v>13</v>
      </c>
      <c r="E554">
        <v>20.592894000000001</v>
      </c>
    </row>
    <row r="555" spans="1:5">
      <c r="A555">
        <v>2007</v>
      </c>
      <c r="B555" t="s">
        <v>0</v>
      </c>
      <c r="C555" t="s">
        <v>77</v>
      </c>
      <c r="D555" t="s">
        <v>13</v>
      </c>
      <c r="E555">
        <v>19.34629</v>
      </c>
    </row>
    <row r="556" spans="1:5">
      <c r="A556">
        <v>2007</v>
      </c>
      <c r="B556" t="s">
        <v>0</v>
      </c>
      <c r="C556" t="s">
        <v>78</v>
      </c>
      <c r="D556" t="s">
        <v>13</v>
      </c>
      <c r="E556">
        <v>38.350282</v>
      </c>
    </row>
    <row r="557" spans="1:5">
      <c r="A557">
        <v>2007</v>
      </c>
      <c r="B557" t="s">
        <v>36</v>
      </c>
      <c r="C557" t="s">
        <v>36</v>
      </c>
      <c r="D557" t="s">
        <v>14</v>
      </c>
      <c r="E557">
        <v>4.2245730000000004</v>
      </c>
    </row>
    <row r="558" spans="1:5">
      <c r="A558">
        <v>2007</v>
      </c>
      <c r="B558" t="s">
        <v>37</v>
      </c>
      <c r="C558" t="s">
        <v>43</v>
      </c>
      <c r="D558" t="s">
        <v>14</v>
      </c>
      <c r="E558">
        <v>5.1522448000000001</v>
      </c>
    </row>
    <row r="559" spans="1:5">
      <c r="A559">
        <v>2007</v>
      </c>
      <c r="B559" t="s">
        <v>37</v>
      </c>
      <c r="C559" t="s">
        <v>44</v>
      </c>
      <c r="D559" t="s">
        <v>14</v>
      </c>
      <c r="E559">
        <v>4.4234955999999999</v>
      </c>
    </row>
    <row r="560" spans="1:5">
      <c r="A560">
        <v>2007</v>
      </c>
      <c r="B560" t="s">
        <v>37</v>
      </c>
      <c r="C560" t="s">
        <v>45</v>
      </c>
      <c r="D560" t="s">
        <v>14</v>
      </c>
      <c r="E560">
        <v>2.9635598000000001</v>
      </c>
    </row>
    <row r="561" spans="1:5">
      <c r="A561">
        <v>2007</v>
      </c>
      <c r="B561" t="s">
        <v>37</v>
      </c>
      <c r="C561" t="s">
        <v>46</v>
      </c>
      <c r="D561" t="s">
        <v>14</v>
      </c>
      <c r="E561">
        <v>2.964388</v>
      </c>
    </row>
    <row r="562" spans="1:5">
      <c r="A562">
        <v>2007</v>
      </c>
      <c r="B562" t="s">
        <v>38</v>
      </c>
      <c r="C562" t="s">
        <v>47</v>
      </c>
      <c r="D562" t="s">
        <v>14</v>
      </c>
      <c r="E562">
        <v>4.4405720999999998</v>
      </c>
    </row>
    <row r="563" spans="1:5">
      <c r="A563">
        <v>2007</v>
      </c>
      <c r="B563" t="s">
        <v>38</v>
      </c>
      <c r="C563" t="s">
        <v>48</v>
      </c>
      <c r="D563" t="s">
        <v>14</v>
      </c>
      <c r="E563">
        <v>4.3858398000000003</v>
      </c>
    </row>
    <row r="564" spans="1:5">
      <c r="A564">
        <v>2007</v>
      </c>
      <c r="B564" t="s">
        <v>38</v>
      </c>
      <c r="C564" t="s">
        <v>49</v>
      </c>
      <c r="D564" t="s">
        <v>14</v>
      </c>
      <c r="E564">
        <v>3.9301721999999999</v>
      </c>
    </row>
    <row r="565" spans="1:5">
      <c r="A565">
        <v>2007</v>
      </c>
      <c r="B565" t="s">
        <v>38</v>
      </c>
      <c r="C565" t="s">
        <v>50</v>
      </c>
      <c r="D565" t="s">
        <v>14</v>
      </c>
      <c r="E565">
        <v>4.0690451000000003</v>
      </c>
    </row>
    <row r="566" spans="1:5">
      <c r="A566">
        <v>2007</v>
      </c>
      <c r="B566" t="s">
        <v>39</v>
      </c>
      <c r="C566" t="s">
        <v>51</v>
      </c>
      <c r="D566" t="s">
        <v>14</v>
      </c>
      <c r="E566">
        <v>4.0243530999999999</v>
      </c>
    </row>
    <row r="567" spans="1:5">
      <c r="A567">
        <v>2007</v>
      </c>
      <c r="B567" t="s">
        <v>39</v>
      </c>
      <c r="C567" t="s">
        <v>52</v>
      </c>
      <c r="D567" t="s">
        <v>14</v>
      </c>
      <c r="E567">
        <v>4.4276713000000001</v>
      </c>
    </row>
    <row r="568" spans="1:5">
      <c r="A568">
        <v>2007</v>
      </c>
      <c r="B568" t="s">
        <v>40</v>
      </c>
      <c r="C568" t="s">
        <v>53</v>
      </c>
      <c r="D568" t="s">
        <v>14</v>
      </c>
      <c r="E568">
        <v>4.6860350999999998</v>
      </c>
    </row>
    <row r="569" spans="1:5">
      <c r="A569">
        <v>2007</v>
      </c>
      <c r="B569" t="s">
        <v>40</v>
      </c>
      <c r="C569" t="s">
        <v>54</v>
      </c>
      <c r="D569" t="s">
        <v>14</v>
      </c>
      <c r="E569">
        <v>3.8561812</v>
      </c>
    </row>
    <row r="570" spans="1:5">
      <c r="A570">
        <v>2007</v>
      </c>
      <c r="B570" t="s">
        <v>41</v>
      </c>
      <c r="C570" t="s">
        <v>55</v>
      </c>
      <c r="D570" t="s">
        <v>14</v>
      </c>
      <c r="E570">
        <v>4.4939948999999997</v>
      </c>
    </row>
    <row r="571" spans="1:5">
      <c r="A571">
        <v>2007</v>
      </c>
      <c r="B571" t="s">
        <v>41</v>
      </c>
      <c r="C571" t="s">
        <v>56</v>
      </c>
      <c r="D571" t="s">
        <v>14</v>
      </c>
      <c r="E571">
        <v>4.0603005000000003</v>
      </c>
    </row>
    <row r="572" spans="1:5">
      <c r="A572">
        <v>2007</v>
      </c>
      <c r="B572" t="s">
        <v>42</v>
      </c>
      <c r="C572" t="s">
        <v>57</v>
      </c>
      <c r="D572" t="s">
        <v>14</v>
      </c>
      <c r="E572">
        <v>4.3323093000000004</v>
      </c>
    </row>
    <row r="573" spans="1:5">
      <c r="A573">
        <v>2007</v>
      </c>
      <c r="B573" t="s">
        <v>42</v>
      </c>
      <c r="C573" t="s">
        <v>58</v>
      </c>
      <c r="D573" t="s">
        <v>14</v>
      </c>
      <c r="E573">
        <v>4.4422185000000001</v>
      </c>
    </row>
    <row r="574" spans="1:5">
      <c r="A574">
        <v>2007</v>
      </c>
      <c r="B574" t="s">
        <v>42</v>
      </c>
      <c r="C574" t="s">
        <v>59</v>
      </c>
      <c r="D574" t="s">
        <v>14</v>
      </c>
      <c r="E574">
        <v>4.4066900000000002</v>
      </c>
    </row>
    <row r="575" spans="1:5">
      <c r="A575">
        <v>2007</v>
      </c>
      <c r="B575" t="s">
        <v>42</v>
      </c>
      <c r="C575" t="s">
        <v>60</v>
      </c>
      <c r="D575" t="s">
        <v>14</v>
      </c>
      <c r="E575">
        <v>3.8189183</v>
      </c>
    </row>
    <row r="576" spans="1:5">
      <c r="A576">
        <v>2007</v>
      </c>
      <c r="B576" t="s">
        <v>0</v>
      </c>
      <c r="C576" t="s">
        <v>61</v>
      </c>
      <c r="D576" t="s">
        <v>14</v>
      </c>
      <c r="E576">
        <v>1.2030642</v>
      </c>
    </row>
    <row r="577" spans="1:5">
      <c r="A577">
        <v>2007</v>
      </c>
      <c r="B577" t="s">
        <v>0</v>
      </c>
      <c r="C577" t="s">
        <v>62</v>
      </c>
      <c r="D577" t="s">
        <v>14</v>
      </c>
      <c r="E577">
        <v>3.1141869</v>
      </c>
    </row>
    <row r="578" spans="1:5">
      <c r="A578">
        <v>2007</v>
      </c>
      <c r="B578" t="s">
        <v>0</v>
      </c>
      <c r="C578" t="s">
        <v>63</v>
      </c>
      <c r="D578" t="s">
        <v>14</v>
      </c>
      <c r="E578">
        <v>2.9159519999999999</v>
      </c>
    </row>
    <row r="579" spans="1:5">
      <c r="A579">
        <v>2007</v>
      </c>
      <c r="B579" t="s">
        <v>0</v>
      </c>
      <c r="C579" t="s">
        <v>64</v>
      </c>
      <c r="D579" t="s">
        <v>14</v>
      </c>
      <c r="E579">
        <v>1.3905733</v>
      </c>
    </row>
    <row r="580" spans="1:5">
      <c r="A580">
        <v>2007</v>
      </c>
      <c r="B580" t="s">
        <v>0</v>
      </c>
      <c r="C580" t="s">
        <v>65</v>
      </c>
      <c r="D580" t="s">
        <v>14</v>
      </c>
      <c r="E580">
        <v>1.9170601</v>
      </c>
    </row>
    <row r="581" spans="1:5">
      <c r="A581">
        <v>2007</v>
      </c>
      <c r="B581" t="s">
        <v>0</v>
      </c>
      <c r="C581" t="s">
        <v>66</v>
      </c>
      <c r="D581" t="s">
        <v>14</v>
      </c>
      <c r="E581">
        <v>3.329199</v>
      </c>
    </row>
    <row r="582" spans="1:5">
      <c r="A582">
        <v>2007</v>
      </c>
      <c r="B582" t="s">
        <v>0</v>
      </c>
      <c r="C582" t="s">
        <v>67</v>
      </c>
      <c r="D582" t="s">
        <v>14</v>
      </c>
      <c r="E582">
        <v>5.3820620999999997</v>
      </c>
    </row>
    <row r="583" spans="1:5">
      <c r="A583">
        <v>2007</v>
      </c>
      <c r="B583" t="s">
        <v>0</v>
      </c>
      <c r="C583" t="s">
        <v>68</v>
      </c>
      <c r="D583" t="s">
        <v>14</v>
      </c>
      <c r="E583">
        <v>1.8628281</v>
      </c>
    </row>
    <row r="584" spans="1:5">
      <c r="A584">
        <v>2007</v>
      </c>
      <c r="B584" t="s">
        <v>0</v>
      </c>
      <c r="C584" t="s">
        <v>69</v>
      </c>
      <c r="D584" t="s">
        <v>14</v>
      </c>
      <c r="E584">
        <v>8.3254003999999995</v>
      </c>
    </row>
    <row r="585" spans="1:5">
      <c r="A585">
        <v>2007</v>
      </c>
      <c r="B585" t="s">
        <v>0</v>
      </c>
      <c r="C585" t="s">
        <v>70</v>
      </c>
      <c r="D585" t="s">
        <v>14</v>
      </c>
      <c r="E585">
        <v>3.6789765999999999</v>
      </c>
    </row>
    <row r="586" spans="1:5">
      <c r="A586">
        <v>2007</v>
      </c>
      <c r="B586" t="s">
        <v>0</v>
      </c>
      <c r="C586" t="s">
        <v>71</v>
      </c>
      <c r="D586" t="s">
        <v>14</v>
      </c>
      <c r="E586">
        <v>4.8885076999999999</v>
      </c>
    </row>
    <row r="587" spans="1:5">
      <c r="A587">
        <v>2007</v>
      </c>
      <c r="B587" t="s">
        <v>0</v>
      </c>
      <c r="C587" t="s">
        <v>72</v>
      </c>
      <c r="D587" t="s">
        <v>14</v>
      </c>
      <c r="E587">
        <v>5.7858003</v>
      </c>
    </row>
    <row r="588" spans="1:5">
      <c r="A588">
        <v>2007</v>
      </c>
      <c r="B588" t="s">
        <v>0</v>
      </c>
      <c r="C588" t="s">
        <v>73</v>
      </c>
      <c r="D588" t="s">
        <v>14</v>
      </c>
      <c r="E588">
        <v>6.6396059000000003</v>
      </c>
    </row>
    <row r="589" spans="1:5">
      <c r="A589">
        <v>2007</v>
      </c>
      <c r="B589" t="s">
        <v>0</v>
      </c>
      <c r="C589" t="s">
        <v>74</v>
      </c>
      <c r="D589" t="s">
        <v>14</v>
      </c>
      <c r="E589">
        <v>0.69204151999999997</v>
      </c>
    </row>
    <row r="590" spans="1:5">
      <c r="A590">
        <v>2007</v>
      </c>
      <c r="B590" t="s">
        <v>0</v>
      </c>
      <c r="C590" t="s">
        <v>75</v>
      </c>
      <c r="D590" t="s">
        <v>14</v>
      </c>
      <c r="E590">
        <v>0.70890562999999995</v>
      </c>
    </row>
    <row r="591" spans="1:5">
      <c r="A591">
        <v>2007</v>
      </c>
      <c r="B591" t="s">
        <v>0</v>
      </c>
      <c r="C591" t="s">
        <v>76</v>
      </c>
      <c r="D591" t="s">
        <v>14</v>
      </c>
      <c r="E591">
        <v>6.4486659</v>
      </c>
    </row>
    <row r="592" spans="1:5">
      <c r="A592">
        <v>2007</v>
      </c>
      <c r="B592" t="s">
        <v>0</v>
      </c>
      <c r="C592" t="s">
        <v>77</v>
      </c>
      <c r="D592" t="s">
        <v>14</v>
      </c>
      <c r="E592">
        <v>1.1484099000000001</v>
      </c>
    </row>
    <row r="593" spans="1:5">
      <c r="A593">
        <v>2007</v>
      </c>
      <c r="B593" t="s">
        <v>0</v>
      </c>
      <c r="C593" t="s">
        <v>78</v>
      </c>
      <c r="D593" t="s">
        <v>14</v>
      </c>
      <c r="E593">
        <v>18.55283</v>
      </c>
    </row>
    <row r="594" spans="1:5">
      <c r="A594">
        <v>2009</v>
      </c>
      <c r="B594" t="s">
        <v>36</v>
      </c>
      <c r="C594" t="s">
        <v>36</v>
      </c>
      <c r="D594" t="s">
        <v>11</v>
      </c>
      <c r="E594">
        <v>24.525943999999999</v>
      </c>
    </row>
    <row r="595" spans="1:5">
      <c r="A595">
        <v>2009</v>
      </c>
      <c r="B595" t="s">
        <v>37</v>
      </c>
      <c r="C595" t="s">
        <v>43</v>
      </c>
      <c r="D595" t="s">
        <v>11</v>
      </c>
      <c r="E595">
        <v>25.073560000000001</v>
      </c>
    </row>
    <row r="596" spans="1:5">
      <c r="A596">
        <v>2009</v>
      </c>
      <c r="B596" t="s">
        <v>37</v>
      </c>
      <c r="C596" t="s">
        <v>44</v>
      </c>
      <c r="D596" t="s">
        <v>11</v>
      </c>
      <c r="E596">
        <v>24.321455</v>
      </c>
    </row>
    <row r="597" spans="1:5">
      <c r="A597">
        <v>2009</v>
      </c>
      <c r="B597" t="s">
        <v>37</v>
      </c>
      <c r="C597" t="s">
        <v>45</v>
      </c>
      <c r="D597" t="s">
        <v>11</v>
      </c>
      <c r="E597">
        <v>23.209347999999999</v>
      </c>
    </row>
    <row r="598" spans="1:5">
      <c r="A598">
        <v>2009</v>
      </c>
      <c r="B598" t="s">
        <v>37</v>
      </c>
      <c r="C598" t="s">
        <v>46</v>
      </c>
      <c r="D598" t="s">
        <v>11</v>
      </c>
      <c r="E598">
        <v>26.991612</v>
      </c>
    </row>
    <row r="599" spans="1:5">
      <c r="A599">
        <v>2009</v>
      </c>
      <c r="B599" t="s">
        <v>38</v>
      </c>
      <c r="C599" t="s">
        <v>47</v>
      </c>
      <c r="D599" t="s">
        <v>11</v>
      </c>
      <c r="E599">
        <v>21.978387999999999</v>
      </c>
    </row>
    <row r="600" spans="1:5">
      <c r="A600">
        <v>2009</v>
      </c>
      <c r="B600" t="s">
        <v>38</v>
      </c>
      <c r="C600" t="s">
        <v>48</v>
      </c>
      <c r="D600" t="s">
        <v>11</v>
      </c>
      <c r="E600">
        <v>24.901426000000001</v>
      </c>
    </row>
    <row r="601" spans="1:5">
      <c r="A601">
        <v>2009</v>
      </c>
      <c r="B601" t="s">
        <v>38</v>
      </c>
      <c r="C601" t="s">
        <v>49</v>
      </c>
      <c r="D601" t="s">
        <v>11</v>
      </c>
      <c r="E601">
        <v>25.381872000000001</v>
      </c>
    </row>
    <row r="602" spans="1:5">
      <c r="A602">
        <v>2009</v>
      </c>
      <c r="B602" t="s">
        <v>38</v>
      </c>
      <c r="C602" t="s">
        <v>50</v>
      </c>
      <c r="D602" t="s">
        <v>11</v>
      </c>
      <c r="E602">
        <v>25.52505</v>
      </c>
    </row>
    <row r="603" spans="1:5">
      <c r="A603">
        <v>2009</v>
      </c>
      <c r="B603" t="s">
        <v>39</v>
      </c>
      <c r="C603" t="s">
        <v>51</v>
      </c>
      <c r="D603" t="s">
        <v>11</v>
      </c>
      <c r="E603">
        <v>24.566330000000001</v>
      </c>
    </row>
    <row r="604" spans="1:5">
      <c r="A604">
        <v>2009</v>
      </c>
      <c r="B604" t="s">
        <v>39</v>
      </c>
      <c r="C604" t="s">
        <v>52</v>
      </c>
      <c r="D604" t="s">
        <v>11</v>
      </c>
      <c r="E604">
        <v>24.483930999999998</v>
      </c>
    </row>
    <row r="605" spans="1:5">
      <c r="A605">
        <v>2009</v>
      </c>
      <c r="B605" t="s">
        <v>40</v>
      </c>
      <c r="C605" t="s">
        <v>53</v>
      </c>
      <c r="D605" t="s">
        <v>11</v>
      </c>
      <c r="E605">
        <v>23.775932999999998</v>
      </c>
    </row>
    <row r="606" spans="1:5">
      <c r="A606">
        <v>2009</v>
      </c>
      <c r="B606" t="s">
        <v>40</v>
      </c>
      <c r="C606" t="s">
        <v>54</v>
      </c>
      <c r="D606" t="s">
        <v>11</v>
      </c>
      <c r="E606">
        <v>25.099564000000001</v>
      </c>
    </row>
    <row r="607" spans="1:5">
      <c r="A607">
        <v>2009</v>
      </c>
      <c r="B607" t="s">
        <v>41</v>
      </c>
      <c r="C607" t="s">
        <v>55</v>
      </c>
      <c r="D607" t="s">
        <v>11</v>
      </c>
      <c r="E607">
        <v>24.813907</v>
      </c>
    </row>
    <row r="608" spans="1:5">
      <c r="A608">
        <v>2009</v>
      </c>
      <c r="B608" t="s">
        <v>41</v>
      </c>
      <c r="C608" t="s">
        <v>56</v>
      </c>
      <c r="D608" t="s">
        <v>11</v>
      </c>
      <c r="E608">
        <v>24.452241999999998</v>
      </c>
    </row>
    <row r="609" spans="1:5">
      <c r="A609">
        <v>2009</v>
      </c>
      <c r="B609" t="s">
        <v>42</v>
      </c>
      <c r="C609" t="s">
        <v>57</v>
      </c>
      <c r="D609" t="s">
        <v>11</v>
      </c>
      <c r="E609">
        <v>22.648374</v>
      </c>
    </row>
    <row r="610" spans="1:5">
      <c r="A610">
        <v>2009</v>
      </c>
      <c r="B610" t="s">
        <v>42</v>
      </c>
      <c r="C610" t="s">
        <v>58</v>
      </c>
      <c r="D610" t="s">
        <v>11</v>
      </c>
      <c r="E610">
        <v>23.848253</v>
      </c>
    </row>
    <row r="611" spans="1:5">
      <c r="A611">
        <v>2009</v>
      </c>
      <c r="B611" t="s">
        <v>42</v>
      </c>
      <c r="C611" t="s">
        <v>59</v>
      </c>
      <c r="D611" t="s">
        <v>11</v>
      </c>
      <c r="E611">
        <v>24.945753</v>
      </c>
    </row>
    <row r="612" spans="1:5">
      <c r="A612">
        <v>2009</v>
      </c>
      <c r="B612" t="s">
        <v>42</v>
      </c>
      <c r="C612" t="s">
        <v>60</v>
      </c>
      <c r="D612" t="s">
        <v>11</v>
      </c>
      <c r="E612">
        <v>25.330369000000001</v>
      </c>
    </row>
    <row r="613" spans="1:5">
      <c r="A613">
        <v>2009</v>
      </c>
      <c r="B613" t="s">
        <v>0</v>
      </c>
      <c r="C613" t="s">
        <v>61</v>
      </c>
      <c r="D613" t="s">
        <v>11</v>
      </c>
      <c r="E613">
        <v>44.270187</v>
      </c>
    </row>
    <row r="614" spans="1:5">
      <c r="A614">
        <v>2009</v>
      </c>
      <c r="B614" t="s">
        <v>0</v>
      </c>
      <c r="C614" t="s">
        <v>62</v>
      </c>
      <c r="D614" t="s">
        <v>11</v>
      </c>
      <c r="E614">
        <v>14.814814999999999</v>
      </c>
    </row>
    <row r="615" spans="1:5">
      <c r="A615">
        <v>2009</v>
      </c>
      <c r="B615" t="s">
        <v>0</v>
      </c>
      <c r="C615" t="s">
        <v>63</v>
      </c>
      <c r="D615" t="s">
        <v>11</v>
      </c>
      <c r="E615">
        <v>24.978687000000001</v>
      </c>
    </row>
    <row r="616" spans="1:5">
      <c r="A616">
        <v>2009</v>
      </c>
      <c r="B616" t="s">
        <v>0</v>
      </c>
      <c r="C616" t="s">
        <v>64</v>
      </c>
      <c r="D616" t="s">
        <v>11</v>
      </c>
      <c r="E616">
        <v>27.686098000000001</v>
      </c>
    </row>
    <row r="617" spans="1:5">
      <c r="A617">
        <v>2009</v>
      </c>
      <c r="B617" t="s">
        <v>0</v>
      </c>
      <c r="C617" t="s">
        <v>65</v>
      </c>
      <c r="D617" t="s">
        <v>11</v>
      </c>
      <c r="E617">
        <v>27.576450999999999</v>
      </c>
    </row>
    <row r="618" spans="1:5">
      <c r="A618">
        <v>2009</v>
      </c>
      <c r="B618" t="s">
        <v>0</v>
      </c>
      <c r="C618" t="s">
        <v>66</v>
      </c>
      <c r="D618" t="s">
        <v>11</v>
      </c>
      <c r="E618">
        <v>17.230443999999999</v>
      </c>
    </row>
    <row r="619" spans="1:5">
      <c r="A619">
        <v>2009</v>
      </c>
      <c r="B619" t="s">
        <v>0</v>
      </c>
      <c r="C619" t="s">
        <v>67</v>
      </c>
      <c r="D619" t="s">
        <v>11</v>
      </c>
      <c r="E619">
        <v>22.723790000000001</v>
      </c>
    </row>
    <row r="620" spans="1:5">
      <c r="A620">
        <v>2009</v>
      </c>
      <c r="B620" t="s">
        <v>0</v>
      </c>
      <c r="C620" t="s">
        <v>68</v>
      </c>
      <c r="D620" t="s">
        <v>11</v>
      </c>
      <c r="E620">
        <v>18.460191999999999</v>
      </c>
    </row>
    <row r="621" spans="1:5">
      <c r="A621">
        <v>2009</v>
      </c>
      <c r="B621" t="s">
        <v>0</v>
      </c>
      <c r="C621" t="s">
        <v>69</v>
      </c>
      <c r="D621" t="s">
        <v>11</v>
      </c>
      <c r="E621">
        <v>27.679262000000001</v>
      </c>
    </row>
    <row r="622" spans="1:5">
      <c r="A622">
        <v>2009</v>
      </c>
      <c r="B622" t="s">
        <v>0</v>
      </c>
      <c r="C622" t="s">
        <v>70</v>
      </c>
      <c r="D622" t="s">
        <v>11</v>
      </c>
      <c r="E622">
        <v>29.239231</v>
      </c>
    </row>
    <row r="623" spans="1:5">
      <c r="A623">
        <v>2009</v>
      </c>
      <c r="B623" t="s">
        <v>0</v>
      </c>
      <c r="C623" t="s">
        <v>71</v>
      </c>
      <c r="D623" t="s">
        <v>11</v>
      </c>
      <c r="E623">
        <v>32.130583999999999</v>
      </c>
    </row>
    <row r="624" spans="1:5">
      <c r="A624">
        <v>2009</v>
      </c>
      <c r="B624" t="s">
        <v>0</v>
      </c>
      <c r="C624" t="s">
        <v>72</v>
      </c>
      <c r="D624" t="s">
        <v>11</v>
      </c>
      <c r="E624">
        <v>25.752825999999999</v>
      </c>
    </row>
    <row r="625" spans="1:5">
      <c r="A625">
        <v>2009</v>
      </c>
      <c r="B625" t="s">
        <v>0</v>
      </c>
      <c r="C625" t="s">
        <v>73</v>
      </c>
      <c r="D625" t="s">
        <v>11</v>
      </c>
      <c r="E625">
        <v>18.124341000000001</v>
      </c>
    </row>
    <row r="626" spans="1:5">
      <c r="A626">
        <v>2009</v>
      </c>
      <c r="B626" t="s">
        <v>0</v>
      </c>
      <c r="C626" t="s">
        <v>74</v>
      </c>
      <c r="D626" t="s">
        <v>11</v>
      </c>
      <c r="E626">
        <v>21.327434</v>
      </c>
    </row>
    <row r="627" spans="1:5">
      <c r="A627">
        <v>2009</v>
      </c>
      <c r="B627" t="s">
        <v>0</v>
      </c>
      <c r="C627" t="s">
        <v>75</v>
      </c>
      <c r="D627" t="s">
        <v>11</v>
      </c>
      <c r="E627">
        <v>30.227519000000001</v>
      </c>
    </row>
    <row r="628" spans="1:5">
      <c r="A628">
        <v>2009</v>
      </c>
      <c r="B628" t="s">
        <v>0</v>
      </c>
      <c r="C628" t="s">
        <v>76</v>
      </c>
      <c r="D628" t="s">
        <v>11</v>
      </c>
      <c r="E628">
        <v>25.865210000000001</v>
      </c>
    </row>
    <row r="629" spans="1:5">
      <c r="A629">
        <v>2009</v>
      </c>
      <c r="B629" t="s">
        <v>0</v>
      </c>
      <c r="C629" t="s">
        <v>77</v>
      </c>
      <c r="D629" t="s">
        <v>11</v>
      </c>
      <c r="E629">
        <v>9.5067264999999992</v>
      </c>
    </row>
    <row r="630" spans="1:5">
      <c r="A630">
        <v>2009</v>
      </c>
      <c r="B630" t="s">
        <v>0</v>
      </c>
      <c r="C630" t="s">
        <v>78</v>
      </c>
      <c r="D630" t="s">
        <v>11</v>
      </c>
      <c r="E630">
        <v>22.067685999999998</v>
      </c>
    </row>
    <row r="631" spans="1:5">
      <c r="A631">
        <v>2009</v>
      </c>
      <c r="B631" t="s">
        <v>36</v>
      </c>
      <c r="C631" t="s">
        <v>36</v>
      </c>
      <c r="D631" t="s">
        <v>12</v>
      </c>
      <c r="E631">
        <v>53.515881999999998</v>
      </c>
    </row>
    <row r="632" spans="1:5">
      <c r="A632">
        <v>2009</v>
      </c>
      <c r="B632" t="s">
        <v>37</v>
      </c>
      <c r="C632" t="s">
        <v>43</v>
      </c>
      <c r="D632" t="s">
        <v>12</v>
      </c>
      <c r="E632">
        <v>51.700451999999999</v>
      </c>
    </row>
    <row r="633" spans="1:5">
      <c r="A633">
        <v>2009</v>
      </c>
      <c r="B633" t="s">
        <v>37</v>
      </c>
      <c r="C633" t="s">
        <v>44</v>
      </c>
      <c r="D633" t="s">
        <v>12</v>
      </c>
      <c r="E633">
        <v>53.729916000000003</v>
      </c>
    </row>
    <row r="634" spans="1:5">
      <c r="A634">
        <v>2009</v>
      </c>
      <c r="B634" t="s">
        <v>37</v>
      </c>
      <c r="C634" t="s">
        <v>45</v>
      </c>
      <c r="D634" t="s">
        <v>12</v>
      </c>
      <c r="E634">
        <v>54.901620999999999</v>
      </c>
    </row>
    <row r="635" spans="1:5">
      <c r="A635">
        <v>2009</v>
      </c>
      <c r="B635" t="s">
        <v>37</v>
      </c>
      <c r="C635" t="s">
        <v>46</v>
      </c>
      <c r="D635" t="s">
        <v>12</v>
      </c>
      <c r="E635">
        <v>55.554741999999997</v>
      </c>
    </row>
    <row r="636" spans="1:5">
      <c r="A636">
        <v>2009</v>
      </c>
      <c r="B636" t="s">
        <v>38</v>
      </c>
      <c r="C636" t="s">
        <v>47</v>
      </c>
      <c r="D636" t="s">
        <v>12</v>
      </c>
      <c r="E636">
        <v>53.638646999999999</v>
      </c>
    </row>
    <row r="637" spans="1:5">
      <c r="A637">
        <v>2009</v>
      </c>
      <c r="B637" t="s">
        <v>38</v>
      </c>
      <c r="C637" t="s">
        <v>48</v>
      </c>
      <c r="D637" t="s">
        <v>12</v>
      </c>
      <c r="E637">
        <v>53.296545999999999</v>
      </c>
    </row>
    <row r="638" spans="1:5">
      <c r="A638">
        <v>2009</v>
      </c>
      <c r="B638" t="s">
        <v>38</v>
      </c>
      <c r="C638" t="s">
        <v>49</v>
      </c>
      <c r="D638" t="s">
        <v>12</v>
      </c>
      <c r="E638">
        <v>53.731785000000002</v>
      </c>
    </row>
    <row r="639" spans="1:5">
      <c r="A639">
        <v>2009</v>
      </c>
      <c r="B639" t="s">
        <v>38</v>
      </c>
      <c r="C639" t="s">
        <v>50</v>
      </c>
      <c r="D639" t="s">
        <v>12</v>
      </c>
      <c r="E639">
        <v>53.403160999999997</v>
      </c>
    </row>
    <row r="640" spans="1:5">
      <c r="A640">
        <v>2009</v>
      </c>
      <c r="B640" t="s">
        <v>39</v>
      </c>
      <c r="C640" t="s">
        <v>51</v>
      </c>
      <c r="D640" t="s">
        <v>12</v>
      </c>
      <c r="E640">
        <v>54.261716</v>
      </c>
    </row>
    <row r="641" spans="1:5">
      <c r="A641">
        <v>2009</v>
      </c>
      <c r="B641" t="s">
        <v>39</v>
      </c>
      <c r="C641" t="s">
        <v>52</v>
      </c>
      <c r="D641" t="s">
        <v>12</v>
      </c>
      <c r="E641">
        <v>52.740009000000001</v>
      </c>
    </row>
    <row r="642" spans="1:5">
      <c r="A642">
        <v>2009</v>
      </c>
      <c r="B642" t="s">
        <v>40</v>
      </c>
      <c r="C642" t="s">
        <v>53</v>
      </c>
      <c r="D642" t="s">
        <v>12</v>
      </c>
      <c r="E642">
        <v>53.283005000000003</v>
      </c>
    </row>
    <row r="643" spans="1:5">
      <c r="A643">
        <v>2009</v>
      </c>
      <c r="B643" t="s">
        <v>40</v>
      </c>
      <c r="C643" t="s">
        <v>54</v>
      </c>
      <c r="D643" t="s">
        <v>12</v>
      </c>
      <c r="E643">
        <v>53.699505000000002</v>
      </c>
    </row>
    <row r="644" spans="1:5">
      <c r="A644">
        <v>2009</v>
      </c>
      <c r="B644" t="s">
        <v>41</v>
      </c>
      <c r="C644" t="s">
        <v>55</v>
      </c>
      <c r="D644" t="s">
        <v>12</v>
      </c>
      <c r="E644">
        <v>53.316837</v>
      </c>
    </row>
    <row r="645" spans="1:5">
      <c r="A645">
        <v>2009</v>
      </c>
      <c r="B645" t="s">
        <v>41</v>
      </c>
      <c r="C645" t="s">
        <v>56</v>
      </c>
      <c r="D645" t="s">
        <v>12</v>
      </c>
      <c r="E645">
        <v>53.593988000000003</v>
      </c>
    </row>
    <row r="646" spans="1:5">
      <c r="A646">
        <v>2009</v>
      </c>
      <c r="B646" t="s">
        <v>42</v>
      </c>
      <c r="C646" t="s">
        <v>57</v>
      </c>
      <c r="D646" t="s">
        <v>12</v>
      </c>
      <c r="E646">
        <v>47.400199000000001</v>
      </c>
    </row>
    <row r="647" spans="1:5">
      <c r="A647">
        <v>2009</v>
      </c>
      <c r="B647" t="s">
        <v>42</v>
      </c>
      <c r="C647" t="s">
        <v>58</v>
      </c>
      <c r="D647" t="s">
        <v>12</v>
      </c>
      <c r="E647">
        <v>53.594268</v>
      </c>
    </row>
    <row r="648" spans="1:5">
      <c r="A648">
        <v>2009</v>
      </c>
      <c r="B648" t="s">
        <v>42</v>
      </c>
      <c r="C648" t="s">
        <v>59</v>
      </c>
      <c r="D648" t="s">
        <v>12</v>
      </c>
      <c r="E648">
        <v>53.221519000000001</v>
      </c>
    </row>
    <row r="649" spans="1:5">
      <c r="A649">
        <v>2009</v>
      </c>
      <c r="B649" t="s">
        <v>42</v>
      </c>
      <c r="C649" t="s">
        <v>60</v>
      </c>
      <c r="D649" t="s">
        <v>12</v>
      </c>
      <c r="E649">
        <v>54.002622000000002</v>
      </c>
    </row>
    <row r="650" spans="1:5">
      <c r="A650">
        <v>2009</v>
      </c>
      <c r="B650" t="s">
        <v>0</v>
      </c>
      <c r="C650" t="s">
        <v>61</v>
      </c>
      <c r="D650" t="s">
        <v>12</v>
      </c>
      <c r="E650">
        <v>51.276045000000003</v>
      </c>
    </row>
    <row r="651" spans="1:5">
      <c r="A651">
        <v>2009</v>
      </c>
      <c r="B651" t="s">
        <v>0</v>
      </c>
      <c r="C651" t="s">
        <v>62</v>
      </c>
      <c r="D651" t="s">
        <v>12</v>
      </c>
      <c r="E651">
        <v>48.853616000000002</v>
      </c>
    </row>
    <row r="652" spans="1:5">
      <c r="A652">
        <v>2009</v>
      </c>
      <c r="B652" t="s">
        <v>0</v>
      </c>
      <c r="C652" t="s">
        <v>63</v>
      </c>
      <c r="D652" t="s">
        <v>12</v>
      </c>
      <c r="E652">
        <v>58.397272000000001</v>
      </c>
    </row>
    <row r="653" spans="1:5">
      <c r="A653">
        <v>2009</v>
      </c>
      <c r="B653" t="s">
        <v>0</v>
      </c>
      <c r="C653" t="s">
        <v>64</v>
      </c>
      <c r="D653" t="s">
        <v>12</v>
      </c>
      <c r="E653">
        <v>57.388826000000002</v>
      </c>
    </row>
    <row r="654" spans="1:5">
      <c r="A654">
        <v>2009</v>
      </c>
      <c r="B654" t="s">
        <v>0</v>
      </c>
      <c r="C654" t="s">
        <v>65</v>
      </c>
      <c r="D654" t="s">
        <v>12</v>
      </c>
      <c r="E654">
        <v>53.262025999999999</v>
      </c>
    </row>
    <row r="655" spans="1:5">
      <c r="A655">
        <v>2009</v>
      </c>
      <c r="B655" t="s">
        <v>0</v>
      </c>
      <c r="C655" t="s">
        <v>66</v>
      </c>
      <c r="D655" t="s">
        <v>12</v>
      </c>
      <c r="E655">
        <v>52.325581</v>
      </c>
    </row>
    <row r="656" spans="1:5">
      <c r="A656">
        <v>2009</v>
      </c>
      <c r="B656" t="s">
        <v>0</v>
      </c>
      <c r="C656" t="s">
        <v>67</v>
      </c>
      <c r="D656" t="s">
        <v>12</v>
      </c>
      <c r="E656">
        <v>48.830337999999998</v>
      </c>
    </row>
    <row r="657" spans="1:5">
      <c r="A657">
        <v>2009</v>
      </c>
      <c r="B657" t="s">
        <v>0</v>
      </c>
      <c r="C657" t="s">
        <v>68</v>
      </c>
      <c r="D657" t="s">
        <v>12</v>
      </c>
      <c r="E657">
        <v>52.580927000000003</v>
      </c>
    </row>
    <row r="658" spans="1:5">
      <c r="A658">
        <v>2009</v>
      </c>
      <c r="B658" t="s">
        <v>0</v>
      </c>
      <c r="C658" t="s">
        <v>69</v>
      </c>
      <c r="D658" t="s">
        <v>12</v>
      </c>
      <c r="E658">
        <v>57.538012000000002</v>
      </c>
    </row>
    <row r="659" spans="1:5">
      <c r="A659">
        <v>2009</v>
      </c>
      <c r="B659" t="s">
        <v>0</v>
      </c>
      <c r="C659" t="s">
        <v>70</v>
      </c>
      <c r="D659" t="s">
        <v>12</v>
      </c>
      <c r="E659">
        <v>50.151586000000002</v>
      </c>
    </row>
    <row r="660" spans="1:5">
      <c r="A660">
        <v>2009</v>
      </c>
      <c r="B660" t="s">
        <v>0</v>
      </c>
      <c r="C660" t="s">
        <v>71</v>
      </c>
      <c r="D660" t="s">
        <v>12</v>
      </c>
      <c r="E660">
        <v>52.233677</v>
      </c>
    </row>
    <row r="661" spans="1:5">
      <c r="A661">
        <v>2009</v>
      </c>
      <c r="B661" t="s">
        <v>0</v>
      </c>
      <c r="C661" t="s">
        <v>72</v>
      </c>
      <c r="D661" t="s">
        <v>12</v>
      </c>
      <c r="E661">
        <v>54.959077999999998</v>
      </c>
    </row>
    <row r="662" spans="1:5">
      <c r="A662">
        <v>2009</v>
      </c>
      <c r="B662" t="s">
        <v>0</v>
      </c>
      <c r="C662" t="s">
        <v>73</v>
      </c>
      <c r="D662" t="s">
        <v>12</v>
      </c>
      <c r="E662">
        <v>54.899895000000001</v>
      </c>
    </row>
    <row r="663" spans="1:5">
      <c r="A663">
        <v>2009</v>
      </c>
      <c r="B663" t="s">
        <v>0</v>
      </c>
      <c r="C663" t="s">
        <v>74</v>
      </c>
      <c r="D663" t="s">
        <v>12</v>
      </c>
      <c r="E663">
        <v>67.522124000000005</v>
      </c>
    </row>
    <row r="664" spans="1:5">
      <c r="A664">
        <v>2009</v>
      </c>
      <c r="B664" t="s">
        <v>0</v>
      </c>
      <c r="C664" t="s">
        <v>75</v>
      </c>
      <c r="D664" t="s">
        <v>12</v>
      </c>
      <c r="E664">
        <v>52.416035000000001</v>
      </c>
    </row>
    <row r="665" spans="1:5">
      <c r="A665">
        <v>2009</v>
      </c>
      <c r="B665" t="s">
        <v>0</v>
      </c>
      <c r="C665" t="s">
        <v>76</v>
      </c>
      <c r="D665" t="s">
        <v>12</v>
      </c>
      <c r="E665">
        <v>48.043368999999998</v>
      </c>
    </row>
    <row r="666" spans="1:5">
      <c r="A666">
        <v>2009</v>
      </c>
      <c r="B666" t="s">
        <v>0</v>
      </c>
      <c r="C666" t="s">
        <v>77</v>
      </c>
      <c r="D666" t="s">
        <v>12</v>
      </c>
      <c r="E666">
        <v>56.681614000000003</v>
      </c>
    </row>
    <row r="667" spans="1:5">
      <c r="A667">
        <v>2009</v>
      </c>
      <c r="B667" t="s">
        <v>0</v>
      </c>
      <c r="C667" t="s">
        <v>78</v>
      </c>
      <c r="D667" t="s">
        <v>12</v>
      </c>
      <c r="E667">
        <v>44.297832</v>
      </c>
    </row>
    <row r="668" spans="1:5">
      <c r="A668">
        <v>2009</v>
      </c>
      <c r="B668" t="s">
        <v>36</v>
      </c>
      <c r="C668" t="s">
        <v>36</v>
      </c>
      <c r="D668" t="s">
        <v>13</v>
      </c>
      <c r="E668">
        <v>19.426942</v>
      </c>
    </row>
    <row r="669" spans="1:5">
      <c r="A669">
        <v>2009</v>
      </c>
      <c r="B669" t="s">
        <v>37</v>
      </c>
      <c r="C669" t="s">
        <v>43</v>
      </c>
      <c r="D669" t="s">
        <v>13</v>
      </c>
      <c r="E669">
        <v>20.237245999999999</v>
      </c>
    </row>
    <row r="670" spans="1:5">
      <c r="A670">
        <v>2009</v>
      </c>
      <c r="B670" t="s">
        <v>37</v>
      </c>
      <c r="C670" t="s">
        <v>44</v>
      </c>
      <c r="D670" t="s">
        <v>13</v>
      </c>
      <c r="E670">
        <v>19.528189000000001</v>
      </c>
    </row>
    <row r="671" spans="1:5">
      <c r="A671">
        <v>2009</v>
      </c>
      <c r="B671" t="s">
        <v>37</v>
      </c>
      <c r="C671" t="s">
        <v>45</v>
      </c>
      <c r="D671" t="s">
        <v>13</v>
      </c>
      <c r="E671">
        <v>19.777191999999999</v>
      </c>
    </row>
    <row r="672" spans="1:5">
      <c r="A672">
        <v>2009</v>
      </c>
      <c r="B672" t="s">
        <v>37</v>
      </c>
      <c r="C672" t="s">
        <v>46</v>
      </c>
      <c r="D672" t="s">
        <v>13</v>
      </c>
      <c r="E672">
        <v>14.940175999999999</v>
      </c>
    </row>
    <row r="673" spans="1:5">
      <c r="A673">
        <v>2009</v>
      </c>
      <c r="B673" t="s">
        <v>38</v>
      </c>
      <c r="C673" t="s">
        <v>47</v>
      </c>
      <c r="D673" t="s">
        <v>13</v>
      </c>
      <c r="E673">
        <v>21.721824999999999</v>
      </c>
    </row>
    <row r="674" spans="1:5">
      <c r="A674">
        <v>2009</v>
      </c>
      <c r="B674" t="s">
        <v>38</v>
      </c>
      <c r="C674" t="s">
        <v>48</v>
      </c>
      <c r="D674" t="s">
        <v>13</v>
      </c>
      <c r="E674">
        <v>19.314782000000001</v>
      </c>
    </row>
    <row r="675" spans="1:5">
      <c r="A675">
        <v>2009</v>
      </c>
      <c r="B675" t="s">
        <v>38</v>
      </c>
      <c r="C675" t="s">
        <v>49</v>
      </c>
      <c r="D675" t="s">
        <v>13</v>
      </c>
      <c r="E675">
        <v>18.278544</v>
      </c>
    </row>
    <row r="676" spans="1:5">
      <c r="A676">
        <v>2009</v>
      </c>
      <c r="B676" t="s">
        <v>38</v>
      </c>
      <c r="C676" t="s">
        <v>50</v>
      </c>
      <c r="D676" t="s">
        <v>13</v>
      </c>
      <c r="E676">
        <v>18.909246</v>
      </c>
    </row>
    <row r="677" spans="1:5">
      <c r="A677">
        <v>2009</v>
      </c>
      <c r="B677" t="s">
        <v>39</v>
      </c>
      <c r="C677" t="s">
        <v>51</v>
      </c>
      <c r="D677" t="s">
        <v>13</v>
      </c>
      <c r="E677">
        <v>18.725563999999999</v>
      </c>
    </row>
    <row r="678" spans="1:5">
      <c r="A678">
        <v>2009</v>
      </c>
      <c r="B678" t="s">
        <v>39</v>
      </c>
      <c r="C678" t="s">
        <v>52</v>
      </c>
      <c r="D678" t="s">
        <v>13</v>
      </c>
      <c r="E678">
        <v>20.156569000000001</v>
      </c>
    </row>
    <row r="679" spans="1:5">
      <c r="A679">
        <v>2009</v>
      </c>
      <c r="B679" t="s">
        <v>40</v>
      </c>
      <c r="C679" t="s">
        <v>53</v>
      </c>
      <c r="D679" t="s">
        <v>13</v>
      </c>
      <c r="E679">
        <v>20.169316999999999</v>
      </c>
    </row>
    <row r="680" spans="1:5">
      <c r="A680">
        <v>2009</v>
      </c>
      <c r="B680" t="s">
        <v>40</v>
      </c>
      <c r="C680" t="s">
        <v>54</v>
      </c>
      <c r="D680" t="s">
        <v>13</v>
      </c>
      <c r="E680">
        <v>18.846046999999999</v>
      </c>
    </row>
    <row r="681" spans="1:5">
      <c r="A681">
        <v>2009</v>
      </c>
      <c r="B681" t="s">
        <v>41</v>
      </c>
      <c r="C681" t="s">
        <v>55</v>
      </c>
      <c r="D681" t="s">
        <v>13</v>
      </c>
      <c r="E681">
        <v>19.238351999999999</v>
      </c>
    </row>
    <row r="682" spans="1:5">
      <c r="A682">
        <v>2009</v>
      </c>
      <c r="B682" t="s">
        <v>41</v>
      </c>
      <c r="C682" t="s">
        <v>56</v>
      </c>
      <c r="D682" t="s">
        <v>13</v>
      </c>
      <c r="E682">
        <v>19.483049999999999</v>
      </c>
    </row>
    <row r="683" spans="1:5">
      <c r="A683">
        <v>2009</v>
      </c>
      <c r="B683" t="s">
        <v>42</v>
      </c>
      <c r="C683" t="s">
        <v>57</v>
      </c>
      <c r="D683" t="s">
        <v>13</v>
      </c>
      <c r="E683">
        <v>26.783662</v>
      </c>
    </row>
    <row r="684" spans="1:5">
      <c r="A684">
        <v>2009</v>
      </c>
      <c r="B684" t="s">
        <v>42</v>
      </c>
      <c r="C684" t="s">
        <v>58</v>
      </c>
      <c r="D684" t="s">
        <v>13</v>
      </c>
      <c r="E684">
        <v>19.945402000000001</v>
      </c>
    </row>
    <row r="685" spans="1:5">
      <c r="A685">
        <v>2009</v>
      </c>
      <c r="B685" t="s">
        <v>42</v>
      </c>
      <c r="C685" t="s">
        <v>59</v>
      </c>
      <c r="D685" t="s">
        <v>13</v>
      </c>
      <c r="E685">
        <v>19.317287</v>
      </c>
    </row>
    <row r="686" spans="1:5">
      <c r="A686">
        <v>2009</v>
      </c>
      <c r="B686" t="s">
        <v>42</v>
      </c>
      <c r="C686" t="s">
        <v>60</v>
      </c>
      <c r="D686" t="s">
        <v>13</v>
      </c>
      <c r="E686">
        <v>17.391594000000001</v>
      </c>
    </row>
    <row r="687" spans="1:5">
      <c r="A687">
        <v>2009</v>
      </c>
      <c r="B687" t="s">
        <v>0</v>
      </c>
      <c r="C687" t="s">
        <v>61</v>
      </c>
      <c r="D687" t="s">
        <v>13</v>
      </c>
      <c r="E687">
        <v>4.0825586999999999</v>
      </c>
    </row>
    <row r="688" spans="1:5">
      <c r="A688">
        <v>2009</v>
      </c>
      <c r="B688" t="s">
        <v>0</v>
      </c>
      <c r="C688" t="s">
        <v>62</v>
      </c>
      <c r="D688" t="s">
        <v>13</v>
      </c>
      <c r="E688">
        <v>33.950617000000001</v>
      </c>
    </row>
    <row r="689" spans="1:5">
      <c r="A689">
        <v>2009</v>
      </c>
      <c r="B689" t="s">
        <v>0</v>
      </c>
      <c r="C689" t="s">
        <v>63</v>
      </c>
      <c r="D689" t="s">
        <v>13</v>
      </c>
      <c r="E689">
        <v>15.345269</v>
      </c>
    </row>
    <row r="690" spans="1:5">
      <c r="A690">
        <v>2009</v>
      </c>
      <c r="B690" t="s">
        <v>0</v>
      </c>
      <c r="C690" t="s">
        <v>64</v>
      </c>
      <c r="D690" t="s">
        <v>13</v>
      </c>
      <c r="E690">
        <v>13.027215999999999</v>
      </c>
    </row>
    <row r="691" spans="1:5">
      <c r="A691">
        <v>2009</v>
      </c>
      <c r="B691" t="s">
        <v>0</v>
      </c>
      <c r="C691" t="s">
        <v>65</v>
      </c>
      <c r="D691" t="s">
        <v>13</v>
      </c>
      <c r="E691">
        <v>16.747375000000002</v>
      </c>
    </row>
    <row r="692" spans="1:5">
      <c r="A692">
        <v>2009</v>
      </c>
      <c r="B692" t="s">
        <v>0</v>
      </c>
      <c r="C692" t="s">
        <v>66</v>
      </c>
      <c r="D692" t="s">
        <v>13</v>
      </c>
      <c r="E692">
        <v>25.898520000000001</v>
      </c>
    </row>
    <row r="693" spans="1:5">
      <c r="A693">
        <v>2009</v>
      </c>
      <c r="B693" t="s">
        <v>0</v>
      </c>
      <c r="C693" t="s">
        <v>67</v>
      </c>
      <c r="D693" t="s">
        <v>13</v>
      </c>
      <c r="E693">
        <v>22.886935000000001</v>
      </c>
    </row>
    <row r="694" spans="1:5">
      <c r="A694">
        <v>2009</v>
      </c>
      <c r="B694" t="s">
        <v>0</v>
      </c>
      <c r="C694" t="s">
        <v>68</v>
      </c>
      <c r="D694" t="s">
        <v>13</v>
      </c>
      <c r="E694">
        <v>26.421697000000002</v>
      </c>
    </row>
    <row r="695" spans="1:5">
      <c r="A695">
        <v>2009</v>
      </c>
      <c r="B695" t="s">
        <v>0</v>
      </c>
      <c r="C695" t="s">
        <v>69</v>
      </c>
      <c r="D695" t="s">
        <v>13</v>
      </c>
      <c r="E695">
        <v>12.874696</v>
      </c>
    </row>
    <row r="696" spans="1:5">
      <c r="A696">
        <v>2009</v>
      </c>
      <c r="B696" t="s">
        <v>0</v>
      </c>
      <c r="C696" t="s">
        <v>70</v>
      </c>
      <c r="D696" t="s">
        <v>13</v>
      </c>
      <c r="E696">
        <v>16.962816</v>
      </c>
    </row>
    <row r="697" spans="1:5">
      <c r="A697">
        <v>2009</v>
      </c>
      <c r="B697" t="s">
        <v>0</v>
      </c>
      <c r="C697" t="s">
        <v>71</v>
      </c>
      <c r="D697" t="s">
        <v>13</v>
      </c>
      <c r="E697">
        <v>13.402062000000001</v>
      </c>
    </row>
    <row r="698" spans="1:5">
      <c r="A698">
        <v>2009</v>
      </c>
      <c r="B698" t="s">
        <v>0</v>
      </c>
      <c r="C698" t="s">
        <v>72</v>
      </c>
      <c r="D698" t="s">
        <v>13</v>
      </c>
      <c r="E698">
        <v>16.544611</v>
      </c>
    </row>
    <row r="699" spans="1:5">
      <c r="A699">
        <v>2009</v>
      </c>
      <c r="B699" t="s">
        <v>0</v>
      </c>
      <c r="C699" t="s">
        <v>73</v>
      </c>
      <c r="D699" t="s">
        <v>13</v>
      </c>
      <c r="E699">
        <v>22.866174999999998</v>
      </c>
    </row>
    <row r="700" spans="1:5">
      <c r="A700">
        <v>2009</v>
      </c>
      <c r="B700" t="s">
        <v>0</v>
      </c>
      <c r="C700" t="s">
        <v>74</v>
      </c>
      <c r="D700" t="s">
        <v>13</v>
      </c>
      <c r="E700">
        <v>10.619469</v>
      </c>
    </row>
    <row r="701" spans="1:5">
      <c r="A701">
        <v>2009</v>
      </c>
      <c r="B701" t="s">
        <v>0</v>
      </c>
      <c r="C701" t="s">
        <v>75</v>
      </c>
      <c r="D701" t="s">
        <v>13</v>
      </c>
      <c r="E701">
        <v>15.297941</v>
      </c>
    </row>
    <row r="702" spans="1:5">
      <c r="A702">
        <v>2009</v>
      </c>
      <c r="B702" t="s">
        <v>0</v>
      </c>
      <c r="C702" t="s">
        <v>76</v>
      </c>
      <c r="D702" t="s">
        <v>13</v>
      </c>
      <c r="E702">
        <v>22.533109</v>
      </c>
    </row>
    <row r="703" spans="1:5">
      <c r="A703">
        <v>2009</v>
      </c>
      <c r="B703" t="s">
        <v>0</v>
      </c>
      <c r="C703" t="s">
        <v>77</v>
      </c>
      <c r="D703" t="s">
        <v>13</v>
      </c>
      <c r="E703">
        <v>32.197308999999997</v>
      </c>
    </row>
    <row r="704" spans="1:5">
      <c r="A704">
        <v>2009</v>
      </c>
      <c r="B704" t="s">
        <v>0</v>
      </c>
      <c r="C704" t="s">
        <v>78</v>
      </c>
      <c r="D704" t="s">
        <v>13</v>
      </c>
      <c r="E704">
        <v>29.966975000000001</v>
      </c>
    </row>
    <row r="705" spans="1:5">
      <c r="A705">
        <v>2009</v>
      </c>
      <c r="B705" t="s">
        <v>36</v>
      </c>
      <c r="C705" t="s">
        <v>36</v>
      </c>
      <c r="D705" t="s">
        <v>14</v>
      </c>
      <c r="E705">
        <v>2.5312321999999998</v>
      </c>
    </row>
    <row r="706" spans="1:5">
      <c r="A706">
        <v>2009</v>
      </c>
      <c r="B706" t="s">
        <v>37</v>
      </c>
      <c r="C706" t="s">
        <v>43</v>
      </c>
      <c r="D706" t="s">
        <v>14</v>
      </c>
      <c r="E706">
        <v>2.9887429000000001</v>
      </c>
    </row>
    <row r="707" spans="1:5">
      <c r="A707">
        <v>2009</v>
      </c>
      <c r="B707" t="s">
        <v>37</v>
      </c>
      <c r="C707" t="s">
        <v>44</v>
      </c>
      <c r="D707" t="s">
        <v>14</v>
      </c>
      <c r="E707">
        <v>2.4204403999999999</v>
      </c>
    </row>
    <row r="708" spans="1:5">
      <c r="A708">
        <v>2009</v>
      </c>
      <c r="B708" t="s">
        <v>37</v>
      </c>
      <c r="C708" t="s">
        <v>45</v>
      </c>
      <c r="D708" t="s">
        <v>14</v>
      </c>
      <c r="E708">
        <v>2.1118389</v>
      </c>
    </row>
    <row r="709" spans="1:5">
      <c r="A709">
        <v>2009</v>
      </c>
      <c r="B709" t="s">
        <v>37</v>
      </c>
      <c r="C709" t="s">
        <v>46</v>
      </c>
      <c r="D709" t="s">
        <v>14</v>
      </c>
      <c r="E709">
        <v>2.5134699</v>
      </c>
    </row>
    <row r="710" spans="1:5">
      <c r="A710">
        <v>2009</v>
      </c>
      <c r="B710" t="s">
        <v>38</v>
      </c>
      <c r="C710" t="s">
        <v>47</v>
      </c>
      <c r="D710" t="s">
        <v>14</v>
      </c>
      <c r="E710">
        <v>2.6611405000000001</v>
      </c>
    </row>
    <row r="711" spans="1:5">
      <c r="A711">
        <v>2009</v>
      </c>
      <c r="B711" t="s">
        <v>38</v>
      </c>
      <c r="C711" t="s">
        <v>48</v>
      </c>
      <c r="D711" t="s">
        <v>14</v>
      </c>
      <c r="E711">
        <v>2.4872459999999998</v>
      </c>
    </row>
    <row r="712" spans="1:5">
      <c r="A712">
        <v>2009</v>
      </c>
      <c r="B712" t="s">
        <v>38</v>
      </c>
      <c r="C712" t="s">
        <v>49</v>
      </c>
      <c r="D712" t="s">
        <v>14</v>
      </c>
      <c r="E712">
        <v>2.6077997000000002</v>
      </c>
    </row>
    <row r="713" spans="1:5">
      <c r="A713">
        <v>2009</v>
      </c>
      <c r="B713" t="s">
        <v>38</v>
      </c>
      <c r="C713" t="s">
        <v>50</v>
      </c>
      <c r="D713" t="s">
        <v>14</v>
      </c>
      <c r="E713">
        <v>2.1625434000000001</v>
      </c>
    </row>
    <row r="714" spans="1:5">
      <c r="A714">
        <v>2009</v>
      </c>
      <c r="B714" t="s">
        <v>39</v>
      </c>
      <c r="C714" t="s">
        <v>51</v>
      </c>
      <c r="D714" t="s">
        <v>14</v>
      </c>
      <c r="E714">
        <v>2.4463906</v>
      </c>
    </row>
    <row r="715" spans="1:5">
      <c r="A715">
        <v>2009</v>
      </c>
      <c r="B715" t="s">
        <v>39</v>
      </c>
      <c r="C715" t="s">
        <v>52</v>
      </c>
      <c r="D715" t="s">
        <v>14</v>
      </c>
      <c r="E715">
        <v>2.6194907999999999</v>
      </c>
    </row>
    <row r="716" spans="1:5">
      <c r="A716">
        <v>2009</v>
      </c>
      <c r="B716" t="s">
        <v>40</v>
      </c>
      <c r="C716" t="s">
        <v>53</v>
      </c>
      <c r="D716" t="s">
        <v>14</v>
      </c>
      <c r="E716">
        <v>2.7717448999999998</v>
      </c>
    </row>
    <row r="717" spans="1:5">
      <c r="A717">
        <v>2009</v>
      </c>
      <c r="B717" t="s">
        <v>40</v>
      </c>
      <c r="C717" t="s">
        <v>54</v>
      </c>
      <c r="D717" t="s">
        <v>14</v>
      </c>
      <c r="E717">
        <v>2.3548841</v>
      </c>
    </row>
    <row r="718" spans="1:5">
      <c r="A718">
        <v>2009</v>
      </c>
      <c r="B718" t="s">
        <v>41</v>
      </c>
      <c r="C718" t="s">
        <v>55</v>
      </c>
      <c r="D718" t="s">
        <v>14</v>
      </c>
      <c r="E718">
        <v>2.6309038999999999</v>
      </c>
    </row>
    <row r="719" spans="1:5">
      <c r="A719">
        <v>2009</v>
      </c>
      <c r="B719" t="s">
        <v>41</v>
      </c>
      <c r="C719" t="s">
        <v>56</v>
      </c>
      <c r="D719" t="s">
        <v>14</v>
      </c>
      <c r="E719">
        <v>2.4707197999999999</v>
      </c>
    </row>
    <row r="720" spans="1:5">
      <c r="A720">
        <v>2009</v>
      </c>
      <c r="B720" t="s">
        <v>42</v>
      </c>
      <c r="C720" t="s">
        <v>57</v>
      </c>
      <c r="D720" t="s">
        <v>14</v>
      </c>
      <c r="E720">
        <v>3.1677647000000002</v>
      </c>
    </row>
    <row r="721" spans="1:5">
      <c r="A721">
        <v>2009</v>
      </c>
      <c r="B721" t="s">
        <v>42</v>
      </c>
      <c r="C721" t="s">
        <v>58</v>
      </c>
      <c r="D721" t="s">
        <v>14</v>
      </c>
      <c r="E721">
        <v>2.6120768000000001</v>
      </c>
    </row>
    <row r="722" spans="1:5">
      <c r="A722">
        <v>2009</v>
      </c>
      <c r="B722" t="s">
        <v>42</v>
      </c>
      <c r="C722" t="s">
        <v>59</v>
      </c>
      <c r="D722" t="s">
        <v>14</v>
      </c>
      <c r="E722">
        <v>2.5154413</v>
      </c>
    </row>
    <row r="723" spans="1:5">
      <c r="A723">
        <v>2009</v>
      </c>
      <c r="B723" t="s">
        <v>42</v>
      </c>
      <c r="C723" t="s">
        <v>60</v>
      </c>
      <c r="D723" t="s">
        <v>14</v>
      </c>
      <c r="E723">
        <v>3.2754154999999998</v>
      </c>
    </row>
    <row r="724" spans="1:5">
      <c r="A724">
        <v>2009</v>
      </c>
      <c r="B724" t="s">
        <v>0</v>
      </c>
      <c r="C724" t="s">
        <v>61</v>
      </c>
      <c r="D724" t="s">
        <v>14</v>
      </c>
      <c r="E724">
        <v>0.37120945</v>
      </c>
    </row>
    <row r="725" spans="1:5">
      <c r="A725">
        <v>2009</v>
      </c>
      <c r="B725" t="s">
        <v>0</v>
      </c>
      <c r="C725" t="s">
        <v>62</v>
      </c>
      <c r="D725" t="s">
        <v>14</v>
      </c>
      <c r="E725">
        <v>2.3809524</v>
      </c>
    </row>
    <row r="726" spans="1:5">
      <c r="A726">
        <v>2009</v>
      </c>
      <c r="B726" t="s">
        <v>0</v>
      </c>
      <c r="C726" t="s">
        <v>63</v>
      </c>
      <c r="D726" t="s">
        <v>14</v>
      </c>
      <c r="E726">
        <v>1.2787724</v>
      </c>
    </row>
    <row r="727" spans="1:5">
      <c r="A727">
        <v>2009</v>
      </c>
      <c r="B727" t="s">
        <v>0</v>
      </c>
      <c r="C727" t="s">
        <v>64</v>
      </c>
      <c r="D727" t="s">
        <v>14</v>
      </c>
      <c r="E727">
        <v>1.8978605</v>
      </c>
    </row>
    <row r="728" spans="1:5">
      <c r="A728">
        <v>2009</v>
      </c>
      <c r="B728" t="s">
        <v>0</v>
      </c>
      <c r="C728" t="s">
        <v>65</v>
      </c>
      <c r="D728" t="s">
        <v>14</v>
      </c>
      <c r="E728">
        <v>2.4141479000000001</v>
      </c>
    </row>
    <row r="729" spans="1:5">
      <c r="A729">
        <v>2009</v>
      </c>
      <c r="B729" t="s">
        <v>0</v>
      </c>
      <c r="C729" t="s">
        <v>66</v>
      </c>
      <c r="D729" t="s">
        <v>14</v>
      </c>
      <c r="E729">
        <v>4.5454545</v>
      </c>
    </row>
    <row r="730" spans="1:5">
      <c r="A730">
        <v>2009</v>
      </c>
      <c r="B730" t="s">
        <v>0</v>
      </c>
      <c r="C730" t="s">
        <v>67</v>
      </c>
      <c r="D730" t="s">
        <v>14</v>
      </c>
      <c r="E730">
        <v>5.5589367000000003</v>
      </c>
    </row>
    <row r="731" spans="1:5">
      <c r="A731">
        <v>2009</v>
      </c>
      <c r="B731" t="s">
        <v>0</v>
      </c>
      <c r="C731" t="s">
        <v>68</v>
      </c>
      <c r="D731" t="s">
        <v>14</v>
      </c>
      <c r="E731">
        <v>2.5371828999999999</v>
      </c>
    </row>
    <row r="732" spans="1:5">
      <c r="A732">
        <v>2009</v>
      </c>
      <c r="B732" t="s">
        <v>0</v>
      </c>
      <c r="C732" t="s">
        <v>69</v>
      </c>
      <c r="D732" t="s">
        <v>14</v>
      </c>
      <c r="E732">
        <v>1.9080294</v>
      </c>
    </row>
    <row r="733" spans="1:5">
      <c r="A733">
        <v>2009</v>
      </c>
      <c r="B733" t="s">
        <v>0</v>
      </c>
      <c r="C733" t="s">
        <v>70</v>
      </c>
      <c r="D733" t="s">
        <v>14</v>
      </c>
      <c r="E733">
        <v>3.6463671999999998</v>
      </c>
    </row>
    <row r="734" spans="1:5">
      <c r="A734">
        <v>2009</v>
      </c>
      <c r="B734" t="s">
        <v>0</v>
      </c>
      <c r="C734" t="s">
        <v>71</v>
      </c>
      <c r="D734" t="s">
        <v>14</v>
      </c>
      <c r="E734">
        <v>2.2336770000000001</v>
      </c>
    </row>
    <row r="735" spans="1:5">
      <c r="A735">
        <v>2009</v>
      </c>
      <c r="B735" t="s">
        <v>0</v>
      </c>
      <c r="C735" t="s">
        <v>72</v>
      </c>
      <c r="D735" t="s">
        <v>14</v>
      </c>
      <c r="E735">
        <v>2.7434858000000002</v>
      </c>
    </row>
    <row r="736" spans="1:5">
      <c r="A736">
        <v>2009</v>
      </c>
      <c r="B736" t="s">
        <v>0</v>
      </c>
      <c r="C736" t="s">
        <v>73</v>
      </c>
      <c r="D736" t="s">
        <v>14</v>
      </c>
      <c r="E736">
        <v>4.1095889999999997</v>
      </c>
    </row>
    <row r="737" spans="1:5">
      <c r="A737">
        <v>2009</v>
      </c>
      <c r="B737" t="s">
        <v>0</v>
      </c>
      <c r="C737" t="s">
        <v>74</v>
      </c>
      <c r="D737" t="s">
        <v>14</v>
      </c>
      <c r="E737">
        <v>0.53097344999999996</v>
      </c>
    </row>
    <row r="738" spans="1:5">
      <c r="A738">
        <v>2009</v>
      </c>
      <c r="B738" t="s">
        <v>0</v>
      </c>
      <c r="C738" t="s">
        <v>75</v>
      </c>
      <c r="D738" t="s">
        <v>14</v>
      </c>
      <c r="E738">
        <v>2.0585049</v>
      </c>
    </row>
    <row r="739" spans="1:5">
      <c r="A739">
        <v>2009</v>
      </c>
      <c r="B739" t="s">
        <v>0</v>
      </c>
      <c r="C739" t="s">
        <v>76</v>
      </c>
      <c r="D739" t="s">
        <v>14</v>
      </c>
      <c r="E739">
        <v>3.5583122</v>
      </c>
    </row>
    <row r="740" spans="1:5">
      <c r="A740">
        <v>2009</v>
      </c>
      <c r="B740" t="s">
        <v>0</v>
      </c>
      <c r="C740" t="s">
        <v>77</v>
      </c>
      <c r="D740" t="s">
        <v>14</v>
      </c>
      <c r="E740">
        <v>1.6143498000000001</v>
      </c>
    </row>
    <row r="741" spans="1:5">
      <c r="A741">
        <v>2009</v>
      </c>
      <c r="B741" t="s">
        <v>0</v>
      </c>
      <c r="C741" t="s">
        <v>78</v>
      </c>
      <c r="D741" t="s">
        <v>14</v>
      </c>
      <c r="E741">
        <v>3.6675065999999998</v>
      </c>
    </row>
    <row r="742" spans="1:5">
      <c r="A742">
        <v>2010</v>
      </c>
      <c r="B742" t="s">
        <v>36</v>
      </c>
      <c r="C742" t="s">
        <v>36</v>
      </c>
      <c r="D742" t="s">
        <v>11</v>
      </c>
      <c r="E742">
        <v>24.852412999999999</v>
      </c>
    </row>
    <row r="743" spans="1:5">
      <c r="A743">
        <v>2010</v>
      </c>
      <c r="B743" t="s">
        <v>37</v>
      </c>
      <c r="C743" t="s">
        <v>43</v>
      </c>
      <c r="D743" t="s">
        <v>11</v>
      </c>
      <c r="E743">
        <v>26.53125</v>
      </c>
    </row>
    <row r="744" spans="1:5">
      <c r="A744">
        <v>2010</v>
      </c>
      <c r="B744" t="s">
        <v>37</v>
      </c>
      <c r="C744" t="s">
        <v>44</v>
      </c>
      <c r="D744" t="s">
        <v>11</v>
      </c>
      <c r="E744">
        <v>24.332843</v>
      </c>
    </row>
    <row r="745" spans="1:5">
      <c r="A745">
        <v>2010</v>
      </c>
      <c r="B745" t="s">
        <v>37</v>
      </c>
      <c r="C745" t="s">
        <v>45</v>
      </c>
      <c r="D745" t="s">
        <v>11</v>
      </c>
      <c r="E745">
        <v>23.684068</v>
      </c>
    </row>
    <row r="746" spans="1:5">
      <c r="A746">
        <v>2010</v>
      </c>
      <c r="B746" t="s">
        <v>37</v>
      </c>
      <c r="C746" t="s">
        <v>46</v>
      </c>
      <c r="D746" t="s">
        <v>11</v>
      </c>
      <c r="E746">
        <v>25.326065</v>
      </c>
    </row>
    <row r="747" spans="1:5">
      <c r="A747">
        <v>2010</v>
      </c>
      <c r="B747" t="s">
        <v>38</v>
      </c>
      <c r="C747" t="s">
        <v>47</v>
      </c>
      <c r="D747" t="s">
        <v>11</v>
      </c>
      <c r="E747">
        <v>22.252628000000001</v>
      </c>
    </row>
    <row r="748" spans="1:5">
      <c r="A748">
        <v>2010</v>
      </c>
      <c r="B748" t="s">
        <v>38</v>
      </c>
      <c r="C748" t="s">
        <v>48</v>
      </c>
      <c r="D748" t="s">
        <v>11</v>
      </c>
      <c r="E748">
        <v>25.363804999999999</v>
      </c>
    </row>
    <row r="749" spans="1:5">
      <c r="A749">
        <v>2010</v>
      </c>
      <c r="B749" t="s">
        <v>38</v>
      </c>
      <c r="C749" t="s">
        <v>49</v>
      </c>
      <c r="D749" t="s">
        <v>11</v>
      </c>
      <c r="E749">
        <v>25.033086000000001</v>
      </c>
    </row>
    <row r="750" spans="1:5">
      <c r="A750">
        <v>2010</v>
      </c>
      <c r="B750" t="s">
        <v>38</v>
      </c>
      <c r="C750" t="s">
        <v>50</v>
      </c>
      <c r="D750" t="s">
        <v>11</v>
      </c>
      <c r="E750">
        <v>27.858585000000001</v>
      </c>
    </row>
    <row r="751" spans="1:5">
      <c r="A751">
        <v>2010</v>
      </c>
      <c r="B751" t="s">
        <v>39</v>
      </c>
      <c r="C751" t="s">
        <v>51</v>
      </c>
      <c r="D751" t="s">
        <v>11</v>
      </c>
      <c r="E751">
        <v>25.094601999999998</v>
      </c>
    </row>
    <row r="752" spans="1:5">
      <c r="A752">
        <v>2010</v>
      </c>
      <c r="B752" t="s">
        <v>39</v>
      </c>
      <c r="C752" t="s">
        <v>52</v>
      </c>
      <c r="D752" t="s">
        <v>11</v>
      </c>
      <c r="E752">
        <v>24.601589000000001</v>
      </c>
    </row>
    <row r="753" spans="1:5">
      <c r="A753">
        <v>2010</v>
      </c>
      <c r="B753" t="s">
        <v>40</v>
      </c>
      <c r="C753" t="s">
        <v>53</v>
      </c>
      <c r="D753" t="s">
        <v>11</v>
      </c>
      <c r="E753">
        <v>24.785485999999999</v>
      </c>
    </row>
    <row r="754" spans="1:5">
      <c r="A754">
        <v>2010</v>
      </c>
      <c r="B754" t="s">
        <v>40</v>
      </c>
      <c r="C754" t="s">
        <v>54</v>
      </c>
      <c r="D754" t="s">
        <v>11</v>
      </c>
      <c r="E754">
        <v>24.914384999999999</v>
      </c>
    </row>
    <row r="755" spans="1:5">
      <c r="A755">
        <v>2010</v>
      </c>
      <c r="B755" t="s">
        <v>41</v>
      </c>
      <c r="C755" t="s">
        <v>55</v>
      </c>
      <c r="D755" t="s">
        <v>11</v>
      </c>
      <c r="E755">
        <v>24.253374000000001</v>
      </c>
    </row>
    <row r="756" spans="1:5">
      <c r="A756">
        <v>2010</v>
      </c>
      <c r="B756" t="s">
        <v>41</v>
      </c>
      <c r="C756" t="s">
        <v>56</v>
      </c>
      <c r="D756" t="s">
        <v>11</v>
      </c>
      <c r="E756">
        <v>25.100148000000001</v>
      </c>
    </row>
    <row r="757" spans="1:5">
      <c r="A757">
        <v>2010</v>
      </c>
      <c r="B757" t="s">
        <v>42</v>
      </c>
      <c r="C757" t="s">
        <v>57</v>
      </c>
      <c r="D757" t="s">
        <v>11</v>
      </c>
      <c r="E757">
        <v>18.391611999999999</v>
      </c>
    </row>
    <row r="758" spans="1:5">
      <c r="A758">
        <v>2010</v>
      </c>
      <c r="B758" t="s">
        <v>42</v>
      </c>
      <c r="C758" t="s">
        <v>58</v>
      </c>
      <c r="D758" t="s">
        <v>11</v>
      </c>
      <c r="E758">
        <v>24.606069000000002</v>
      </c>
    </row>
    <row r="759" spans="1:5">
      <c r="A759">
        <v>2010</v>
      </c>
      <c r="B759" t="s">
        <v>42</v>
      </c>
      <c r="C759" t="s">
        <v>59</v>
      </c>
      <c r="D759" t="s">
        <v>11</v>
      </c>
      <c r="E759">
        <v>24.141307999999999</v>
      </c>
    </row>
    <row r="760" spans="1:5">
      <c r="A760">
        <v>2010</v>
      </c>
      <c r="B760" t="s">
        <v>42</v>
      </c>
      <c r="C760" t="s">
        <v>60</v>
      </c>
      <c r="D760" t="s">
        <v>11</v>
      </c>
      <c r="E760">
        <v>30.548157</v>
      </c>
    </row>
    <row r="761" spans="1:5">
      <c r="A761">
        <v>2010</v>
      </c>
      <c r="B761" t="s">
        <v>0</v>
      </c>
      <c r="C761" t="s">
        <v>61</v>
      </c>
      <c r="D761" t="s">
        <v>11</v>
      </c>
      <c r="E761">
        <v>33.976940999999997</v>
      </c>
    </row>
    <row r="762" spans="1:5">
      <c r="A762">
        <v>2010</v>
      </c>
      <c r="B762" t="s">
        <v>0</v>
      </c>
      <c r="C762" t="s">
        <v>62</v>
      </c>
      <c r="D762" t="s">
        <v>11</v>
      </c>
      <c r="E762">
        <v>16.530427</v>
      </c>
    </row>
    <row r="763" spans="1:5">
      <c r="A763">
        <v>2010</v>
      </c>
      <c r="B763" t="s">
        <v>0</v>
      </c>
      <c r="C763" t="s">
        <v>63</v>
      </c>
      <c r="D763" t="s">
        <v>11</v>
      </c>
      <c r="E763">
        <v>16.695651999999999</v>
      </c>
    </row>
    <row r="764" spans="1:5">
      <c r="A764">
        <v>2010</v>
      </c>
      <c r="B764" t="s">
        <v>0</v>
      </c>
      <c r="C764" t="s">
        <v>64</v>
      </c>
      <c r="D764" t="s">
        <v>11</v>
      </c>
      <c r="E764">
        <v>37.268841000000002</v>
      </c>
    </row>
    <row r="765" spans="1:5">
      <c r="A765">
        <v>2010</v>
      </c>
      <c r="B765" t="s">
        <v>0</v>
      </c>
      <c r="C765" t="s">
        <v>65</v>
      </c>
      <c r="D765" t="s">
        <v>11</v>
      </c>
      <c r="E765">
        <v>32.236657000000001</v>
      </c>
    </row>
    <row r="766" spans="1:5">
      <c r="A766">
        <v>2010</v>
      </c>
      <c r="B766" t="s">
        <v>0</v>
      </c>
      <c r="C766" t="s">
        <v>66</v>
      </c>
      <c r="D766" t="s">
        <v>11</v>
      </c>
      <c r="E766">
        <v>19.875775999999998</v>
      </c>
    </row>
    <row r="767" spans="1:5">
      <c r="A767">
        <v>2010</v>
      </c>
      <c r="B767" t="s">
        <v>0</v>
      </c>
      <c r="C767" t="s">
        <v>67</v>
      </c>
      <c r="D767" t="s">
        <v>11</v>
      </c>
      <c r="E767">
        <v>42.317839999999997</v>
      </c>
    </row>
    <row r="768" spans="1:5">
      <c r="A768">
        <v>2010</v>
      </c>
      <c r="B768" t="s">
        <v>0</v>
      </c>
      <c r="C768" t="s">
        <v>68</v>
      </c>
      <c r="D768" t="s">
        <v>11</v>
      </c>
      <c r="E768">
        <v>17.364747000000001</v>
      </c>
    </row>
    <row r="769" spans="1:5">
      <c r="A769">
        <v>2010</v>
      </c>
      <c r="B769" t="s">
        <v>0</v>
      </c>
      <c r="C769" t="s">
        <v>69</v>
      </c>
      <c r="D769" t="s">
        <v>11</v>
      </c>
      <c r="E769">
        <v>25.427827000000001</v>
      </c>
    </row>
    <row r="770" spans="1:5">
      <c r="A770">
        <v>2010</v>
      </c>
      <c r="B770" t="s">
        <v>0</v>
      </c>
      <c r="C770" t="s">
        <v>70</v>
      </c>
      <c r="D770" t="s">
        <v>11</v>
      </c>
      <c r="E770">
        <v>35.518394999999998</v>
      </c>
    </row>
    <row r="771" spans="1:5">
      <c r="A771">
        <v>2010</v>
      </c>
      <c r="B771" t="s">
        <v>0</v>
      </c>
      <c r="C771" t="s">
        <v>71</v>
      </c>
      <c r="D771" t="s">
        <v>11</v>
      </c>
      <c r="E771">
        <v>30.703986</v>
      </c>
    </row>
    <row r="772" spans="1:5">
      <c r="A772">
        <v>2010</v>
      </c>
      <c r="B772" t="s">
        <v>0</v>
      </c>
      <c r="C772" t="s">
        <v>72</v>
      </c>
      <c r="D772" t="s">
        <v>11</v>
      </c>
      <c r="E772">
        <v>14.463369999999999</v>
      </c>
    </row>
    <row r="773" spans="1:5">
      <c r="A773">
        <v>2010</v>
      </c>
      <c r="B773" t="s">
        <v>0</v>
      </c>
      <c r="C773" t="s">
        <v>73</v>
      </c>
      <c r="D773" t="s">
        <v>11</v>
      </c>
      <c r="E773">
        <v>18.314256</v>
      </c>
    </row>
    <row r="774" spans="1:5">
      <c r="A774">
        <v>2010</v>
      </c>
      <c r="B774" t="s">
        <v>0</v>
      </c>
      <c r="C774" t="s">
        <v>74</v>
      </c>
      <c r="D774" t="s">
        <v>11</v>
      </c>
      <c r="E774">
        <v>19.982158999999999</v>
      </c>
    </row>
    <row r="775" spans="1:5">
      <c r="A775">
        <v>2010</v>
      </c>
      <c r="B775" t="s">
        <v>0</v>
      </c>
      <c r="C775" t="s">
        <v>75</v>
      </c>
      <c r="D775" t="s">
        <v>11</v>
      </c>
      <c r="E775">
        <v>31.291173000000001</v>
      </c>
    </row>
    <row r="776" spans="1:5">
      <c r="A776">
        <v>2010</v>
      </c>
      <c r="B776" t="s">
        <v>0</v>
      </c>
      <c r="C776" t="s">
        <v>76</v>
      </c>
      <c r="D776" t="s">
        <v>11</v>
      </c>
      <c r="E776">
        <v>20.487969</v>
      </c>
    </row>
    <row r="777" spans="1:5">
      <c r="A777">
        <v>2010</v>
      </c>
      <c r="B777" t="s">
        <v>0</v>
      </c>
      <c r="C777" t="s">
        <v>77</v>
      </c>
      <c r="D777" t="s">
        <v>11</v>
      </c>
      <c r="E777">
        <v>13.297872</v>
      </c>
    </row>
    <row r="778" spans="1:5">
      <c r="A778">
        <v>2010</v>
      </c>
      <c r="B778" t="s">
        <v>0</v>
      </c>
      <c r="C778" t="s">
        <v>78</v>
      </c>
      <c r="D778" t="s">
        <v>11</v>
      </c>
      <c r="E778">
        <v>19.144452999999999</v>
      </c>
    </row>
    <row r="779" spans="1:5">
      <c r="A779">
        <v>2010</v>
      </c>
      <c r="B779" t="s">
        <v>36</v>
      </c>
      <c r="C779" t="s">
        <v>36</v>
      </c>
      <c r="D779" t="s">
        <v>12</v>
      </c>
      <c r="E779">
        <v>53.183017999999997</v>
      </c>
    </row>
    <row r="780" spans="1:5">
      <c r="A780">
        <v>2010</v>
      </c>
      <c r="B780" t="s">
        <v>37</v>
      </c>
      <c r="C780" t="s">
        <v>43</v>
      </c>
      <c r="D780" t="s">
        <v>12</v>
      </c>
      <c r="E780">
        <v>52.812085000000003</v>
      </c>
    </row>
    <row r="781" spans="1:5">
      <c r="A781">
        <v>2010</v>
      </c>
      <c r="B781" t="s">
        <v>37</v>
      </c>
      <c r="C781" t="s">
        <v>44</v>
      </c>
      <c r="D781" t="s">
        <v>12</v>
      </c>
      <c r="E781">
        <v>52.849860999999997</v>
      </c>
    </row>
    <row r="782" spans="1:5">
      <c r="A782">
        <v>2010</v>
      </c>
      <c r="B782" t="s">
        <v>37</v>
      </c>
      <c r="C782" t="s">
        <v>45</v>
      </c>
      <c r="D782" t="s">
        <v>12</v>
      </c>
      <c r="E782">
        <v>53.494746999999997</v>
      </c>
    </row>
    <row r="783" spans="1:5">
      <c r="A783">
        <v>2010</v>
      </c>
      <c r="B783" t="s">
        <v>37</v>
      </c>
      <c r="C783" t="s">
        <v>46</v>
      </c>
      <c r="D783" t="s">
        <v>12</v>
      </c>
      <c r="E783">
        <v>54.793019999999999</v>
      </c>
    </row>
    <row r="784" spans="1:5">
      <c r="A784">
        <v>2010</v>
      </c>
      <c r="B784" t="s">
        <v>38</v>
      </c>
      <c r="C784" t="s">
        <v>47</v>
      </c>
      <c r="D784" t="s">
        <v>12</v>
      </c>
      <c r="E784">
        <v>52.892575000000001</v>
      </c>
    </row>
    <row r="785" spans="1:5">
      <c r="A785">
        <v>2010</v>
      </c>
      <c r="B785" t="s">
        <v>38</v>
      </c>
      <c r="C785" t="s">
        <v>48</v>
      </c>
      <c r="D785" t="s">
        <v>12</v>
      </c>
      <c r="E785">
        <v>53.599480999999997</v>
      </c>
    </row>
    <row r="786" spans="1:5">
      <c r="A786">
        <v>2010</v>
      </c>
      <c r="B786" t="s">
        <v>38</v>
      </c>
      <c r="C786" t="s">
        <v>49</v>
      </c>
      <c r="D786" t="s">
        <v>12</v>
      </c>
      <c r="E786">
        <v>53.435094999999997</v>
      </c>
    </row>
    <row r="787" spans="1:5">
      <c r="A787">
        <v>2010</v>
      </c>
      <c r="B787" t="s">
        <v>38</v>
      </c>
      <c r="C787" t="s">
        <v>50</v>
      </c>
      <c r="D787" t="s">
        <v>12</v>
      </c>
      <c r="E787">
        <v>51.172884000000003</v>
      </c>
    </row>
    <row r="788" spans="1:5">
      <c r="A788">
        <v>2010</v>
      </c>
      <c r="B788" t="s">
        <v>39</v>
      </c>
      <c r="C788" t="s">
        <v>51</v>
      </c>
      <c r="D788" t="s">
        <v>12</v>
      </c>
      <c r="E788">
        <v>53.960365000000003</v>
      </c>
    </row>
    <row r="789" spans="1:5">
      <c r="A789">
        <v>2010</v>
      </c>
      <c r="B789" t="s">
        <v>39</v>
      </c>
      <c r="C789" t="s">
        <v>52</v>
      </c>
      <c r="D789" t="s">
        <v>12</v>
      </c>
      <c r="E789">
        <v>52.377952999999998</v>
      </c>
    </row>
    <row r="790" spans="1:5">
      <c r="A790">
        <v>2010</v>
      </c>
      <c r="B790" t="s">
        <v>40</v>
      </c>
      <c r="C790" t="s">
        <v>53</v>
      </c>
      <c r="D790" t="s">
        <v>12</v>
      </c>
      <c r="E790">
        <v>52.356929999999998</v>
      </c>
    </row>
    <row r="791" spans="1:5">
      <c r="A791">
        <v>2010</v>
      </c>
      <c r="B791" t="s">
        <v>40</v>
      </c>
      <c r="C791" t="s">
        <v>54</v>
      </c>
      <c r="D791" t="s">
        <v>12</v>
      </c>
      <c r="E791">
        <v>53.844948000000002</v>
      </c>
    </row>
    <row r="792" spans="1:5">
      <c r="A792">
        <v>2010</v>
      </c>
      <c r="B792" t="s">
        <v>41</v>
      </c>
      <c r="C792" t="s">
        <v>55</v>
      </c>
      <c r="D792" t="s">
        <v>12</v>
      </c>
      <c r="E792">
        <v>54.141472</v>
      </c>
    </row>
    <row r="793" spans="1:5">
      <c r="A793">
        <v>2010</v>
      </c>
      <c r="B793" t="s">
        <v>41</v>
      </c>
      <c r="C793" t="s">
        <v>56</v>
      </c>
      <c r="D793" t="s">
        <v>12</v>
      </c>
      <c r="E793">
        <v>52.906734</v>
      </c>
    </row>
    <row r="794" spans="1:5">
      <c r="A794">
        <v>2010</v>
      </c>
      <c r="B794" t="s">
        <v>42</v>
      </c>
      <c r="C794" t="s">
        <v>57</v>
      </c>
      <c r="D794" t="s">
        <v>12</v>
      </c>
      <c r="E794">
        <v>59.560785000000003</v>
      </c>
    </row>
    <row r="795" spans="1:5">
      <c r="A795">
        <v>2010</v>
      </c>
      <c r="B795" t="s">
        <v>42</v>
      </c>
      <c r="C795" t="s">
        <v>58</v>
      </c>
      <c r="D795" t="s">
        <v>12</v>
      </c>
      <c r="E795">
        <v>53.38653</v>
      </c>
    </row>
    <row r="796" spans="1:5">
      <c r="A796">
        <v>2010</v>
      </c>
      <c r="B796" t="s">
        <v>42</v>
      </c>
      <c r="C796" t="s">
        <v>59</v>
      </c>
      <c r="D796" t="s">
        <v>12</v>
      </c>
      <c r="E796">
        <v>54.019786000000003</v>
      </c>
    </row>
    <row r="797" spans="1:5">
      <c r="A797">
        <v>2010</v>
      </c>
      <c r="B797" t="s">
        <v>42</v>
      </c>
      <c r="C797" t="s">
        <v>60</v>
      </c>
      <c r="D797" t="s">
        <v>12</v>
      </c>
      <c r="E797">
        <v>50.167012</v>
      </c>
    </row>
    <row r="798" spans="1:5">
      <c r="A798">
        <v>2010</v>
      </c>
      <c r="B798" t="s">
        <v>0</v>
      </c>
      <c r="C798" t="s">
        <v>61</v>
      </c>
      <c r="D798" t="s">
        <v>12</v>
      </c>
      <c r="E798">
        <v>53.624755</v>
      </c>
    </row>
    <row r="799" spans="1:5">
      <c r="A799">
        <v>2010</v>
      </c>
      <c r="B799" t="s">
        <v>0</v>
      </c>
      <c r="C799" t="s">
        <v>62</v>
      </c>
      <c r="D799" t="s">
        <v>12</v>
      </c>
      <c r="E799">
        <v>55.585830999999999</v>
      </c>
    </row>
    <row r="800" spans="1:5">
      <c r="A800">
        <v>2010</v>
      </c>
      <c r="B800" t="s">
        <v>0</v>
      </c>
      <c r="C800" t="s">
        <v>63</v>
      </c>
      <c r="D800" t="s">
        <v>12</v>
      </c>
      <c r="E800">
        <v>61.217390999999999</v>
      </c>
    </row>
    <row r="801" spans="1:5">
      <c r="A801">
        <v>2010</v>
      </c>
      <c r="B801" t="s">
        <v>0</v>
      </c>
      <c r="C801" t="s">
        <v>64</v>
      </c>
      <c r="D801" t="s">
        <v>12</v>
      </c>
      <c r="E801">
        <v>50.629900999999997</v>
      </c>
    </row>
    <row r="802" spans="1:5">
      <c r="A802">
        <v>2010</v>
      </c>
      <c r="B802" t="s">
        <v>0</v>
      </c>
      <c r="C802" t="s">
        <v>65</v>
      </c>
      <c r="D802" t="s">
        <v>12</v>
      </c>
      <c r="E802">
        <v>52.542386</v>
      </c>
    </row>
    <row r="803" spans="1:5">
      <c r="A803">
        <v>2010</v>
      </c>
      <c r="B803" t="s">
        <v>0</v>
      </c>
      <c r="C803" t="s">
        <v>66</v>
      </c>
      <c r="D803" t="s">
        <v>12</v>
      </c>
      <c r="E803">
        <v>53.209110000000003</v>
      </c>
    </row>
    <row r="804" spans="1:5">
      <c r="A804">
        <v>2010</v>
      </c>
      <c r="B804" t="s">
        <v>0</v>
      </c>
      <c r="C804" t="s">
        <v>67</v>
      </c>
      <c r="D804" t="s">
        <v>12</v>
      </c>
      <c r="E804">
        <v>45.375292000000002</v>
      </c>
    </row>
    <row r="805" spans="1:5">
      <c r="A805">
        <v>2010</v>
      </c>
      <c r="B805" t="s">
        <v>0</v>
      </c>
      <c r="C805" t="s">
        <v>68</v>
      </c>
      <c r="D805" t="s">
        <v>12</v>
      </c>
      <c r="E805">
        <v>48.167538999999998</v>
      </c>
    </row>
    <row r="806" spans="1:5">
      <c r="A806">
        <v>2010</v>
      </c>
      <c r="B806" t="s">
        <v>0</v>
      </c>
      <c r="C806" t="s">
        <v>69</v>
      </c>
      <c r="D806" t="s">
        <v>12</v>
      </c>
      <c r="E806">
        <v>57.351830999999997</v>
      </c>
    </row>
    <row r="807" spans="1:5">
      <c r="A807">
        <v>2010</v>
      </c>
      <c r="B807" t="s">
        <v>0</v>
      </c>
      <c r="C807" t="s">
        <v>70</v>
      </c>
      <c r="D807" t="s">
        <v>12</v>
      </c>
      <c r="E807">
        <v>43.303956999999997</v>
      </c>
    </row>
    <row r="808" spans="1:5">
      <c r="A808">
        <v>2010</v>
      </c>
      <c r="B808" t="s">
        <v>0</v>
      </c>
      <c r="C808" t="s">
        <v>71</v>
      </c>
      <c r="D808" t="s">
        <v>12</v>
      </c>
      <c r="E808">
        <v>53.859203000000001</v>
      </c>
    </row>
    <row r="809" spans="1:5">
      <c r="A809">
        <v>2010</v>
      </c>
      <c r="B809" t="s">
        <v>0</v>
      </c>
      <c r="C809" t="s">
        <v>72</v>
      </c>
      <c r="D809" t="s">
        <v>12</v>
      </c>
      <c r="E809">
        <v>59.333123999999998</v>
      </c>
    </row>
    <row r="810" spans="1:5">
      <c r="A810">
        <v>2010</v>
      </c>
      <c r="B810" t="s">
        <v>0</v>
      </c>
      <c r="C810" t="s">
        <v>73</v>
      </c>
      <c r="D810" t="s">
        <v>12</v>
      </c>
      <c r="E810">
        <v>48.387096999999997</v>
      </c>
    </row>
    <row r="811" spans="1:5">
      <c r="A811">
        <v>2010</v>
      </c>
      <c r="B811" t="s">
        <v>0</v>
      </c>
      <c r="C811" t="s">
        <v>74</v>
      </c>
      <c r="D811" t="s">
        <v>12</v>
      </c>
      <c r="E811">
        <v>65.566458999999995</v>
      </c>
    </row>
    <row r="812" spans="1:5">
      <c r="A812">
        <v>2010</v>
      </c>
      <c r="B812" t="s">
        <v>0</v>
      </c>
      <c r="C812" t="s">
        <v>75</v>
      </c>
      <c r="D812" t="s">
        <v>12</v>
      </c>
      <c r="E812">
        <v>48.397013999999999</v>
      </c>
    </row>
    <row r="813" spans="1:5">
      <c r="A813">
        <v>2010</v>
      </c>
      <c r="B813" t="s">
        <v>0</v>
      </c>
      <c r="C813" t="s">
        <v>76</v>
      </c>
      <c r="D813" t="s">
        <v>12</v>
      </c>
      <c r="E813">
        <v>61.556500999999997</v>
      </c>
    </row>
    <row r="814" spans="1:5">
      <c r="A814">
        <v>2010</v>
      </c>
      <c r="B814" t="s">
        <v>0</v>
      </c>
      <c r="C814" t="s">
        <v>77</v>
      </c>
      <c r="D814" t="s">
        <v>12</v>
      </c>
      <c r="E814">
        <v>59.485816</v>
      </c>
    </row>
    <row r="815" spans="1:5">
      <c r="A815">
        <v>2010</v>
      </c>
      <c r="B815" t="s">
        <v>0</v>
      </c>
      <c r="C815" t="s">
        <v>78</v>
      </c>
      <c r="D815" t="s">
        <v>12</v>
      </c>
      <c r="E815">
        <v>40.582858000000002</v>
      </c>
    </row>
    <row r="816" spans="1:5">
      <c r="A816">
        <v>2010</v>
      </c>
      <c r="B816" t="s">
        <v>36</v>
      </c>
      <c r="C816" t="s">
        <v>36</v>
      </c>
      <c r="D816" t="s">
        <v>13</v>
      </c>
      <c r="E816">
        <v>19.414724</v>
      </c>
    </row>
    <row r="817" spans="1:5">
      <c r="A817">
        <v>2010</v>
      </c>
      <c r="B817" t="s">
        <v>37</v>
      </c>
      <c r="C817" t="s">
        <v>43</v>
      </c>
      <c r="D817" t="s">
        <v>13</v>
      </c>
      <c r="E817">
        <v>18.378671000000001</v>
      </c>
    </row>
    <row r="818" spans="1:5">
      <c r="A818">
        <v>2010</v>
      </c>
      <c r="B818" t="s">
        <v>37</v>
      </c>
      <c r="C818" t="s">
        <v>44</v>
      </c>
      <c r="D818" t="s">
        <v>13</v>
      </c>
      <c r="E818">
        <v>20.067822</v>
      </c>
    </row>
    <row r="819" spans="1:5">
      <c r="A819">
        <v>2010</v>
      </c>
      <c r="B819" t="s">
        <v>37</v>
      </c>
      <c r="C819" t="s">
        <v>45</v>
      </c>
      <c r="D819" t="s">
        <v>13</v>
      </c>
      <c r="E819">
        <v>20.174918999999999</v>
      </c>
    </row>
    <row r="820" spans="1:5">
      <c r="A820">
        <v>2010</v>
      </c>
      <c r="B820" t="s">
        <v>37</v>
      </c>
      <c r="C820" t="s">
        <v>46</v>
      </c>
      <c r="D820" t="s">
        <v>13</v>
      </c>
      <c r="E820">
        <v>17.696559000000001</v>
      </c>
    </row>
    <row r="821" spans="1:5">
      <c r="A821">
        <v>2010</v>
      </c>
      <c r="B821" t="s">
        <v>38</v>
      </c>
      <c r="C821" t="s">
        <v>47</v>
      </c>
      <c r="D821" t="s">
        <v>13</v>
      </c>
      <c r="E821">
        <v>21.718484</v>
      </c>
    </row>
    <row r="822" spans="1:5">
      <c r="A822">
        <v>2010</v>
      </c>
      <c r="B822" t="s">
        <v>38</v>
      </c>
      <c r="C822" t="s">
        <v>48</v>
      </c>
      <c r="D822" t="s">
        <v>13</v>
      </c>
      <c r="E822">
        <v>18.625126999999999</v>
      </c>
    </row>
    <row r="823" spans="1:5">
      <c r="A823">
        <v>2010</v>
      </c>
      <c r="B823" t="s">
        <v>38</v>
      </c>
      <c r="C823" t="s">
        <v>49</v>
      </c>
      <c r="D823" t="s">
        <v>13</v>
      </c>
      <c r="E823">
        <v>19.163264999999999</v>
      </c>
    </row>
    <row r="824" spans="1:5">
      <c r="A824">
        <v>2010</v>
      </c>
      <c r="B824" t="s">
        <v>38</v>
      </c>
      <c r="C824" t="s">
        <v>50</v>
      </c>
      <c r="D824" t="s">
        <v>13</v>
      </c>
      <c r="E824">
        <v>18.498861999999999</v>
      </c>
    </row>
    <row r="825" spans="1:5">
      <c r="A825">
        <v>2010</v>
      </c>
      <c r="B825" t="s">
        <v>39</v>
      </c>
      <c r="C825" t="s">
        <v>51</v>
      </c>
      <c r="D825" t="s">
        <v>13</v>
      </c>
      <c r="E825">
        <v>18.454471000000002</v>
      </c>
    </row>
    <row r="826" spans="1:5">
      <c r="A826">
        <v>2010</v>
      </c>
      <c r="B826" t="s">
        <v>39</v>
      </c>
      <c r="C826" t="s">
        <v>52</v>
      </c>
      <c r="D826" t="s">
        <v>13</v>
      </c>
      <c r="E826">
        <v>20.409217000000002</v>
      </c>
    </row>
    <row r="827" spans="1:5">
      <c r="A827">
        <v>2010</v>
      </c>
      <c r="B827" t="s">
        <v>40</v>
      </c>
      <c r="C827" t="s">
        <v>53</v>
      </c>
      <c r="D827" t="s">
        <v>13</v>
      </c>
      <c r="E827">
        <v>19.919523999999999</v>
      </c>
    </row>
    <row r="828" spans="1:5">
      <c r="A828">
        <v>2010</v>
      </c>
      <c r="B828" t="s">
        <v>40</v>
      </c>
      <c r="C828" t="s">
        <v>54</v>
      </c>
      <c r="D828" t="s">
        <v>13</v>
      </c>
      <c r="E828">
        <v>18.986530999999999</v>
      </c>
    </row>
    <row r="829" spans="1:5">
      <c r="A829">
        <v>2010</v>
      </c>
      <c r="B829" t="s">
        <v>41</v>
      </c>
      <c r="C829" t="s">
        <v>55</v>
      </c>
      <c r="D829" t="s">
        <v>13</v>
      </c>
      <c r="E829">
        <v>19.179677999999999</v>
      </c>
    </row>
    <row r="830" spans="1:5">
      <c r="A830">
        <v>2010</v>
      </c>
      <c r="B830" t="s">
        <v>41</v>
      </c>
      <c r="C830" t="s">
        <v>56</v>
      </c>
      <c r="D830" t="s">
        <v>13</v>
      </c>
      <c r="E830">
        <v>19.454650999999998</v>
      </c>
    </row>
    <row r="831" spans="1:5">
      <c r="A831">
        <v>2010</v>
      </c>
      <c r="B831" t="s">
        <v>42</v>
      </c>
      <c r="C831" t="s">
        <v>57</v>
      </c>
      <c r="D831" t="s">
        <v>13</v>
      </c>
      <c r="E831">
        <v>18.995080999999999</v>
      </c>
    </row>
    <row r="832" spans="1:5">
      <c r="A832">
        <v>2010</v>
      </c>
      <c r="B832" t="s">
        <v>42</v>
      </c>
      <c r="C832" t="s">
        <v>58</v>
      </c>
      <c r="D832" t="s">
        <v>13</v>
      </c>
      <c r="E832">
        <v>19.731425000000002</v>
      </c>
    </row>
    <row r="833" spans="1:5">
      <c r="A833">
        <v>2010</v>
      </c>
      <c r="B833" t="s">
        <v>42</v>
      </c>
      <c r="C833" t="s">
        <v>59</v>
      </c>
      <c r="D833" t="s">
        <v>13</v>
      </c>
      <c r="E833">
        <v>19.011164999999998</v>
      </c>
    </row>
    <row r="834" spans="1:5">
      <c r="A834">
        <v>2010</v>
      </c>
      <c r="B834" t="s">
        <v>42</v>
      </c>
      <c r="C834" t="s">
        <v>60</v>
      </c>
      <c r="D834" t="s">
        <v>13</v>
      </c>
      <c r="E834">
        <v>16.202672</v>
      </c>
    </row>
    <row r="835" spans="1:5">
      <c r="A835">
        <v>2010</v>
      </c>
      <c r="B835" t="s">
        <v>0</v>
      </c>
      <c r="C835" t="s">
        <v>61</v>
      </c>
      <c r="D835" t="s">
        <v>13</v>
      </c>
      <c r="E835">
        <v>11.782894000000001</v>
      </c>
    </row>
    <row r="836" spans="1:5">
      <c r="A836">
        <v>2010</v>
      </c>
      <c r="B836" t="s">
        <v>0</v>
      </c>
      <c r="C836" t="s">
        <v>62</v>
      </c>
      <c r="D836" t="s">
        <v>13</v>
      </c>
      <c r="E836">
        <v>26.067212000000001</v>
      </c>
    </row>
    <row r="837" spans="1:5">
      <c r="A837">
        <v>2010</v>
      </c>
      <c r="B837" t="s">
        <v>0</v>
      </c>
      <c r="C837" t="s">
        <v>63</v>
      </c>
      <c r="D837" t="s">
        <v>13</v>
      </c>
      <c r="E837">
        <v>20.347826000000001</v>
      </c>
    </row>
    <row r="838" spans="1:5">
      <c r="A838">
        <v>2010</v>
      </c>
      <c r="B838" t="s">
        <v>0</v>
      </c>
      <c r="C838" t="s">
        <v>64</v>
      </c>
      <c r="D838" t="s">
        <v>13</v>
      </c>
      <c r="E838">
        <v>11.72762</v>
      </c>
    </row>
    <row r="839" spans="1:5">
      <c r="A839">
        <v>2010</v>
      </c>
      <c r="B839" t="s">
        <v>0</v>
      </c>
      <c r="C839" t="s">
        <v>65</v>
      </c>
      <c r="D839" t="s">
        <v>13</v>
      </c>
      <c r="E839">
        <v>13.002227</v>
      </c>
    </row>
    <row r="840" spans="1:5">
      <c r="A840">
        <v>2010</v>
      </c>
      <c r="B840" t="s">
        <v>0</v>
      </c>
      <c r="C840" t="s">
        <v>66</v>
      </c>
      <c r="D840" t="s">
        <v>13</v>
      </c>
      <c r="E840">
        <v>24.327121999999999</v>
      </c>
    </row>
    <row r="841" spans="1:5">
      <c r="A841">
        <v>2010</v>
      </c>
      <c r="B841" t="s">
        <v>0</v>
      </c>
      <c r="C841" t="s">
        <v>67</v>
      </c>
      <c r="D841" t="s">
        <v>13</v>
      </c>
      <c r="E841">
        <v>9.1638196999999995</v>
      </c>
    </row>
    <row r="842" spans="1:5">
      <c r="A842">
        <v>2010</v>
      </c>
      <c r="B842" t="s">
        <v>0</v>
      </c>
      <c r="C842" t="s">
        <v>68</v>
      </c>
      <c r="D842" t="s">
        <v>13</v>
      </c>
      <c r="E842">
        <v>32.984293000000001</v>
      </c>
    </row>
    <row r="843" spans="1:5">
      <c r="A843">
        <v>2010</v>
      </c>
      <c r="B843" t="s">
        <v>0</v>
      </c>
      <c r="C843" t="s">
        <v>69</v>
      </c>
      <c r="D843" t="s">
        <v>13</v>
      </c>
      <c r="E843">
        <v>14.990311</v>
      </c>
    </row>
    <row r="844" spans="1:5">
      <c r="A844">
        <v>2010</v>
      </c>
      <c r="B844" t="s">
        <v>0</v>
      </c>
      <c r="C844" t="s">
        <v>70</v>
      </c>
      <c r="D844" t="s">
        <v>13</v>
      </c>
      <c r="E844">
        <v>18.239685999999999</v>
      </c>
    </row>
    <row r="845" spans="1:5">
      <c r="A845">
        <v>2010</v>
      </c>
      <c r="B845" t="s">
        <v>0</v>
      </c>
      <c r="C845" t="s">
        <v>71</v>
      </c>
      <c r="D845" t="s">
        <v>13</v>
      </c>
      <c r="E845">
        <v>13.994911</v>
      </c>
    </row>
    <row r="846" spans="1:5">
      <c r="A846">
        <v>2010</v>
      </c>
      <c r="B846" t="s">
        <v>0</v>
      </c>
      <c r="C846" t="s">
        <v>72</v>
      </c>
      <c r="D846" t="s">
        <v>13</v>
      </c>
      <c r="E846">
        <v>21.450291</v>
      </c>
    </row>
    <row r="847" spans="1:5">
      <c r="A847">
        <v>2010</v>
      </c>
      <c r="B847" t="s">
        <v>0</v>
      </c>
      <c r="C847" t="s">
        <v>73</v>
      </c>
      <c r="D847" t="s">
        <v>13</v>
      </c>
      <c r="E847">
        <v>26.534859999999998</v>
      </c>
    </row>
    <row r="848" spans="1:5">
      <c r="A848">
        <v>2010</v>
      </c>
      <c r="B848" t="s">
        <v>0</v>
      </c>
      <c r="C848" t="s">
        <v>74</v>
      </c>
      <c r="D848" t="s">
        <v>13</v>
      </c>
      <c r="E848">
        <v>13.559322</v>
      </c>
    </row>
    <row r="849" spans="1:5">
      <c r="A849">
        <v>2010</v>
      </c>
      <c r="B849" t="s">
        <v>0</v>
      </c>
      <c r="C849" t="s">
        <v>75</v>
      </c>
      <c r="D849" t="s">
        <v>13</v>
      </c>
      <c r="E849">
        <v>15.985946</v>
      </c>
    </row>
    <row r="850" spans="1:5">
      <c r="A850">
        <v>2010</v>
      </c>
      <c r="B850" t="s">
        <v>0</v>
      </c>
      <c r="C850" t="s">
        <v>76</v>
      </c>
      <c r="D850" t="s">
        <v>13</v>
      </c>
      <c r="E850">
        <v>16.302247000000001</v>
      </c>
    </row>
    <row r="851" spans="1:5">
      <c r="A851">
        <v>2010</v>
      </c>
      <c r="B851" t="s">
        <v>0</v>
      </c>
      <c r="C851" t="s">
        <v>77</v>
      </c>
      <c r="D851" t="s">
        <v>13</v>
      </c>
      <c r="E851">
        <v>25.797872000000002</v>
      </c>
    </row>
    <row r="852" spans="1:5">
      <c r="A852">
        <v>2010</v>
      </c>
      <c r="B852" t="s">
        <v>0</v>
      </c>
      <c r="C852" t="s">
        <v>78</v>
      </c>
      <c r="D852" t="s">
        <v>13</v>
      </c>
      <c r="E852">
        <v>33.496749000000001</v>
      </c>
    </row>
    <row r="853" spans="1:5">
      <c r="A853">
        <v>2010</v>
      </c>
      <c r="B853" t="s">
        <v>36</v>
      </c>
      <c r="C853" t="s">
        <v>36</v>
      </c>
      <c r="D853" t="s">
        <v>14</v>
      </c>
      <c r="E853">
        <v>2.5498443000000002</v>
      </c>
    </row>
    <row r="854" spans="1:5">
      <c r="A854">
        <v>2010</v>
      </c>
      <c r="B854" t="s">
        <v>37</v>
      </c>
      <c r="C854" t="s">
        <v>43</v>
      </c>
      <c r="D854" t="s">
        <v>14</v>
      </c>
      <c r="E854">
        <v>2.2779935999999998</v>
      </c>
    </row>
    <row r="855" spans="1:5">
      <c r="A855">
        <v>2010</v>
      </c>
      <c r="B855" t="s">
        <v>37</v>
      </c>
      <c r="C855" t="s">
        <v>44</v>
      </c>
      <c r="D855" t="s">
        <v>14</v>
      </c>
      <c r="E855">
        <v>2.7494741999999999</v>
      </c>
    </row>
    <row r="856" spans="1:5">
      <c r="A856">
        <v>2010</v>
      </c>
      <c r="B856" t="s">
        <v>37</v>
      </c>
      <c r="C856" t="s">
        <v>45</v>
      </c>
      <c r="D856" t="s">
        <v>14</v>
      </c>
      <c r="E856">
        <v>2.6462650000000001</v>
      </c>
    </row>
    <row r="857" spans="1:5">
      <c r="A857">
        <v>2010</v>
      </c>
      <c r="B857" t="s">
        <v>37</v>
      </c>
      <c r="C857" t="s">
        <v>46</v>
      </c>
      <c r="D857" t="s">
        <v>14</v>
      </c>
      <c r="E857">
        <v>2.1843564</v>
      </c>
    </row>
    <row r="858" spans="1:5">
      <c r="A858">
        <v>2010</v>
      </c>
      <c r="B858" t="s">
        <v>38</v>
      </c>
      <c r="C858" t="s">
        <v>47</v>
      </c>
      <c r="D858" t="s">
        <v>14</v>
      </c>
      <c r="E858">
        <v>3.1363126000000001</v>
      </c>
    </row>
    <row r="859" spans="1:5">
      <c r="A859">
        <v>2010</v>
      </c>
      <c r="B859" t="s">
        <v>38</v>
      </c>
      <c r="C859" t="s">
        <v>48</v>
      </c>
      <c r="D859" t="s">
        <v>14</v>
      </c>
      <c r="E859">
        <v>2.4115871000000002</v>
      </c>
    </row>
    <row r="860" spans="1:5">
      <c r="A860">
        <v>2010</v>
      </c>
      <c r="B860" t="s">
        <v>38</v>
      </c>
      <c r="C860" t="s">
        <v>49</v>
      </c>
      <c r="D860" t="s">
        <v>14</v>
      </c>
      <c r="E860">
        <v>2.3685539000000002</v>
      </c>
    </row>
    <row r="861" spans="1:5">
      <c r="A861">
        <v>2010</v>
      </c>
      <c r="B861" t="s">
        <v>38</v>
      </c>
      <c r="C861" t="s">
        <v>50</v>
      </c>
      <c r="D861" t="s">
        <v>14</v>
      </c>
      <c r="E861">
        <v>2.4696693000000001</v>
      </c>
    </row>
    <row r="862" spans="1:5">
      <c r="A862">
        <v>2010</v>
      </c>
      <c r="B862" t="s">
        <v>39</v>
      </c>
      <c r="C862" t="s">
        <v>51</v>
      </c>
      <c r="D862" t="s">
        <v>14</v>
      </c>
      <c r="E862">
        <v>2.4905618999999999</v>
      </c>
    </row>
    <row r="863" spans="1:5">
      <c r="A863">
        <v>2010</v>
      </c>
      <c r="B863" t="s">
        <v>39</v>
      </c>
      <c r="C863" t="s">
        <v>52</v>
      </c>
      <c r="D863" t="s">
        <v>14</v>
      </c>
      <c r="E863">
        <v>2.6112405999999999</v>
      </c>
    </row>
    <row r="864" spans="1:5">
      <c r="A864">
        <v>2010</v>
      </c>
      <c r="B864" t="s">
        <v>40</v>
      </c>
      <c r="C864" t="s">
        <v>53</v>
      </c>
      <c r="D864" t="s">
        <v>14</v>
      </c>
      <c r="E864">
        <v>2.9380603000000001</v>
      </c>
    </row>
    <row r="865" spans="1:5">
      <c r="A865">
        <v>2010</v>
      </c>
      <c r="B865" t="s">
        <v>40</v>
      </c>
      <c r="C865" t="s">
        <v>54</v>
      </c>
      <c r="D865" t="s">
        <v>14</v>
      </c>
      <c r="E865">
        <v>2.2541357</v>
      </c>
    </row>
    <row r="866" spans="1:5">
      <c r="A866">
        <v>2010</v>
      </c>
      <c r="B866" t="s">
        <v>41</v>
      </c>
      <c r="C866" t="s">
        <v>55</v>
      </c>
      <c r="D866" t="s">
        <v>14</v>
      </c>
      <c r="E866">
        <v>2.4254763000000001</v>
      </c>
    </row>
    <row r="867" spans="1:5">
      <c r="A867">
        <v>2010</v>
      </c>
      <c r="B867" t="s">
        <v>41</v>
      </c>
      <c r="C867" t="s">
        <v>56</v>
      </c>
      <c r="D867" t="s">
        <v>14</v>
      </c>
      <c r="E867">
        <v>2.5384674999999999</v>
      </c>
    </row>
    <row r="868" spans="1:5">
      <c r="A868">
        <v>2010</v>
      </c>
      <c r="B868" t="s">
        <v>42</v>
      </c>
      <c r="C868" t="s">
        <v>57</v>
      </c>
      <c r="D868" t="s">
        <v>14</v>
      </c>
      <c r="E868">
        <v>3.0525224</v>
      </c>
    </row>
    <row r="869" spans="1:5">
      <c r="A869">
        <v>2010</v>
      </c>
      <c r="B869" t="s">
        <v>42</v>
      </c>
      <c r="C869" t="s">
        <v>58</v>
      </c>
      <c r="D869" t="s">
        <v>14</v>
      </c>
      <c r="E869">
        <v>2.2759762000000001</v>
      </c>
    </row>
    <row r="870" spans="1:5">
      <c r="A870">
        <v>2010</v>
      </c>
      <c r="B870" t="s">
        <v>42</v>
      </c>
      <c r="C870" t="s">
        <v>59</v>
      </c>
      <c r="D870" t="s">
        <v>14</v>
      </c>
      <c r="E870">
        <v>2.8277408999999998</v>
      </c>
    </row>
    <row r="871" spans="1:5">
      <c r="A871">
        <v>2010</v>
      </c>
      <c r="B871" t="s">
        <v>42</v>
      </c>
      <c r="C871" t="s">
        <v>60</v>
      </c>
      <c r="D871" t="s">
        <v>14</v>
      </c>
      <c r="E871">
        <v>3.0821586999999999</v>
      </c>
    </row>
    <row r="872" spans="1:5">
      <c r="A872">
        <v>2010</v>
      </c>
      <c r="B872" t="s">
        <v>0</v>
      </c>
      <c r="C872" t="s">
        <v>61</v>
      </c>
      <c r="D872" t="s">
        <v>14</v>
      </c>
      <c r="E872">
        <v>0.61541025000000005</v>
      </c>
    </row>
    <row r="873" spans="1:5">
      <c r="A873">
        <v>2010</v>
      </c>
      <c r="B873" t="s">
        <v>0</v>
      </c>
      <c r="C873" t="s">
        <v>62</v>
      </c>
      <c r="D873" t="s">
        <v>14</v>
      </c>
      <c r="E873">
        <v>1.8165304</v>
      </c>
    </row>
    <row r="874" spans="1:5">
      <c r="A874">
        <v>2010</v>
      </c>
      <c r="B874" t="s">
        <v>0</v>
      </c>
      <c r="C874" t="s">
        <v>63</v>
      </c>
      <c r="D874" t="s">
        <v>14</v>
      </c>
      <c r="E874">
        <v>1.7391304000000001</v>
      </c>
    </row>
    <row r="875" spans="1:5">
      <c r="A875">
        <v>2010</v>
      </c>
      <c r="B875" t="s">
        <v>0</v>
      </c>
      <c r="C875" t="s">
        <v>64</v>
      </c>
      <c r="D875" t="s">
        <v>14</v>
      </c>
      <c r="E875">
        <v>0.37363749000000002</v>
      </c>
    </row>
    <row r="876" spans="1:5">
      <c r="A876">
        <v>2010</v>
      </c>
      <c r="B876" t="s">
        <v>0</v>
      </c>
      <c r="C876" t="s">
        <v>65</v>
      </c>
      <c r="D876" t="s">
        <v>14</v>
      </c>
      <c r="E876">
        <v>2.2187312000000001</v>
      </c>
    </row>
    <row r="877" spans="1:5">
      <c r="A877">
        <v>2010</v>
      </c>
      <c r="B877" t="s">
        <v>0</v>
      </c>
      <c r="C877" t="s">
        <v>66</v>
      </c>
      <c r="D877" t="s">
        <v>14</v>
      </c>
      <c r="E877">
        <v>2.5879916999999999</v>
      </c>
    </row>
    <row r="878" spans="1:5">
      <c r="A878">
        <v>2010</v>
      </c>
      <c r="B878" t="s">
        <v>0</v>
      </c>
      <c r="C878" t="s">
        <v>67</v>
      </c>
      <c r="D878" t="s">
        <v>14</v>
      </c>
      <c r="E878">
        <v>3.1430484000000001</v>
      </c>
    </row>
    <row r="879" spans="1:5">
      <c r="A879">
        <v>2010</v>
      </c>
      <c r="B879" t="s">
        <v>0</v>
      </c>
      <c r="C879" t="s">
        <v>68</v>
      </c>
      <c r="D879" t="s">
        <v>14</v>
      </c>
      <c r="E879">
        <v>1.4834206000000001</v>
      </c>
    </row>
    <row r="880" spans="1:5">
      <c r="A880">
        <v>2010</v>
      </c>
      <c r="B880" t="s">
        <v>0</v>
      </c>
      <c r="C880" t="s">
        <v>69</v>
      </c>
      <c r="D880" t="s">
        <v>14</v>
      </c>
      <c r="E880">
        <v>2.2300319000000002</v>
      </c>
    </row>
    <row r="881" spans="1:5">
      <c r="A881">
        <v>2010</v>
      </c>
      <c r="B881" t="s">
        <v>0</v>
      </c>
      <c r="C881" t="s">
        <v>70</v>
      </c>
      <c r="D881" t="s">
        <v>14</v>
      </c>
      <c r="E881">
        <v>2.9379616999999998</v>
      </c>
    </row>
    <row r="882" spans="1:5">
      <c r="A882">
        <v>2010</v>
      </c>
      <c r="B882" t="s">
        <v>0</v>
      </c>
      <c r="C882" t="s">
        <v>71</v>
      </c>
      <c r="D882" t="s">
        <v>14</v>
      </c>
      <c r="E882">
        <v>1.4418998999999999</v>
      </c>
    </row>
    <row r="883" spans="1:5">
      <c r="A883">
        <v>2010</v>
      </c>
      <c r="B883" t="s">
        <v>0</v>
      </c>
      <c r="C883" t="s">
        <v>72</v>
      </c>
      <c r="D883" t="s">
        <v>14</v>
      </c>
      <c r="E883">
        <v>4.7532148999999997</v>
      </c>
    </row>
    <row r="884" spans="1:5">
      <c r="A884">
        <v>2010</v>
      </c>
      <c r="B884" t="s">
        <v>0</v>
      </c>
      <c r="C884" t="s">
        <v>73</v>
      </c>
      <c r="D884" t="s">
        <v>14</v>
      </c>
      <c r="E884">
        <v>6.7637877</v>
      </c>
    </row>
    <row r="885" spans="1:5">
      <c r="A885">
        <v>2010</v>
      </c>
      <c r="B885" t="s">
        <v>0</v>
      </c>
      <c r="C885" t="s">
        <v>74</v>
      </c>
      <c r="D885" t="s">
        <v>14</v>
      </c>
      <c r="E885">
        <v>0.89206065999999995</v>
      </c>
    </row>
    <row r="886" spans="1:5">
      <c r="A886">
        <v>2010</v>
      </c>
      <c r="B886" t="s">
        <v>0</v>
      </c>
      <c r="C886" t="s">
        <v>75</v>
      </c>
      <c r="D886" t="s">
        <v>14</v>
      </c>
      <c r="E886">
        <v>4.3258673999999999</v>
      </c>
    </row>
    <row r="887" spans="1:5">
      <c r="A887">
        <v>2010</v>
      </c>
      <c r="B887" t="s">
        <v>0</v>
      </c>
      <c r="C887" t="s">
        <v>76</v>
      </c>
      <c r="D887" t="s">
        <v>14</v>
      </c>
      <c r="E887">
        <v>1.6532838999999999</v>
      </c>
    </row>
    <row r="888" spans="1:5">
      <c r="A888">
        <v>2010</v>
      </c>
      <c r="B888" t="s">
        <v>0</v>
      </c>
      <c r="C888" t="s">
        <v>77</v>
      </c>
      <c r="D888" t="s">
        <v>14</v>
      </c>
      <c r="E888">
        <v>1.4184397</v>
      </c>
    </row>
    <row r="889" spans="1:5">
      <c r="A889">
        <v>2010</v>
      </c>
      <c r="B889" t="s">
        <v>0</v>
      </c>
      <c r="C889" t="s">
        <v>78</v>
      </c>
      <c r="D889" t="s">
        <v>14</v>
      </c>
      <c r="E889">
        <v>6.7759410999999998</v>
      </c>
    </row>
    <row r="890" spans="1:5">
      <c r="A890">
        <v>2011</v>
      </c>
      <c r="B890" t="s">
        <v>36</v>
      </c>
      <c r="C890" t="s">
        <v>36</v>
      </c>
      <c r="D890" t="s">
        <v>11</v>
      </c>
      <c r="E890">
        <v>24.481276000000001</v>
      </c>
    </row>
    <row r="891" spans="1:5">
      <c r="A891">
        <v>2011</v>
      </c>
      <c r="B891" t="s">
        <v>37</v>
      </c>
      <c r="C891" t="s">
        <v>43</v>
      </c>
      <c r="D891" t="s">
        <v>11</v>
      </c>
      <c r="E891">
        <v>27.333572</v>
      </c>
    </row>
    <row r="892" spans="1:5">
      <c r="A892">
        <v>2011</v>
      </c>
      <c r="B892" t="s">
        <v>37</v>
      </c>
      <c r="C892" t="s">
        <v>44</v>
      </c>
      <c r="D892" t="s">
        <v>11</v>
      </c>
      <c r="E892">
        <v>23.38307</v>
      </c>
    </row>
    <row r="893" spans="1:5">
      <c r="A893">
        <v>2011</v>
      </c>
      <c r="B893" t="s">
        <v>37</v>
      </c>
      <c r="C893" t="s">
        <v>45</v>
      </c>
      <c r="D893" t="s">
        <v>11</v>
      </c>
      <c r="E893">
        <v>23.625019999999999</v>
      </c>
    </row>
    <row r="894" spans="1:5">
      <c r="A894">
        <v>2011</v>
      </c>
      <c r="B894" t="s">
        <v>37</v>
      </c>
      <c r="C894" t="s">
        <v>46</v>
      </c>
      <c r="D894" t="s">
        <v>11</v>
      </c>
      <c r="E894">
        <v>24.164515999999999</v>
      </c>
    </row>
    <row r="895" spans="1:5">
      <c r="A895">
        <v>2011</v>
      </c>
      <c r="B895" t="s">
        <v>38</v>
      </c>
      <c r="C895" t="s">
        <v>47</v>
      </c>
      <c r="D895" t="s">
        <v>11</v>
      </c>
      <c r="E895">
        <v>20.892160000000001</v>
      </c>
    </row>
    <row r="896" spans="1:5">
      <c r="A896">
        <v>2011</v>
      </c>
      <c r="B896" t="s">
        <v>38</v>
      </c>
      <c r="C896" t="s">
        <v>48</v>
      </c>
      <c r="D896" t="s">
        <v>11</v>
      </c>
      <c r="E896">
        <v>25.111577</v>
      </c>
    </row>
    <row r="897" spans="1:5">
      <c r="A897">
        <v>2011</v>
      </c>
      <c r="B897" t="s">
        <v>38</v>
      </c>
      <c r="C897" t="s">
        <v>49</v>
      </c>
      <c r="D897" t="s">
        <v>11</v>
      </c>
      <c r="E897">
        <v>25.996642999999999</v>
      </c>
    </row>
    <row r="898" spans="1:5">
      <c r="A898">
        <v>2011</v>
      </c>
      <c r="B898" t="s">
        <v>38</v>
      </c>
      <c r="C898" t="s">
        <v>50</v>
      </c>
      <c r="D898" t="s">
        <v>11</v>
      </c>
      <c r="E898">
        <v>24.451459</v>
      </c>
    </row>
    <row r="899" spans="1:5">
      <c r="A899">
        <v>2011</v>
      </c>
      <c r="B899" t="s">
        <v>39</v>
      </c>
      <c r="C899" t="s">
        <v>51</v>
      </c>
      <c r="D899" t="s">
        <v>11</v>
      </c>
      <c r="E899">
        <v>24.647879</v>
      </c>
    </row>
    <row r="900" spans="1:5">
      <c r="A900">
        <v>2011</v>
      </c>
      <c r="B900" t="s">
        <v>39</v>
      </c>
      <c r="C900" t="s">
        <v>52</v>
      </c>
      <c r="D900" t="s">
        <v>11</v>
      </c>
      <c r="E900">
        <v>24.3062</v>
      </c>
    </row>
    <row r="901" spans="1:5">
      <c r="A901">
        <v>2011</v>
      </c>
      <c r="B901" t="s">
        <v>40</v>
      </c>
      <c r="C901" t="s">
        <v>53</v>
      </c>
      <c r="D901" t="s">
        <v>11</v>
      </c>
      <c r="E901">
        <v>24.717079999999999</v>
      </c>
    </row>
    <row r="902" spans="1:5">
      <c r="A902">
        <v>2011</v>
      </c>
      <c r="B902" t="s">
        <v>40</v>
      </c>
      <c r="C902" t="s">
        <v>54</v>
      </c>
      <c r="D902" t="s">
        <v>11</v>
      </c>
      <c r="E902">
        <v>24.235510000000001</v>
      </c>
    </row>
    <row r="903" spans="1:5">
      <c r="A903">
        <v>2011</v>
      </c>
      <c r="B903" t="s">
        <v>41</v>
      </c>
      <c r="C903" t="s">
        <v>55</v>
      </c>
      <c r="D903" t="s">
        <v>11</v>
      </c>
      <c r="E903">
        <v>26.504004999999999</v>
      </c>
    </row>
    <row r="904" spans="1:5">
      <c r="A904">
        <v>2011</v>
      </c>
      <c r="B904" t="s">
        <v>41</v>
      </c>
      <c r="C904" t="s">
        <v>56</v>
      </c>
      <c r="D904" t="s">
        <v>11</v>
      </c>
      <c r="E904">
        <v>23.531981999999999</v>
      </c>
    </row>
    <row r="905" spans="1:5">
      <c r="A905">
        <v>2011</v>
      </c>
      <c r="B905" t="s">
        <v>42</v>
      </c>
      <c r="C905" t="s">
        <v>57</v>
      </c>
      <c r="D905" t="s">
        <v>11</v>
      </c>
      <c r="E905">
        <v>19.322842000000001</v>
      </c>
    </row>
    <row r="906" spans="1:5">
      <c r="A906">
        <v>2011</v>
      </c>
      <c r="B906" t="s">
        <v>42</v>
      </c>
      <c r="C906" t="s">
        <v>58</v>
      </c>
      <c r="D906" t="s">
        <v>11</v>
      </c>
      <c r="E906">
        <v>24.605910000000002</v>
      </c>
    </row>
    <row r="907" spans="1:5">
      <c r="A907">
        <v>2011</v>
      </c>
      <c r="B907" t="s">
        <v>42</v>
      </c>
      <c r="C907" t="s">
        <v>59</v>
      </c>
      <c r="D907" t="s">
        <v>11</v>
      </c>
      <c r="E907">
        <v>24.497239</v>
      </c>
    </row>
    <row r="908" spans="1:5">
      <c r="A908">
        <v>2011</v>
      </c>
      <c r="B908" t="s">
        <v>42</v>
      </c>
      <c r="C908" t="s">
        <v>60</v>
      </c>
      <c r="D908" t="s">
        <v>11</v>
      </c>
      <c r="E908">
        <v>28.635021999999999</v>
      </c>
    </row>
    <row r="909" spans="1:5">
      <c r="A909">
        <v>2011</v>
      </c>
      <c r="B909" t="s">
        <v>0</v>
      </c>
      <c r="C909" t="s">
        <v>61</v>
      </c>
      <c r="D909" t="s">
        <v>11</v>
      </c>
      <c r="E909">
        <v>22.010117000000001</v>
      </c>
    </row>
    <row r="910" spans="1:5">
      <c r="A910">
        <v>2011</v>
      </c>
      <c r="B910" t="s">
        <v>0</v>
      </c>
      <c r="C910" t="s">
        <v>62</v>
      </c>
      <c r="D910" t="s">
        <v>11</v>
      </c>
      <c r="E910">
        <v>12.588652</v>
      </c>
    </row>
    <row r="911" spans="1:5">
      <c r="A911">
        <v>2011</v>
      </c>
      <c r="B911" t="s">
        <v>0</v>
      </c>
      <c r="C911" t="s">
        <v>63</v>
      </c>
      <c r="D911" t="s">
        <v>11</v>
      </c>
      <c r="E911">
        <v>26.689188999999999</v>
      </c>
    </row>
    <row r="912" spans="1:5">
      <c r="A912">
        <v>2011</v>
      </c>
      <c r="B912" t="s">
        <v>0</v>
      </c>
      <c r="C912" t="s">
        <v>64</v>
      </c>
      <c r="D912" t="s">
        <v>11</v>
      </c>
      <c r="E912">
        <v>48.996805999999999</v>
      </c>
    </row>
    <row r="913" spans="1:5">
      <c r="A913">
        <v>2011</v>
      </c>
      <c r="B913" t="s">
        <v>0</v>
      </c>
      <c r="C913" t="s">
        <v>65</v>
      </c>
      <c r="D913" t="s">
        <v>11</v>
      </c>
      <c r="E913">
        <v>29.131803000000001</v>
      </c>
    </row>
    <row r="914" spans="1:5">
      <c r="A914">
        <v>2011</v>
      </c>
      <c r="B914" t="s">
        <v>0</v>
      </c>
      <c r="C914" t="s">
        <v>66</v>
      </c>
      <c r="D914" t="s">
        <v>11</v>
      </c>
      <c r="E914">
        <v>24.460432000000001</v>
      </c>
    </row>
    <row r="915" spans="1:5">
      <c r="A915">
        <v>2011</v>
      </c>
      <c r="B915" t="s">
        <v>0</v>
      </c>
      <c r="C915" t="s">
        <v>67</v>
      </c>
      <c r="D915" t="s">
        <v>11</v>
      </c>
      <c r="E915">
        <v>54.015686000000002</v>
      </c>
    </row>
    <row r="916" spans="1:5">
      <c r="A916">
        <v>2011</v>
      </c>
      <c r="B916" t="s">
        <v>0</v>
      </c>
      <c r="C916" t="s">
        <v>68</v>
      </c>
      <c r="D916" t="s">
        <v>11</v>
      </c>
      <c r="E916">
        <v>10.909091</v>
      </c>
    </row>
    <row r="917" spans="1:5">
      <c r="A917">
        <v>2011</v>
      </c>
      <c r="B917" t="s">
        <v>0</v>
      </c>
      <c r="C917" t="s">
        <v>69</v>
      </c>
      <c r="D917" t="s">
        <v>11</v>
      </c>
      <c r="E917">
        <v>25.001072000000001</v>
      </c>
    </row>
    <row r="918" spans="1:5">
      <c r="A918">
        <v>2011</v>
      </c>
      <c r="B918" t="s">
        <v>0</v>
      </c>
      <c r="C918" t="s">
        <v>70</v>
      </c>
      <c r="D918" t="s">
        <v>11</v>
      </c>
      <c r="E918">
        <v>36.415187000000003</v>
      </c>
    </row>
    <row r="919" spans="1:5">
      <c r="A919">
        <v>2011</v>
      </c>
      <c r="B919" t="s">
        <v>0</v>
      </c>
      <c r="C919" t="s">
        <v>71</v>
      </c>
      <c r="D919" t="s">
        <v>11</v>
      </c>
      <c r="E919">
        <v>23.347639000000001</v>
      </c>
    </row>
    <row r="920" spans="1:5">
      <c r="A920">
        <v>2011</v>
      </c>
      <c r="B920" t="s">
        <v>0</v>
      </c>
      <c r="C920" t="s">
        <v>72</v>
      </c>
      <c r="D920" t="s">
        <v>11</v>
      </c>
      <c r="E920">
        <v>10.663822</v>
      </c>
    </row>
    <row r="921" spans="1:5">
      <c r="A921">
        <v>2011</v>
      </c>
      <c r="B921" t="s">
        <v>0</v>
      </c>
      <c r="C921" t="s">
        <v>73</v>
      </c>
      <c r="D921" t="s">
        <v>11</v>
      </c>
      <c r="E921">
        <v>15.625</v>
      </c>
    </row>
    <row r="922" spans="1:5">
      <c r="A922">
        <v>2011</v>
      </c>
      <c r="B922" t="s">
        <v>0</v>
      </c>
      <c r="C922" t="s">
        <v>74</v>
      </c>
      <c r="D922" t="s">
        <v>11</v>
      </c>
      <c r="E922">
        <v>23.478261</v>
      </c>
    </row>
    <row r="923" spans="1:5">
      <c r="A923">
        <v>2011</v>
      </c>
      <c r="B923" t="s">
        <v>0</v>
      </c>
      <c r="C923" t="s">
        <v>75</v>
      </c>
      <c r="D923" t="s">
        <v>11</v>
      </c>
      <c r="E923">
        <v>21.598084</v>
      </c>
    </row>
    <row r="924" spans="1:5">
      <c r="A924">
        <v>2011</v>
      </c>
      <c r="B924" t="s">
        <v>0</v>
      </c>
      <c r="C924" t="s">
        <v>76</v>
      </c>
      <c r="D924" t="s">
        <v>11</v>
      </c>
      <c r="E924">
        <v>27.171468000000001</v>
      </c>
    </row>
    <row r="925" spans="1:5">
      <c r="A925">
        <v>2011</v>
      </c>
      <c r="B925" t="s">
        <v>0</v>
      </c>
      <c r="C925" t="s">
        <v>77</v>
      </c>
      <c r="D925" t="s">
        <v>11</v>
      </c>
      <c r="E925">
        <v>11.150758</v>
      </c>
    </row>
    <row r="926" spans="1:5">
      <c r="A926">
        <v>2011</v>
      </c>
      <c r="B926" t="s">
        <v>0</v>
      </c>
      <c r="C926" t="s">
        <v>78</v>
      </c>
      <c r="D926" t="s">
        <v>11</v>
      </c>
      <c r="E926">
        <v>17.203434999999999</v>
      </c>
    </row>
    <row r="927" spans="1:5">
      <c r="A927">
        <v>2011</v>
      </c>
      <c r="B927" t="s">
        <v>36</v>
      </c>
      <c r="C927" t="s">
        <v>36</v>
      </c>
      <c r="D927" t="s">
        <v>12</v>
      </c>
      <c r="E927">
        <v>55.080240000000003</v>
      </c>
    </row>
    <row r="928" spans="1:5">
      <c r="A928">
        <v>2011</v>
      </c>
      <c r="B928" t="s">
        <v>37</v>
      </c>
      <c r="C928" t="s">
        <v>43</v>
      </c>
      <c r="D928" t="s">
        <v>12</v>
      </c>
      <c r="E928">
        <v>54.745257000000002</v>
      </c>
    </row>
    <row r="929" spans="1:5">
      <c r="A929">
        <v>2011</v>
      </c>
      <c r="B929" t="s">
        <v>37</v>
      </c>
      <c r="C929" t="s">
        <v>44</v>
      </c>
      <c r="D929" t="s">
        <v>12</v>
      </c>
      <c r="E929">
        <v>54.440142000000002</v>
      </c>
    </row>
    <row r="930" spans="1:5">
      <c r="A930">
        <v>2011</v>
      </c>
      <c r="B930" t="s">
        <v>37</v>
      </c>
      <c r="C930" t="s">
        <v>45</v>
      </c>
      <c r="D930" t="s">
        <v>12</v>
      </c>
      <c r="E930">
        <v>54.849407999999997</v>
      </c>
    </row>
    <row r="931" spans="1:5">
      <c r="A931">
        <v>2011</v>
      </c>
      <c r="B931" t="s">
        <v>37</v>
      </c>
      <c r="C931" t="s">
        <v>46</v>
      </c>
      <c r="D931" t="s">
        <v>12</v>
      </c>
      <c r="E931">
        <v>59.06514</v>
      </c>
    </row>
    <row r="932" spans="1:5">
      <c r="A932">
        <v>2011</v>
      </c>
      <c r="B932" t="s">
        <v>38</v>
      </c>
      <c r="C932" t="s">
        <v>47</v>
      </c>
      <c r="D932" t="s">
        <v>12</v>
      </c>
      <c r="E932">
        <v>55.277810000000002</v>
      </c>
    </row>
    <row r="933" spans="1:5">
      <c r="A933">
        <v>2011</v>
      </c>
      <c r="B933" t="s">
        <v>38</v>
      </c>
      <c r="C933" t="s">
        <v>48</v>
      </c>
      <c r="D933" t="s">
        <v>12</v>
      </c>
      <c r="E933">
        <v>54.994352999999997</v>
      </c>
    </row>
    <row r="934" spans="1:5">
      <c r="A934">
        <v>2011</v>
      </c>
      <c r="B934" t="s">
        <v>38</v>
      </c>
      <c r="C934" t="s">
        <v>49</v>
      </c>
      <c r="D934" t="s">
        <v>12</v>
      </c>
      <c r="E934">
        <v>55.040123999999999</v>
      </c>
    </row>
    <row r="935" spans="1:5">
      <c r="A935">
        <v>2011</v>
      </c>
      <c r="B935" t="s">
        <v>38</v>
      </c>
      <c r="C935" t="s">
        <v>50</v>
      </c>
      <c r="D935" t="s">
        <v>12</v>
      </c>
      <c r="E935">
        <v>55.137407000000003</v>
      </c>
    </row>
    <row r="936" spans="1:5">
      <c r="A936">
        <v>2011</v>
      </c>
      <c r="B936" t="s">
        <v>39</v>
      </c>
      <c r="C936" t="s">
        <v>51</v>
      </c>
      <c r="D936" t="s">
        <v>12</v>
      </c>
      <c r="E936">
        <v>56.119703000000001</v>
      </c>
    </row>
    <row r="937" spans="1:5">
      <c r="A937">
        <v>2011</v>
      </c>
      <c r="B937" t="s">
        <v>39</v>
      </c>
      <c r="C937" t="s">
        <v>52</v>
      </c>
      <c r="D937" t="s">
        <v>12</v>
      </c>
      <c r="E937">
        <v>53.987912000000001</v>
      </c>
    </row>
    <row r="938" spans="1:5">
      <c r="A938">
        <v>2011</v>
      </c>
      <c r="B938" t="s">
        <v>40</v>
      </c>
      <c r="C938" t="s">
        <v>53</v>
      </c>
      <c r="D938" t="s">
        <v>12</v>
      </c>
      <c r="E938">
        <v>53.825913999999997</v>
      </c>
    </row>
    <row r="939" spans="1:5">
      <c r="A939">
        <v>2011</v>
      </c>
      <c r="B939" t="s">
        <v>40</v>
      </c>
      <c r="C939" t="s">
        <v>54</v>
      </c>
      <c r="D939" t="s">
        <v>12</v>
      </c>
      <c r="E939">
        <v>56.089224000000002</v>
      </c>
    </row>
    <row r="940" spans="1:5">
      <c r="A940">
        <v>2011</v>
      </c>
      <c r="B940" t="s">
        <v>41</v>
      </c>
      <c r="C940" t="s">
        <v>55</v>
      </c>
      <c r="D940" t="s">
        <v>12</v>
      </c>
      <c r="E940">
        <v>53.941600999999999</v>
      </c>
    </row>
    <row r="941" spans="1:5">
      <c r="A941">
        <v>2011</v>
      </c>
      <c r="B941" t="s">
        <v>41</v>
      </c>
      <c r="C941" t="s">
        <v>56</v>
      </c>
      <c r="D941" t="s">
        <v>12</v>
      </c>
      <c r="E941">
        <v>55.637312999999999</v>
      </c>
    </row>
    <row r="942" spans="1:5">
      <c r="A942">
        <v>2011</v>
      </c>
      <c r="B942" t="s">
        <v>42</v>
      </c>
      <c r="C942" t="s">
        <v>57</v>
      </c>
      <c r="D942" t="s">
        <v>12</v>
      </c>
      <c r="E942">
        <v>54.118000000000002</v>
      </c>
    </row>
    <row r="943" spans="1:5">
      <c r="A943">
        <v>2011</v>
      </c>
      <c r="B943" t="s">
        <v>42</v>
      </c>
      <c r="C943" t="s">
        <v>58</v>
      </c>
      <c r="D943" t="s">
        <v>12</v>
      </c>
      <c r="E943">
        <v>54.385013999999998</v>
      </c>
    </row>
    <row r="944" spans="1:5">
      <c r="A944">
        <v>2011</v>
      </c>
      <c r="B944" t="s">
        <v>42</v>
      </c>
      <c r="C944" t="s">
        <v>59</v>
      </c>
      <c r="D944" t="s">
        <v>12</v>
      </c>
      <c r="E944">
        <v>54.294899999999998</v>
      </c>
    </row>
    <row r="945" spans="1:5">
      <c r="A945">
        <v>2011</v>
      </c>
      <c r="B945" t="s">
        <v>42</v>
      </c>
      <c r="C945" t="s">
        <v>60</v>
      </c>
      <c r="D945" t="s">
        <v>12</v>
      </c>
      <c r="E945">
        <v>53.970846999999999</v>
      </c>
    </row>
    <row r="946" spans="1:5">
      <c r="A946">
        <v>2011</v>
      </c>
      <c r="B946" t="s">
        <v>0</v>
      </c>
      <c r="C946" t="s">
        <v>61</v>
      </c>
      <c r="D946" t="s">
        <v>12</v>
      </c>
      <c r="E946">
        <v>61.651988000000003</v>
      </c>
    </row>
    <row r="947" spans="1:5">
      <c r="A947">
        <v>2011</v>
      </c>
      <c r="B947" t="s">
        <v>0</v>
      </c>
      <c r="C947" t="s">
        <v>62</v>
      </c>
      <c r="D947" t="s">
        <v>12</v>
      </c>
      <c r="E947">
        <v>65.514184</v>
      </c>
    </row>
    <row r="948" spans="1:5">
      <c r="A948">
        <v>2011</v>
      </c>
      <c r="B948" t="s">
        <v>0</v>
      </c>
      <c r="C948" t="s">
        <v>63</v>
      </c>
      <c r="D948" t="s">
        <v>12</v>
      </c>
      <c r="E948">
        <v>58.445945999999999</v>
      </c>
    </row>
    <row r="949" spans="1:5">
      <c r="A949">
        <v>2011</v>
      </c>
      <c r="B949" t="s">
        <v>0</v>
      </c>
      <c r="C949" t="s">
        <v>64</v>
      </c>
      <c r="D949" t="s">
        <v>12</v>
      </c>
      <c r="E949">
        <v>45.089295999999997</v>
      </c>
    </row>
    <row r="950" spans="1:5">
      <c r="A950">
        <v>2011</v>
      </c>
      <c r="B950" t="s">
        <v>0</v>
      </c>
      <c r="C950" t="s">
        <v>65</v>
      </c>
      <c r="D950" t="s">
        <v>12</v>
      </c>
      <c r="E950">
        <v>58.690184000000002</v>
      </c>
    </row>
    <row r="951" spans="1:5">
      <c r="A951">
        <v>2011</v>
      </c>
      <c r="B951" t="s">
        <v>0</v>
      </c>
      <c r="C951" t="s">
        <v>66</v>
      </c>
      <c r="D951" t="s">
        <v>12</v>
      </c>
      <c r="E951">
        <v>50.976362000000002</v>
      </c>
    </row>
    <row r="952" spans="1:5">
      <c r="A952">
        <v>2011</v>
      </c>
      <c r="B952" t="s">
        <v>0</v>
      </c>
      <c r="C952" t="s">
        <v>67</v>
      </c>
      <c r="D952" t="s">
        <v>12</v>
      </c>
      <c r="E952">
        <v>38.402614</v>
      </c>
    </row>
    <row r="953" spans="1:5">
      <c r="A953">
        <v>2011</v>
      </c>
      <c r="B953" t="s">
        <v>0</v>
      </c>
      <c r="C953" t="s">
        <v>68</v>
      </c>
      <c r="D953" t="s">
        <v>12</v>
      </c>
      <c r="E953">
        <v>44.675325000000001</v>
      </c>
    </row>
    <row r="954" spans="1:5">
      <c r="A954">
        <v>2011</v>
      </c>
      <c r="B954" t="s">
        <v>0</v>
      </c>
      <c r="C954" t="s">
        <v>69</v>
      </c>
      <c r="D954" t="s">
        <v>12</v>
      </c>
      <c r="E954">
        <v>58.176399000000004</v>
      </c>
    </row>
    <row r="955" spans="1:5">
      <c r="A955">
        <v>2011</v>
      </c>
      <c r="B955" t="s">
        <v>0</v>
      </c>
      <c r="C955" t="s">
        <v>70</v>
      </c>
      <c r="D955" t="s">
        <v>12</v>
      </c>
      <c r="E955">
        <v>51.226773999999999</v>
      </c>
    </row>
    <row r="956" spans="1:5">
      <c r="A956">
        <v>2011</v>
      </c>
      <c r="B956" t="s">
        <v>0</v>
      </c>
      <c r="C956" t="s">
        <v>71</v>
      </c>
      <c r="D956" t="s">
        <v>12</v>
      </c>
      <c r="E956">
        <v>61.373390999999998</v>
      </c>
    </row>
    <row r="957" spans="1:5">
      <c r="A957">
        <v>2011</v>
      </c>
      <c r="B957" t="s">
        <v>0</v>
      </c>
      <c r="C957" t="s">
        <v>72</v>
      </c>
      <c r="D957" t="s">
        <v>12</v>
      </c>
      <c r="E957">
        <v>62.039304999999999</v>
      </c>
    </row>
    <row r="958" spans="1:5">
      <c r="A958">
        <v>2011</v>
      </c>
      <c r="B958" t="s">
        <v>0</v>
      </c>
      <c r="C958" t="s">
        <v>73</v>
      </c>
      <c r="D958" t="s">
        <v>12</v>
      </c>
      <c r="E958">
        <v>50.520833000000003</v>
      </c>
    </row>
    <row r="959" spans="1:5">
      <c r="A959">
        <v>2011</v>
      </c>
      <c r="B959" t="s">
        <v>0</v>
      </c>
      <c r="C959" t="s">
        <v>74</v>
      </c>
      <c r="D959" t="s">
        <v>12</v>
      </c>
      <c r="E959">
        <v>62.347825999999998</v>
      </c>
    </row>
    <row r="960" spans="1:5">
      <c r="A960">
        <v>2011</v>
      </c>
      <c r="B960" t="s">
        <v>0</v>
      </c>
      <c r="C960" t="s">
        <v>75</v>
      </c>
      <c r="D960" t="s">
        <v>12</v>
      </c>
      <c r="E960">
        <v>55.649901999999997</v>
      </c>
    </row>
    <row r="961" spans="1:5">
      <c r="A961">
        <v>2011</v>
      </c>
      <c r="B961" t="s">
        <v>0</v>
      </c>
      <c r="C961" t="s">
        <v>76</v>
      </c>
      <c r="D961" t="s">
        <v>12</v>
      </c>
      <c r="E961">
        <v>54.414960000000001</v>
      </c>
    </row>
    <row r="962" spans="1:5">
      <c r="A962">
        <v>2011</v>
      </c>
      <c r="B962" t="s">
        <v>0</v>
      </c>
      <c r="C962" t="s">
        <v>77</v>
      </c>
      <c r="D962" t="s">
        <v>12</v>
      </c>
      <c r="E962">
        <v>60.392507000000002</v>
      </c>
    </row>
    <row r="963" spans="1:5">
      <c r="A963">
        <v>2011</v>
      </c>
      <c r="B963" t="s">
        <v>0</v>
      </c>
      <c r="C963" t="s">
        <v>78</v>
      </c>
      <c r="D963" t="s">
        <v>12</v>
      </c>
      <c r="E963">
        <v>50.146959000000003</v>
      </c>
    </row>
    <row r="964" spans="1:5">
      <c r="A964">
        <v>2011</v>
      </c>
      <c r="B964" t="s">
        <v>36</v>
      </c>
      <c r="C964" t="s">
        <v>36</v>
      </c>
      <c r="D964" t="s">
        <v>13</v>
      </c>
      <c r="E964">
        <v>18.159362999999999</v>
      </c>
    </row>
    <row r="965" spans="1:5">
      <c r="A965">
        <v>2011</v>
      </c>
      <c r="B965" t="s">
        <v>37</v>
      </c>
      <c r="C965" t="s">
        <v>43</v>
      </c>
      <c r="D965" t="s">
        <v>13</v>
      </c>
      <c r="E965">
        <v>15.555147</v>
      </c>
    </row>
    <row r="966" spans="1:5">
      <c r="A966">
        <v>2011</v>
      </c>
      <c r="B966" t="s">
        <v>37</v>
      </c>
      <c r="C966" t="s">
        <v>44</v>
      </c>
      <c r="D966" t="s">
        <v>13</v>
      </c>
      <c r="E966">
        <v>19.780434</v>
      </c>
    </row>
    <row r="967" spans="1:5">
      <c r="A967">
        <v>2011</v>
      </c>
      <c r="B967" t="s">
        <v>37</v>
      </c>
      <c r="C967" t="s">
        <v>45</v>
      </c>
      <c r="D967" t="s">
        <v>13</v>
      </c>
      <c r="E967">
        <v>19.653562000000001</v>
      </c>
    </row>
    <row r="968" spans="1:5">
      <c r="A968">
        <v>2011</v>
      </c>
      <c r="B968" t="s">
        <v>37</v>
      </c>
      <c r="C968" t="s">
        <v>46</v>
      </c>
      <c r="D968" t="s">
        <v>13</v>
      </c>
      <c r="E968">
        <v>14.351789</v>
      </c>
    </row>
    <row r="969" spans="1:5">
      <c r="A969">
        <v>2011</v>
      </c>
      <c r="B969" t="s">
        <v>38</v>
      </c>
      <c r="C969" t="s">
        <v>47</v>
      </c>
      <c r="D969" t="s">
        <v>13</v>
      </c>
      <c r="E969">
        <v>21.355512000000001</v>
      </c>
    </row>
    <row r="970" spans="1:5">
      <c r="A970">
        <v>2011</v>
      </c>
      <c r="B970" t="s">
        <v>38</v>
      </c>
      <c r="C970" t="s">
        <v>48</v>
      </c>
      <c r="D970" t="s">
        <v>13</v>
      </c>
      <c r="E970">
        <v>17.766967999999999</v>
      </c>
    </row>
    <row r="971" spans="1:5">
      <c r="A971">
        <v>2011</v>
      </c>
      <c r="B971" t="s">
        <v>38</v>
      </c>
      <c r="C971" t="s">
        <v>49</v>
      </c>
      <c r="D971" t="s">
        <v>13</v>
      </c>
      <c r="E971">
        <v>16.454522999999998</v>
      </c>
    </row>
    <row r="972" spans="1:5">
      <c r="A972">
        <v>2011</v>
      </c>
      <c r="B972" t="s">
        <v>38</v>
      </c>
      <c r="C972" t="s">
        <v>50</v>
      </c>
      <c r="D972" t="s">
        <v>13</v>
      </c>
      <c r="E972">
        <v>18.751474999999999</v>
      </c>
    </row>
    <row r="973" spans="1:5">
      <c r="A973">
        <v>2011</v>
      </c>
      <c r="B973" t="s">
        <v>39</v>
      </c>
      <c r="C973" t="s">
        <v>51</v>
      </c>
      <c r="D973" t="s">
        <v>13</v>
      </c>
      <c r="E973">
        <v>17.084039000000001</v>
      </c>
    </row>
    <row r="974" spans="1:5">
      <c r="A974">
        <v>2011</v>
      </c>
      <c r="B974" t="s">
        <v>39</v>
      </c>
      <c r="C974" t="s">
        <v>52</v>
      </c>
      <c r="D974" t="s">
        <v>13</v>
      </c>
      <c r="E974">
        <v>19.289373999999999</v>
      </c>
    </row>
    <row r="975" spans="1:5">
      <c r="A975">
        <v>2011</v>
      </c>
      <c r="B975" t="s">
        <v>40</v>
      </c>
      <c r="C975" t="s">
        <v>53</v>
      </c>
      <c r="D975" t="s">
        <v>13</v>
      </c>
      <c r="E975">
        <v>19.046496999999999</v>
      </c>
    </row>
    <row r="976" spans="1:5">
      <c r="A976">
        <v>2011</v>
      </c>
      <c r="B976" t="s">
        <v>40</v>
      </c>
      <c r="C976" t="s">
        <v>54</v>
      </c>
      <c r="D976" t="s">
        <v>13</v>
      </c>
      <c r="E976">
        <v>17.479398</v>
      </c>
    </row>
    <row r="977" spans="1:5">
      <c r="A977">
        <v>2011</v>
      </c>
      <c r="B977" t="s">
        <v>41</v>
      </c>
      <c r="C977" t="s">
        <v>55</v>
      </c>
      <c r="D977" t="s">
        <v>13</v>
      </c>
      <c r="E977">
        <v>17.202033</v>
      </c>
    </row>
    <row r="978" spans="1:5">
      <c r="A978">
        <v>2011</v>
      </c>
      <c r="B978" t="s">
        <v>41</v>
      </c>
      <c r="C978" t="s">
        <v>56</v>
      </c>
      <c r="D978" t="s">
        <v>13</v>
      </c>
      <c r="E978">
        <v>18.592794000000001</v>
      </c>
    </row>
    <row r="979" spans="1:5">
      <c r="A979">
        <v>2011</v>
      </c>
      <c r="B979" t="s">
        <v>42</v>
      </c>
      <c r="C979" t="s">
        <v>57</v>
      </c>
      <c r="D979" t="s">
        <v>13</v>
      </c>
      <c r="E979">
        <v>22.917438000000001</v>
      </c>
    </row>
    <row r="980" spans="1:5">
      <c r="A980">
        <v>2011</v>
      </c>
      <c r="B980" t="s">
        <v>42</v>
      </c>
      <c r="C980" t="s">
        <v>58</v>
      </c>
      <c r="D980" t="s">
        <v>13</v>
      </c>
      <c r="E980">
        <v>18.759236000000001</v>
      </c>
    </row>
    <row r="981" spans="1:5">
      <c r="A981">
        <v>2011</v>
      </c>
      <c r="B981" t="s">
        <v>42</v>
      </c>
      <c r="C981" t="s">
        <v>59</v>
      </c>
      <c r="D981" t="s">
        <v>13</v>
      </c>
      <c r="E981">
        <v>18.609627</v>
      </c>
    </row>
    <row r="982" spans="1:5">
      <c r="A982">
        <v>2011</v>
      </c>
      <c r="B982" t="s">
        <v>42</v>
      </c>
      <c r="C982" t="s">
        <v>60</v>
      </c>
      <c r="D982" t="s">
        <v>13</v>
      </c>
      <c r="E982">
        <v>15.094306</v>
      </c>
    </row>
    <row r="983" spans="1:5">
      <c r="A983">
        <v>2011</v>
      </c>
      <c r="B983" t="s">
        <v>0</v>
      </c>
      <c r="C983" t="s">
        <v>61</v>
      </c>
      <c r="D983" t="s">
        <v>13</v>
      </c>
      <c r="E983">
        <v>15.851944</v>
      </c>
    </row>
    <row r="984" spans="1:5">
      <c r="A984">
        <v>2011</v>
      </c>
      <c r="B984" t="s">
        <v>0</v>
      </c>
      <c r="C984" t="s">
        <v>62</v>
      </c>
      <c r="D984" t="s">
        <v>13</v>
      </c>
      <c r="E984">
        <v>20.656027999999999</v>
      </c>
    </row>
    <row r="985" spans="1:5">
      <c r="A985">
        <v>2011</v>
      </c>
      <c r="B985" t="s">
        <v>0</v>
      </c>
      <c r="C985" t="s">
        <v>63</v>
      </c>
      <c r="D985" t="s">
        <v>13</v>
      </c>
      <c r="E985">
        <v>14.10473</v>
      </c>
    </row>
    <row r="986" spans="1:5">
      <c r="A986">
        <v>2011</v>
      </c>
      <c r="B986" t="s">
        <v>0</v>
      </c>
      <c r="C986" t="s">
        <v>64</v>
      </c>
      <c r="D986" t="s">
        <v>13</v>
      </c>
      <c r="E986">
        <v>5.3194547999999999</v>
      </c>
    </row>
    <row r="987" spans="1:5">
      <c r="A987">
        <v>2011</v>
      </c>
      <c r="B987" t="s">
        <v>0</v>
      </c>
      <c r="C987" t="s">
        <v>65</v>
      </c>
      <c r="D987" t="s">
        <v>13</v>
      </c>
      <c r="E987">
        <v>9.9695757</v>
      </c>
    </row>
    <row r="988" spans="1:5">
      <c r="A988">
        <v>2011</v>
      </c>
      <c r="B988" t="s">
        <v>0</v>
      </c>
      <c r="C988" t="s">
        <v>66</v>
      </c>
      <c r="D988" t="s">
        <v>13</v>
      </c>
      <c r="E988">
        <v>22.096608</v>
      </c>
    </row>
    <row r="989" spans="1:5">
      <c r="A989">
        <v>2011</v>
      </c>
      <c r="B989" t="s">
        <v>0</v>
      </c>
      <c r="C989" t="s">
        <v>67</v>
      </c>
      <c r="D989" t="s">
        <v>13</v>
      </c>
      <c r="E989">
        <v>5.2663774999999999</v>
      </c>
    </row>
    <row r="990" spans="1:5">
      <c r="A990">
        <v>2011</v>
      </c>
      <c r="B990" t="s">
        <v>0</v>
      </c>
      <c r="C990" t="s">
        <v>68</v>
      </c>
      <c r="D990" t="s">
        <v>13</v>
      </c>
      <c r="E990">
        <v>40.865800999999998</v>
      </c>
    </row>
    <row r="991" spans="1:5">
      <c r="A991">
        <v>2011</v>
      </c>
      <c r="B991" t="s">
        <v>0</v>
      </c>
      <c r="C991" t="s">
        <v>69</v>
      </c>
      <c r="D991" t="s">
        <v>13</v>
      </c>
      <c r="E991">
        <v>14.98016</v>
      </c>
    </row>
    <row r="992" spans="1:5">
      <c r="A992">
        <v>2011</v>
      </c>
      <c r="B992" t="s">
        <v>0</v>
      </c>
      <c r="C992" t="s">
        <v>70</v>
      </c>
      <c r="D992" t="s">
        <v>13</v>
      </c>
      <c r="E992">
        <v>8.9712744999999998</v>
      </c>
    </row>
    <row r="993" spans="1:5">
      <c r="A993">
        <v>2011</v>
      </c>
      <c r="B993" t="s">
        <v>0</v>
      </c>
      <c r="C993" t="s">
        <v>71</v>
      </c>
      <c r="D993" t="s">
        <v>13</v>
      </c>
      <c r="E993">
        <v>13.390558</v>
      </c>
    </row>
    <row r="994" spans="1:5">
      <c r="A994">
        <v>2011</v>
      </c>
      <c r="B994" t="s">
        <v>0</v>
      </c>
      <c r="C994" t="s">
        <v>72</v>
      </c>
      <c r="D994" t="s">
        <v>13</v>
      </c>
      <c r="E994">
        <v>23.048921</v>
      </c>
    </row>
    <row r="995" spans="1:5">
      <c r="A995">
        <v>2011</v>
      </c>
      <c r="B995" t="s">
        <v>0</v>
      </c>
      <c r="C995" t="s">
        <v>73</v>
      </c>
      <c r="D995" t="s">
        <v>13</v>
      </c>
      <c r="E995">
        <v>27.1875</v>
      </c>
    </row>
    <row r="996" spans="1:5">
      <c r="A996">
        <v>2011</v>
      </c>
      <c r="B996" t="s">
        <v>0</v>
      </c>
      <c r="C996" t="s">
        <v>74</v>
      </c>
      <c r="D996" t="s">
        <v>13</v>
      </c>
      <c r="E996">
        <v>13.043478</v>
      </c>
    </row>
    <row r="997" spans="1:5">
      <c r="A997">
        <v>2011</v>
      </c>
      <c r="B997" t="s">
        <v>0</v>
      </c>
      <c r="C997" t="s">
        <v>75</v>
      </c>
      <c r="D997" t="s">
        <v>13</v>
      </c>
      <c r="E997">
        <v>20.748965999999999</v>
      </c>
    </row>
    <row r="998" spans="1:5">
      <c r="A998">
        <v>2011</v>
      </c>
      <c r="B998" t="s">
        <v>0</v>
      </c>
      <c r="C998" t="s">
        <v>76</v>
      </c>
      <c r="D998" t="s">
        <v>13</v>
      </c>
      <c r="E998">
        <v>15.183306</v>
      </c>
    </row>
    <row r="999" spans="1:5">
      <c r="A999">
        <v>2011</v>
      </c>
      <c r="B999" t="s">
        <v>0</v>
      </c>
      <c r="C999" t="s">
        <v>77</v>
      </c>
      <c r="D999" t="s">
        <v>13</v>
      </c>
      <c r="E999">
        <v>27.564674</v>
      </c>
    </row>
    <row r="1000" spans="1:5">
      <c r="A1000">
        <v>2011</v>
      </c>
      <c r="B1000" t="s">
        <v>0</v>
      </c>
      <c r="C1000" t="s">
        <v>78</v>
      </c>
      <c r="D1000" t="s">
        <v>13</v>
      </c>
      <c r="E1000">
        <v>28.883141999999999</v>
      </c>
    </row>
    <row r="1001" spans="1:5">
      <c r="A1001">
        <v>2011</v>
      </c>
      <c r="B1001" t="s">
        <v>36</v>
      </c>
      <c r="C1001" t="s">
        <v>36</v>
      </c>
      <c r="D1001" t="s">
        <v>14</v>
      </c>
      <c r="E1001">
        <v>2.2791212999999999</v>
      </c>
    </row>
    <row r="1002" spans="1:5">
      <c r="A1002">
        <v>2011</v>
      </c>
      <c r="B1002" t="s">
        <v>37</v>
      </c>
      <c r="C1002" t="s">
        <v>43</v>
      </c>
      <c r="D1002" t="s">
        <v>14</v>
      </c>
      <c r="E1002">
        <v>2.3660234999999998</v>
      </c>
    </row>
    <row r="1003" spans="1:5">
      <c r="A1003">
        <v>2011</v>
      </c>
      <c r="B1003" t="s">
        <v>37</v>
      </c>
      <c r="C1003" t="s">
        <v>44</v>
      </c>
      <c r="D1003" t="s">
        <v>14</v>
      </c>
      <c r="E1003">
        <v>2.3963549999999998</v>
      </c>
    </row>
    <row r="1004" spans="1:5">
      <c r="A1004">
        <v>2011</v>
      </c>
      <c r="B1004" t="s">
        <v>37</v>
      </c>
      <c r="C1004" t="s">
        <v>45</v>
      </c>
      <c r="D1004" t="s">
        <v>14</v>
      </c>
      <c r="E1004">
        <v>1.8720109</v>
      </c>
    </row>
    <row r="1005" spans="1:5">
      <c r="A1005">
        <v>2011</v>
      </c>
      <c r="B1005" t="s">
        <v>37</v>
      </c>
      <c r="C1005" t="s">
        <v>46</v>
      </c>
      <c r="D1005" t="s">
        <v>14</v>
      </c>
      <c r="E1005">
        <v>2.4185550999999998</v>
      </c>
    </row>
    <row r="1006" spans="1:5">
      <c r="A1006">
        <v>2011</v>
      </c>
      <c r="B1006" t="s">
        <v>38</v>
      </c>
      <c r="C1006" t="s">
        <v>47</v>
      </c>
      <c r="D1006" t="s">
        <v>14</v>
      </c>
      <c r="E1006">
        <v>2.4745186000000001</v>
      </c>
    </row>
    <row r="1007" spans="1:5">
      <c r="A1007">
        <v>2011</v>
      </c>
      <c r="B1007" t="s">
        <v>38</v>
      </c>
      <c r="C1007" t="s">
        <v>48</v>
      </c>
      <c r="D1007" t="s">
        <v>14</v>
      </c>
      <c r="E1007">
        <v>2.1271018000000002</v>
      </c>
    </row>
    <row r="1008" spans="1:5">
      <c r="A1008">
        <v>2011</v>
      </c>
      <c r="B1008" t="s">
        <v>38</v>
      </c>
      <c r="C1008" t="s">
        <v>49</v>
      </c>
      <c r="D1008" t="s">
        <v>14</v>
      </c>
      <c r="E1008">
        <v>2.5087093</v>
      </c>
    </row>
    <row r="1009" spans="1:5">
      <c r="A1009">
        <v>2011</v>
      </c>
      <c r="B1009" t="s">
        <v>38</v>
      </c>
      <c r="C1009" t="s">
        <v>50</v>
      </c>
      <c r="D1009" t="s">
        <v>14</v>
      </c>
      <c r="E1009">
        <v>1.6596591000000001</v>
      </c>
    </row>
    <row r="1010" spans="1:5">
      <c r="A1010">
        <v>2011</v>
      </c>
      <c r="B1010" t="s">
        <v>39</v>
      </c>
      <c r="C1010" t="s">
        <v>51</v>
      </c>
      <c r="D1010" t="s">
        <v>14</v>
      </c>
      <c r="E1010">
        <v>2.1483783000000001</v>
      </c>
    </row>
    <row r="1011" spans="1:5">
      <c r="A1011">
        <v>2011</v>
      </c>
      <c r="B1011" t="s">
        <v>39</v>
      </c>
      <c r="C1011" t="s">
        <v>52</v>
      </c>
      <c r="D1011" t="s">
        <v>14</v>
      </c>
      <c r="E1011">
        <v>2.4165135000000002</v>
      </c>
    </row>
    <row r="1012" spans="1:5">
      <c r="A1012">
        <v>2011</v>
      </c>
      <c r="B1012" t="s">
        <v>40</v>
      </c>
      <c r="C1012" t="s">
        <v>53</v>
      </c>
      <c r="D1012" t="s">
        <v>14</v>
      </c>
      <c r="E1012">
        <v>2.4105088000000001</v>
      </c>
    </row>
    <row r="1013" spans="1:5">
      <c r="A1013">
        <v>2011</v>
      </c>
      <c r="B1013" t="s">
        <v>40</v>
      </c>
      <c r="C1013" t="s">
        <v>54</v>
      </c>
      <c r="D1013" t="s">
        <v>14</v>
      </c>
      <c r="E1013">
        <v>2.1958687000000001</v>
      </c>
    </row>
    <row r="1014" spans="1:5">
      <c r="A1014">
        <v>2011</v>
      </c>
      <c r="B1014" t="s">
        <v>41</v>
      </c>
      <c r="C1014" t="s">
        <v>55</v>
      </c>
      <c r="D1014" t="s">
        <v>14</v>
      </c>
      <c r="E1014">
        <v>2.3523603</v>
      </c>
    </row>
    <row r="1015" spans="1:5">
      <c r="A1015">
        <v>2011</v>
      </c>
      <c r="B1015" t="s">
        <v>41</v>
      </c>
      <c r="C1015" t="s">
        <v>56</v>
      </c>
      <c r="D1015" t="s">
        <v>14</v>
      </c>
      <c r="E1015">
        <v>2.2379107999999999</v>
      </c>
    </row>
    <row r="1016" spans="1:5">
      <c r="A1016">
        <v>2011</v>
      </c>
      <c r="B1016" t="s">
        <v>42</v>
      </c>
      <c r="C1016" t="s">
        <v>57</v>
      </c>
      <c r="D1016" t="s">
        <v>14</v>
      </c>
      <c r="E1016">
        <v>3.6417212000000001</v>
      </c>
    </row>
    <row r="1017" spans="1:5">
      <c r="A1017">
        <v>2011</v>
      </c>
      <c r="B1017" t="s">
        <v>42</v>
      </c>
      <c r="C1017" t="s">
        <v>58</v>
      </c>
      <c r="D1017" t="s">
        <v>14</v>
      </c>
      <c r="E1017">
        <v>2.2498393000000001</v>
      </c>
    </row>
    <row r="1018" spans="1:5">
      <c r="A1018">
        <v>2011</v>
      </c>
      <c r="B1018" t="s">
        <v>42</v>
      </c>
      <c r="C1018" t="s">
        <v>59</v>
      </c>
      <c r="D1018" t="s">
        <v>14</v>
      </c>
      <c r="E1018">
        <v>2.5982349999999999</v>
      </c>
    </row>
    <row r="1019" spans="1:5">
      <c r="A1019">
        <v>2011</v>
      </c>
      <c r="B1019" t="s">
        <v>42</v>
      </c>
      <c r="C1019" t="s">
        <v>60</v>
      </c>
      <c r="D1019" t="s">
        <v>14</v>
      </c>
      <c r="E1019">
        <v>2.2998248999999999</v>
      </c>
    </row>
    <row r="1020" spans="1:5">
      <c r="A1020">
        <v>2011</v>
      </c>
      <c r="B1020" t="s">
        <v>0</v>
      </c>
      <c r="C1020" t="s">
        <v>61</v>
      </c>
      <c r="D1020" t="s">
        <v>14</v>
      </c>
      <c r="E1020">
        <v>0.48595155000000001</v>
      </c>
    </row>
    <row r="1021" spans="1:5">
      <c r="A1021">
        <v>2011</v>
      </c>
      <c r="B1021" t="s">
        <v>0</v>
      </c>
      <c r="C1021" t="s">
        <v>62</v>
      </c>
      <c r="D1021" t="s">
        <v>14</v>
      </c>
      <c r="E1021">
        <v>1.2411348</v>
      </c>
    </row>
    <row r="1022" spans="1:5">
      <c r="A1022">
        <v>2011</v>
      </c>
      <c r="B1022" t="s">
        <v>0</v>
      </c>
      <c r="C1022" t="s">
        <v>63</v>
      </c>
      <c r="D1022" t="s">
        <v>14</v>
      </c>
      <c r="E1022">
        <v>0.76013514000000004</v>
      </c>
    </row>
    <row r="1023" spans="1:5">
      <c r="A1023">
        <v>2011</v>
      </c>
      <c r="B1023" t="s">
        <v>0</v>
      </c>
      <c r="C1023" t="s">
        <v>64</v>
      </c>
      <c r="D1023" t="s">
        <v>14</v>
      </c>
      <c r="E1023">
        <v>0.59444315999999997</v>
      </c>
    </row>
    <row r="1024" spans="1:5">
      <c r="A1024">
        <v>2011</v>
      </c>
      <c r="B1024" t="s">
        <v>0</v>
      </c>
      <c r="C1024" t="s">
        <v>65</v>
      </c>
      <c r="D1024" t="s">
        <v>14</v>
      </c>
      <c r="E1024">
        <v>2.2084370999999998</v>
      </c>
    </row>
    <row r="1025" spans="1:5">
      <c r="A1025">
        <v>2011</v>
      </c>
      <c r="B1025" t="s">
        <v>0</v>
      </c>
      <c r="C1025" t="s">
        <v>66</v>
      </c>
      <c r="D1025" t="s">
        <v>14</v>
      </c>
      <c r="E1025">
        <v>2.4665982</v>
      </c>
    </row>
    <row r="1026" spans="1:5">
      <c r="A1026">
        <v>2011</v>
      </c>
      <c r="B1026" t="s">
        <v>0</v>
      </c>
      <c r="C1026" t="s">
        <v>67</v>
      </c>
      <c r="D1026" t="s">
        <v>14</v>
      </c>
      <c r="E1026">
        <v>2.3153226</v>
      </c>
    </row>
    <row r="1027" spans="1:5">
      <c r="A1027">
        <v>2011</v>
      </c>
      <c r="B1027" t="s">
        <v>0</v>
      </c>
      <c r="C1027" t="s">
        <v>68</v>
      </c>
      <c r="D1027" t="s">
        <v>14</v>
      </c>
      <c r="E1027">
        <v>3.5497835000000002</v>
      </c>
    </row>
    <row r="1028" spans="1:5">
      <c r="A1028">
        <v>2011</v>
      </c>
      <c r="B1028" t="s">
        <v>0</v>
      </c>
      <c r="C1028" t="s">
        <v>69</v>
      </c>
      <c r="D1028" t="s">
        <v>14</v>
      </c>
      <c r="E1028">
        <v>1.8423693000000001</v>
      </c>
    </row>
    <row r="1029" spans="1:5">
      <c r="A1029">
        <v>2011</v>
      </c>
      <c r="B1029" t="s">
        <v>0</v>
      </c>
      <c r="C1029" t="s">
        <v>70</v>
      </c>
      <c r="D1029" t="s">
        <v>14</v>
      </c>
      <c r="E1029">
        <v>3.3867641000000002</v>
      </c>
    </row>
    <row r="1030" spans="1:5">
      <c r="A1030">
        <v>2011</v>
      </c>
      <c r="B1030" t="s">
        <v>0</v>
      </c>
      <c r="C1030" t="s">
        <v>71</v>
      </c>
      <c r="D1030" t="s">
        <v>14</v>
      </c>
      <c r="E1030">
        <v>1.888412</v>
      </c>
    </row>
    <row r="1031" spans="1:5">
      <c r="A1031">
        <v>2011</v>
      </c>
      <c r="B1031" t="s">
        <v>0</v>
      </c>
      <c r="C1031" t="s">
        <v>72</v>
      </c>
      <c r="D1031" t="s">
        <v>14</v>
      </c>
      <c r="E1031">
        <v>4.2479526999999999</v>
      </c>
    </row>
    <row r="1032" spans="1:5">
      <c r="A1032">
        <v>2011</v>
      </c>
      <c r="B1032" t="s">
        <v>0</v>
      </c>
      <c r="C1032" t="s">
        <v>73</v>
      </c>
      <c r="D1032" t="s">
        <v>14</v>
      </c>
      <c r="E1032">
        <v>6.6666667000000004</v>
      </c>
    </row>
    <row r="1033" spans="1:5">
      <c r="A1033">
        <v>2011</v>
      </c>
      <c r="B1033" t="s">
        <v>0</v>
      </c>
      <c r="C1033" t="s">
        <v>74</v>
      </c>
      <c r="D1033" t="s">
        <v>14</v>
      </c>
      <c r="E1033">
        <v>1.1304348</v>
      </c>
    </row>
    <row r="1034" spans="1:5">
      <c r="A1034">
        <v>2011</v>
      </c>
      <c r="B1034" t="s">
        <v>0</v>
      </c>
      <c r="C1034" t="s">
        <v>75</v>
      </c>
      <c r="D1034" t="s">
        <v>14</v>
      </c>
      <c r="E1034">
        <v>2.0030481</v>
      </c>
    </row>
    <row r="1035" spans="1:5">
      <c r="A1035">
        <v>2011</v>
      </c>
      <c r="B1035" t="s">
        <v>0</v>
      </c>
      <c r="C1035" t="s">
        <v>76</v>
      </c>
      <c r="D1035" t="s">
        <v>14</v>
      </c>
      <c r="E1035">
        <v>3.2302662999999998</v>
      </c>
    </row>
    <row r="1036" spans="1:5">
      <c r="A1036">
        <v>2011</v>
      </c>
      <c r="B1036" t="s">
        <v>0</v>
      </c>
      <c r="C1036" t="s">
        <v>77</v>
      </c>
      <c r="D1036" t="s">
        <v>14</v>
      </c>
      <c r="E1036">
        <v>0.89206065999999995</v>
      </c>
    </row>
    <row r="1037" spans="1:5">
      <c r="A1037">
        <v>2011</v>
      </c>
      <c r="B1037" t="s">
        <v>0</v>
      </c>
      <c r="C1037" t="s">
        <v>78</v>
      </c>
      <c r="D1037" t="s">
        <v>14</v>
      </c>
      <c r="E1037">
        <v>3.7664635</v>
      </c>
    </row>
    <row r="1038" spans="1:5">
      <c r="A1038">
        <v>2013</v>
      </c>
      <c r="B1038" t="s">
        <v>36</v>
      </c>
      <c r="C1038" t="s">
        <v>36</v>
      </c>
      <c r="D1038" t="s">
        <v>11</v>
      </c>
      <c r="E1038">
        <v>25.944358999999999</v>
      </c>
    </row>
    <row r="1039" spans="1:5">
      <c r="A1039">
        <v>2013</v>
      </c>
      <c r="B1039" t="s">
        <v>37</v>
      </c>
      <c r="C1039" t="s">
        <v>43</v>
      </c>
      <c r="D1039" t="s">
        <v>11</v>
      </c>
      <c r="E1039">
        <v>25.952902999999999</v>
      </c>
    </row>
    <row r="1040" spans="1:5">
      <c r="A1040">
        <v>2013</v>
      </c>
      <c r="B1040" t="s">
        <v>37</v>
      </c>
      <c r="C1040" t="s">
        <v>44</v>
      </c>
      <c r="D1040" t="s">
        <v>11</v>
      </c>
      <c r="E1040">
        <v>26.747999</v>
      </c>
    </row>
    <row r="1041" spans="1:5">
      <c r="A1041">
        <v>2013</v>
      </c>
      <c r="B1041" t="s">
        <v>37</v>
      </c>
      <c r="C1041" t="s">
        <v>45</v>
      </c>
      <c r="D1041" t="s">
        <v>11</v>
      </c>
      <c r="E1041">
        <v>24.710937999999999</v>
      </c>
    </row>
    <row r="1042" spans="1:5">
      <c r="A1042">
        <v>2013</v>
      </c>
      <c r="B1042" t="s">
        <v>37</v>
      </c>
      <c r="C1042" t="s">
        <v>46</v>
      </c>
      <c r="D1042" t="s">
        <v>11</v>
      </c>
      <c r="E1042">
        <v>25.453030999999999</v>
      </c>
    </row>
    <row r="1043" spans="1:5">
      <c r="A1043">
        <v>2013</v>
      </c>
      <c r="B1043" t="s">
        <v>38</v>
      </c>
      <c r="C1043" t="s">
        <v>47</v>
      </c>
      <c r="D1043" t="s">
        <v>11</v>
      </c>
      <c r="E1043">
        <v>22.920591000000002</v>
      </c>
    </row>
    <row r="1044" spans="1:5">
      <c r="A1044">
        <v>2013</v>
      </c>
      <c r="B1044" t="s">
        <v>38</v>
      </c>
      <c r="C1044" t="s">
        <v>48</v>
      </c>
      <c r="D1044" t="s">
        <v>11</v>
      </c>
      <c r="E1044">
        <v>26.933026999999999</v>
      </c>
    </row>
    <row r="1045" spans="1:5">
      <c r="A1045">
        <v>2013</v>
      </c>
      <c r="B1045" t="s">
        <v>38</v>
      </c>
      <c r="C1045" t="s">
        <v>49</v>
      </c>
      <c r="D1045" t="s">
        <v>11</v>
      </c>
      <c r="E1045">
        <v>26.999236</v>
      </c>
    </row>
    <row r="1046" spans="1:5">
      <c r="A1046">
        <v>2013</v>
      </c>
      <c r="B1046" t="s">
        <v>38</v>
      </c>
      <c r="C1046" t="s">
        <v>50</v>
      </c>
      <c r="D1046" t="s">
        <v>11</v>
      </c>
      <c r="E1046">
        <v>24.939415</v>
      </c>
    </row>
    <row r="1047" spans="1:5">
      <c r="A1047">
        <v>2013</v>
      </c>
      <c r="B1047" t="s">
        <v>39</v>
      </c>
      <c r="C1047" t="s">
        <v>51</v>
      </c>
      <c r="D1047" t="s">
        <v>11</v>
      </c>
      <c r="E1047">
        <v>25.733777</v>
      </c>
    </row>
    <row r="1048" spans="1:5">
      <c r="A1048">
        <v>2013</v>
      </c>
      <c r="B1048" t="s">
        <v>39</v>
      </c>
      <c r="C1048" t="s">
        <v>52</v>
      </c>
      <c r="D1048" t="s">
        <v>11</v>
      </c>
      <c r="E1048">
        <v>26.162979</v>
      </c>
    </row>
    <row r="1049" spans="1:5">
      <c r="A1049">
        <v>2013</v>
      </c>
      <c r="B1049" t="s">
        <v>40</v>
      </c>
      <c r="C1049" t="s">
        <v>53</v>
      </c>
      <c r="D1049" t="s">
        <v>11</v>
      </c>
      <c r="E1049">
        <v>24.927471000000001</v>
      </c>
    </row>
    <row r="1050" spans="1:5">
      <c r="A1050">
        <v>2013</v>
      </c>
      <c r="B1050" t="s">
        <v>40</v>
      </c>
      <c r="C1050" t="s">
        <v>54</v>
      </c>
      <c r="D1050" t="s">
        <v>11</v>
      </c>
      <c r="E1050">
        <v>26.715878</v>
      </c>
    </row>
    <row r="1051" spans="1:5">
      <c r="A1051">
        <v>2013</v>
      </c>
      <c r="B1051" t="s">
        <v>41</v>
      </c>
      <c r="C1051" t="s">
        <v>55</v>
      </c>
      <c r="D1051" t="s">
        <v>11</v>
      </c>
      <c r="E1051">
        <v>26.210394999999998</v>
      </c>
    </row>
    <row r="1052" spans="1:5">
      <c r="A1052">
        <v>2013</v>
      </c>
      <c r="B1052" t="s">
        <v>41</v>
      </c>
      <c r="C1052" t="s">
        <v>56</v>
      </c>
      <c r="D1052" t="s">
        <v>11</v>
      </c>
      <c r="E1052">
        <v>25.883241000000002</v>
      </c>
    </row>
    <row r="1053" spans="1:5">
      <c r="A1053">
        <v>2013</v>
      </c>
      <c r="B1053" t="s">
        <v>42</v>
      </c>
      <c r="C1053" t="s">
        <v>57</v>
      </c>
      <c r="D1053" t="s">
        <v>11</v>
      </c>
      <c r="E1053">
        <v>26.826124</v>
      </c>
    </row>
    <row r="1054" spans="1:5">
      <c r="A1054">
        <v>2013</v>
      </c>
      <c r="B1054" t="s">
        <v>42</v>
      </c>
      <c r="C1054" t="s">
        <v>58</v>
      </c>
      <c r="D1054" t="s">
        <v>11</v>
      </c>
      <c r="E1054">
        <v>26.632973</v>
      </c>
    </row>
    <row r="1055" spans="1:5">
      <c r="A1055">
        <v>2013</v>
      </c>
      <c r="B1055" t="s">
        <v>42</v>
      </c>
      <c r="C1055" t="s">
        <v>59</v>
      </c>
      <c r="D1055" t="s">
        <v>11</v>
      </c>
      <c r="E1055">
        <v>25.767897000000001</v>
      </c>
    </row>
    <row r="1056" spans="1:5">
      <c r="A1056">
        <v>2013</v>
      </c>
      <c r="B1056" t="s">
        <v>42</v>
      </c>
      <c r="C1056" t="s">
        <v>60</v>
      </c>
      <c r="D1056" t="s">
        <v>11</v>
      </c>
      <c r="E1056">
        <v>28.077974000000001</v>
      </c>
    </row>
    <row r="1057" spans="1:5">
      <c r="A1057">
        <v>2013</v>
      </c>
      <c r="B1057" t="s">
        <v>0</v>
      </c>
      <c r="C1057" t="s">
        <v>61</v>
      </c>
      <c r="D1057" t="s">
        <v>11</v>
      </c>
      <c r="E1057">
        <v>19.249293999999999</v>
      </c>
    </row>
    <row r="1058" spans="1:5">
      <c r="A1058">
        <v>2013</v>
      </c>
      <c r="B1058" t="s">
        <v>0</v>
      </c>
      <c r="C1058" t="s">
        <v>62</v>
      </c>
      <c r="D1058" t="s">
        <v>11</v>
      </c>
      <c r="E1058">
        <v>11.753731</v>
      </c>
    </row>
    <row r="1059" spans="1:5">
      <c r="A1059">
        <v>2013</v>
      </c>
      <c r="B1059" t="s">
        <v>0</v>
      </c>
      <c r="C1059" t="s">
        <v>63</v>
      </c>
      <c r="D1059" t="s">
        <v>11</v>
      </c>
      <c r="E1059">
        <v>33.073593000000002</v>
      </c>
    </row>
    <row r="1060" spans="1:5">
      <c r="A1060">
        <v>2013</v>
      </c>
      <c r="B1060" t="s">
        <v>0</v>
      </c>
      <c r="C1060" t="s">
        <v>64</v>
      </c>
      <c r="D1060" t="s">
        <v>11</v>
      </c>
      <c r="E1060">
        <v>53.471696999999999</v>
      </c>
    </row>
    <row r="1061" spans="1:5">
      <c r="A1061">
        <v>2013</v>
      </c>
      <c r="B1061" t="s">
        <v>0</v>
      </c>
      <c r="C1061" t="s">
        <v>65</v>
      </c>
      <c r="D1061" t="s">
        <v>11</v>
      </c>
      <c r="E1061">
        <v>36.083834000000003</v>
      </c>
    </row>
    <row r="1062" spans="1:5">
      <c r="A1062">
        <v>2013</v>
      </c>
      <c r="B1062" t="s">
        <v>0</v>
      </c>
      <c r="C1062" t="s">
        <v>66</v>
      </c>
      <c r="D1062" t="s">
        <v>11</v>
      </c>
      <c r="E1062">
        <v>36.441586000000001</v>
      </c>
    </row>
    <row r="1063" spans="1:5">
      <c r="A1063">
        <v>2013</v>
      </c>
      <c r="B1063" t="s">
        <v>0</v>
      </c>
      <c r="C1063" t="s">
        <v>67</v>
      </c>
      <c r="D1063" t="s">
        <v>11</v>
      </c>
      <c r="E1063">
        <v>24.704919</v>
      </c>
    </row>
    <row r="1064" spans="1:5">
      <c r="A1064">
        <v>2013</v>
      </c>
      <c r="B1064" t="s">
        <v>0</v>
      </c>
      <c r="C1064" t="s">
        <v>68</v>
      </c>
      <c r="D1064" t="s">
        <v>11</v>
      </c>
      <c r="E1064">
        <v>8.2819383000000002</v>
      </c>
    </row>
    <row r="1065" spans="1:5">
      <c r="A1065">
        <v>2013</v>
      </c>
      <c r="B1065" t="s">
        <v>0</v>
      </c>
      <c r="C1065" t="s">
        <v>69</v>
      </c>
      <c r="D1065" t="s">
        <v>11</v>
      </c>
      <c r="E1065">
        <v>28.861827000000002</v>
      </c>
    </row>
    <row r="1066" spans="1:5">
      <c r="A1066">
        <v>2013</v>
      </c>
      <c r="B1066" t="s">
        <v>0</v>
      </c>
      <c r="C1066" t="s">
        <v>70</v>
      </c>
      <c r="D1066" t="s">
        <v>11</v>
      </c>
      <c r="E1066">
        <v>36.787528999999999</v>
      </c>
    </row>
    <row r="1067" spans="1:5">
      <c r="A1067">
        <v>2013</v>
      </c>
      <c r="B1067" t="s">
        <v>0</v>
      </c>
      <c r="C1067" t="s">
        <v>71</v>
      </c>
      <c r="D1067" t="s">
        <v>11</v>
      </c>
      <c r="E1067">
        <v>34.446396999999997</v>
      </c>
    </row>
    <row r="1068" spans="1:5">
      <c r="A1068">
        <v>2013</v>
      </c>
      <c r="B1068" t="s">
        <v>0</v>
      </c>
      <c r="C1068" t="s">
        <v>72</v>
      </c>
      <c r="D1068" t="s">
        <v>11</v>
      </c>
      <c r="E1068">
        <v>9.4173276999999995</v>
      </c>
    </row>
    <row r="1069" spans="1:5">
      <c r="A1069">
        <v>2013</v>
      </c>
      <c r="B1069" t="s">
        <v>0</v>
      </c>
      <c r="C1069" t="s">
        <v>73</v>
      </c>
      <c r="D1069" t="s">
        <v>11</v>
      </c>
      <c r="E1069">
        <v>21.670190000000002</v>
      </c>
    </row>
    <row r="1070" spans="1:5">
      <c r="A1070">
        <v>2013</v>
      </c>
      <c r="B1070" t="s">
        <v>0</v>
      </c>
      <c r="C1070" t="s">
        <v>74</v>
      </c>
      <c r="D1070" t="s">
        <v>11</v>
      </c>
      <c r="E1070">
        <v>18.710833000000001</v>
      </c>
    </row>
    <row r="1071" spans="1:5">
      <c r="A1071">
        <v>2013</v>
      </c>
      <c r="B1071" t="s">
        <v>0</v>
      </c>
      <c r="C1071" t="s">
        <v>75</v>
      </c>
      <c r="D1071" t="s">
        <v>11</v>
      </c>
      <c r="E1071">
        <v>43.138514000000001</v>
      </c>
    </row>
    <row r="1072" spans="1:5">
      <c r="A1072">
        <v>2013</v>
      </c>
      <c r="B1072" t="s">
        <v>0</v>
      </c>
      <c r="C1072" t="s">
        <v>76</v>
      </c>
      <c r="D1072" t="s">
        <v>11</v>
      </c>
      <c r="E1072">
        <v>11.035743</v>
      </c>
    </row>
    <row r="1073" spans="1:5">
      <c r="A1073">
        <v>2013</v>
      </c>
      <c r="B1073" t="s">
        <v>0</v>
      </c>
      <c r="C1073" t="s">
        <v>77</v>
      </c>
      <c r="D1073" t="s">
        <v>11</v>
      </c>
      <c r="E1073">
        <v>11.511424</v>
      </c>
    </row>
    <row r="1074" spans="1:5">
      <c r="A1074">
        <v>2013</v>
      </c>
      <c r="B1074" t="s">
        <v>0</v>
      </c>
      <c r="C1074" t="s">
        <v>78</v>
      </c>
      <c r="D1074" t="s">
        <v>11</v>
      </c>
      <c r="E1074">
        <v>22.832618</v>
      </c>
    </row>
    <row r="1075" spans="1:5">
      <c r="A1075">
        <v>2013</v>
      </c>
      <c r="B1075" t="s">
        <v>36</v>
      </c>
      <c r="C1075" t="s">
        <v>36</v>
      </c>
      <c r="D1075" t="s">
        <v>12</v>
      </c>
      <c r="E1075">
        <v>47.093170999999998</v>
      </c>
    </row>
    <row r="1076" spans="1:5">
      <c r="A1076">
        <v>2013</v>
      </c>
      <c r="B1076" t="s">
        <v>37</v>
      </c>
      <c r="C1076" t="s">
        <v>43</v>
      </c>
      <c r="D1076" t="s">
        <v>12</v>
      </c>
      <c r="E1076">
        <v>47.571565999999997</v>
      </c>
    </row>
    <row r="1077" spans="1:5">
      <c r="A1077">
        <v>2013</v>
      </c>
      <c r="B1077" t="s">
        <v>37</v>
      </c>
      <c r="C1077" t="s">
        <v>44</v>
      </c>
      <c r="D1077" t="s">
        <v>12</v>
      </c>
      <c r="E1077">
        <v>46.050545999999997</v>
      </c>
    </row>
    <row r="1078" spans="1:5">
      <c r="A1078">
        <v>2013</v>
      </c>
      <c r="B1078" t="s">
        <v>37</v>
      </c>
      <c r="C1078" t="s">
        <v>45</v>
      </c>
      <c r="D1078" t="s">
        <v>12</v>
      </c>
      <c r="E1078">
        <v>47.390528000000003</v>
      </c>
    </row>
    <row r="1079" spans="1:5">
      <c r="A1079">
        <v>2013</v>
      </c>
      <c r="B1079" t="s">
        <v>37</v>
      </c>
      <c r="C1079" t="s">
        <v>46</v>
      </c>
      <c r="D1079" t="s">
        <v>12</v>
      </c>
      <c r="E1079">
        <v>49.370381000000002</v>
      </c>
    </row>
    <row r="1080" spans="1:5">
      <c r="A1080">
        <v>2013</v>
      </c>
      <c r="B1080" t="s">
        <v>38</v>
      </c>
      <c r="C1080" t="s">
        <v>47</v>
      </c>
      <c r="D1080" t="s">
        <v>12</v>
      </c>
      <c r="E1080">
        <v>46.818071000000003</v>
      </c>
    </row>
    <row r="1081" spans="1:5">
      <c r="A1081">
        <v>2013</v>
      </c>
      <c r="B1081" t="s">
        <v>38</v>
      </c>
      <c r="C1081" t="s">
        <v>48</v>
      </c>
      <c r="D1081" t="s">
        <v>12</v>
      </c>
      <c r="E1081">
        <v>46.715190999999997</v>
      </c>
    </row>
    <row r="1082" spans="1:5">
      <c r="A1082">
        <v>2013</v>
      </c>
      <c r="B1082" t="s">
        <v>38</v>
      </c>
      <c r="C1082" t="s">
        <v>49</v>
      </c>
      <c r="D1082" t="s">
        <v>12</v>
      </c>
      <c r="E1082">
        <v>47.360472000000001</v>
      </c>
    </row>
    <row r="1083" spans="1:5">
      <c r="A1083">
        <v>2013</v>
      </c>
      <c r="B1083" t="s">
        <v>38</v>
      </c>
      <c r="C1083" t="s">
        <v>50</v>
      </c>
      <c r="D1083" t="s">
        <v>12</v>
      </c>
      <c r="E1083">
        <v>48.231000000000002</v>
      </c>
    </row>
    <row r="1084" spans="1:5">
      <c r="A1084">
        <v>2013</v>
      </c>
      <c r="B1084" t="s">
        <v>39</v>
      </c>
      <c r="C1084" t="s">
        <v>51</v>
      </c>
      <c r="D1084" t="s">
        <v>12</v>
      </c>
      <c r="E1084">
        <v>48.298416000000003</v>
      </c>
    </row>
    <row r="1085" spans="1:5">
      <c r="A1085">
        <v>2013</v>
      </c>
      <c r="B1085" t="s">
        <v>39</v>
      </c>
      <c r="C1085" t="s">
        <v>52</v>
      </c>
      <c r="D1085" t="s">
        <v>12</v>
      </c>
      <c r="E1085">
        <v>45.841923000000001</v>
      </c>
    </row>
    <row r="1086" spans="1:5">
      <c r="A1086">
        <v>2013</v>
      </c>
      <c r="B1086" t="s">
        <v>40</v>
      </c>
      <c r="C1086" t="s">
        <v>53</v>
      </c>
      <c r="D1086" t="s">
        <v>12</v>
      </c>
      <c r="E1086">
        <v>47.744047999999999</v>
      </c>
    </row>
    <row r="1087" spans="1:5">
      <c r="A1087">
        <v>2013</v>
      </c>
      <c r="B1087" t="s">
        <v>40</v>
      </c>
      <c r="C1087" t="s">
        <v>54</v>
      </c>
      <c r="D1087" t="s">
        <v>12</v>
      </c>
      <c r="E1087">
        <v>46.554324000000001</v>
      </c>
    </row>
    <row r="1088" spans="1:5">
      <c r="A1088">
        <v>2013</v>
      </c>
      <c r="B1088" t="s">
        <v>41</v>
      </c>
      <c r="C1088" t="s">
        <v>55</v>
      </c>
      <c r="D1088" t="s">
        <v>12</v>
      </c>
      <c r="E1088">
        <v>47.441603000000001</v>
      </c>
    </row>
    <row r="1089" spans="1:5">
      <c r="A1089">
        <v>2013</v>
      </c>
      <c r="B1089" t="s">
        <v>41</v>
      </c>
      <c r="C1089" t="s">
        <v>56</v>
      </c>
      <c r="D1089" t="s">
        <v>12</v>
      </c>
      <c r="E1089">
        <v>46.853107000000001</v>
      </c>
    </row>
    <row r="1090" spans="1:5">
      <c r="A1090">
        <v>2013</v>
      </c>
      <c r="B1090" t="s">
        <v>42</v>
      </c>
      <c r="C1090" t="s">
        <v>57</v>
      </c>
      <c r="D1090" t="s">
        <v>12</v>
      </c>
      <c r="E1090">
        <v>48.842041999999999</v>
      </c>
    </row>
    <row r="1091" spans="1:5">
      <c r="A1091">
        <v>2013</v>
      </c>
      <c r="B1091" t="s">
        <v>42</v>
      </c>
      <c r="C1091" t="s">
        <v>58</v>
      </c>
      <c r="D1091" t="s">
        <v>12</v>
      </c>
      <c r="E1091">
        <v>46.085259000000001</v>
      </c>
    </row>
    <row r="1092" spans="1:5">
      <c r="A1092">
        <v>2013</v>
      </c>
      <c r="B1092" t="s">
        <v>42</v>
      </c>
      <c r="C1092" t="s">
        <v>59</v>
      </c>
      <c r="D1092" t="s">
        <v>12</v>
      </c>
      <c r="E1092">
        <v>47.041300999999997</v>
      </c>
    </row>
    <row r="1093" spans="1:5">
      <c r="A1093">
        <v>2013</v>
      </c>
      <c r="B1093" t="s">
        <v>42</v>
      </c>
      <c r="C1093" t="s">
        <v>60</v>
      </c>
      <c r="D1093" t="s">
        <v>12</v>
      </c>
      <c r="E1093">
        <v>47.006877000000003</v>
      </c>
    </row>
    <row r="1094" spans="1:5">
      <c r="A1094">
        <v>2013</v>
      </c>
      <c r="B1094" t="s">
        <v>0</v>
      </c>
      <c r="C1094" t="s">
        <v>61</v>
      </c>
      <c r="D1094" t="s">
        <v>12</v>
      </c>
      <c r="E1094">
        <v>55.790149999999997</v>
      </c>
    </row>
    <row r="1095" spans="1:5">
      <c r="A1095">
        <v>2013</v>
      </c>
      <c r="B1095" t="s">
        <v>0</v>
      </c>
      <c r="C1095" t="s">
        <v>62</v>
      </c>
      <c r="D1095" t="s">
        <v>12</v>
      </c>
      <c r="E1095">
        <v>51.679104000000002</v>
      </c>
    </row>
    <row r="1096" spans="1:5">
      <c r="A1096">
        <v>2013</v>
      </c>
      <c r="B1096" t="s">
        <v>0</v>
      </c>
      <c r="C1096" t="s">
        <v>63</v>
      </c>
      <c r="D1096" t="s">
        <v>12</v>
      </c>
      <c r="E1096">
        <v>47.878788</v>
      </c>
    </row>
    <row r="1097" spans="1:5">
      <c r="A1097">
        <v>2013</v>
      </c>
      <c r="B1097" t="s">
        <v>0</v>
      </c>
      <c r="C1097" t="s">
        <v>64</v>
      </c>
      <c r="D1097" t="s">
        <v>12</v>
      </c>
      <c r="E1097">
        <v>36.036512999999999</v>
      </c>
    </row>
    <row r="1098" spans="1:5">
      <c r="A1098">
        <v>2013</v>
      </c>
      <c r="B1098" t="s">
        <v>0</v>
      </c>
      <c r="C1098" t="s">
        <v>65</v>
      </c>
      <c r="D1098" t="s">
        <v>12</v>
      </c>
      <c r="E1098">
        <v>49.300061999999997</v>
      </c>
    </row>
    <row r="1099" spans="1:5">
      <c r="A1099">
        <v>2013</v>
      </c>
      <c r="B1099" t="s">
        <v>0</v>
      </c>
      <c r="C1099" t="s">
        <v>66</v>
      </c>
      <c r="D1099" t="s">
        <v>12</v>
      </c>
      <c r="E1099">
        <v>47.695605999999998</v>
      </c>
    </row>
    <row r="1100" spans="1:5">
      <c r="A1100">
        <v>2013</v>
      </c>
      <c r="B1100" t="s">
        <v>0</v>
      </c>
      <c r="C1100" t="s">
        <v>67</v>
      </c>
      <c r="D1100" t="s">
        <v>12</v>
      </c>
      <c r="E1100">
        <v>47.906542000000002</v>
      </c>
    </row>
    <row r="1101" spans="1:5">
      <c r="A1101">
        <v>2013</v>
      </c>
      <c r="B1101" t="s">
        <v>0</v>
      </c>
      <c r="C1101" t="s">
        <v>68</v>
      </c>
      <c r="D1101" t="s">
        <v>12</v>
      </c>
      <c r="E1101">
        <v>30.396476</v>
      </c>
    </row>
    <row r="1102" spans="1:5">
      <c r="A1102">
        <v>2013</v>
      </c>
      <c r="B1102" t="s">
        <v>0</v>
      </c>
      <c r="C1102" t="s">
        <v>69</v>
      </c>
      <c r="D1102" t="s">
        <v>12</v>
      </c>
      <c r="E1102">
        <v>47.392060000000001</v>
      </c>
    </row>
    <row r="1103" spans="1:5">
      <c r="A1103">
        <v>2013</v>
      </c>
      <c r="B1103" t="s">
        <v>0</v>
      </c>
      <c r="C1103" t="s">
        <v>70</v>
      </c>
      <c r="D1103" t="s">
        <v>12</v>
      </c>
      <c r="E1103">
        <v>50.264285000000001</v>
      </c>
    </row>
    <row r="1104" spans="1:5">
      <c r="A1104">
        <v>2013</v>
      </c>
      <c r="B1104" t="s">
        <v>0</v>
      </c>
      <c r="C1104" t="s">
        <v>71</v>
      </c>
      <c r="D1104" t="s">
        <v>12</v>
      </c>
      <c r="E1104">
        <v>45.518453000000001</v>
      </c>
    </row>
    <row r="1105" spans="1:5">
      <c r="A1105">
        <v>2013</v>
      </c>
      <c r="B1105" t="s">
        <v>0</v>
      </c>
      <c r="C1105" t="s">
        <v>72</v>
      </c>
      <c r="D1105" t="s">
        <v>12</v>
      </c>
      <c r="E1105">
        <v>45.532375999999999</v>
      </c>
    </row>
    <row r="1106" spans="1:5">
      <c r="A1106">
        <v>2013</v>
      </c>
      <c r="B1106" t="s">
        <v>0</v>
      </c>
      <c r="C1106" t="s">
        <v>73</v>
      </c>
      <c r="D1106" t="s">
        <v>12</v>
      </c>
      <c r="E1106">
        <v>41.543340000000001</v>
      </c>
    </row>
    <row r="1107" spans="1:5">
      <c r="A1107">
        <v>2013</v>
      </c>
      <c r="B1107" t="s">
        <v>0</v>
      </c>
      <c r="C1107" t="s">
        <v>74</v>
      </c>
      <c r="D1107" t="s">
        <v>12</v>
      </c>
      <c r="E1107">
        <v>63.294539</v>
      </c>
    </row>
    <row r="1108" spans="1:5">
      <c r="A1108">
        <v>2013</v>
      </c>
      <c r="B1108" t="s">
        <v>0</v>
      </c>
      <c r="C1108" t="s">
        <v>75</v>
      </c>
      <c r="D1108" t="s">
        <v>12</v>
      </c>
      <c r="E1108">
        <v>47.077714</v>
      </c>
    </row>
    <row r="1109" spans="1:5">
      <c r="A1109">
        <v>2013</v>
      </c>
      <c r="B1109" t="s">
        <v>0</v>
      </c>
      <c r="C1109" t="s">
        <v>76</v>
      </c>
      <c r="D1109" t="s">
        <v>12</v>
      </c>
      <c r="E1109">
        <v>58.877138000000002</v>
      </c>
    </row>
    <row r="1110" spans="1:5">
      <c r="A1110">
        <v>2013</v>
      </c>
      <c r="B1110" t="s">
        <v>0</v>
      </c>
      <c r="C1110" t="s">
        <v>77</v>
      </c>
      <c r="D1110" t="s">
        <v>12</v>
      </c>
      <c r="E1110">
        <v>51.933216000000002</v>
      </c>
    </row>
    <row r="1111" spans="1:5">
      <c r="A1111">
        <v>2013</v>
      </c>
      <c r="B1111" t="s">
        <v>0</v>
      </c>
      <c r="C1111" t="s">
        <v>78</v>
      </c>
      <c r="D1111" t="s">
        <v>12</v>
      </c>
      <c r="E1111">
        <v>32.789700000000003</v>
      </c>
    </row>
    <row r="1112" spans="1:5">
      <c r="A1112">
        <v>2013</v>
      </c>
      <c r="B1112" t="s">
        <v>36</v>
      </c>
      <c r="C1112" t="s">
        <v>36</v>
      </c>
      <c r="D1112" t="s">
        <v>13</v>
      </c>
      <c r="E1112">
        <v>23.612489</v>
      </c>
    </row>
    <row r="1113" spans="1:5">
      <c r="A1113">
        <v>2013</v>
      </c>
      <c r="B1113" t="s">
        <v>37</v>
      </c>
      <c r="C1113" t="s">
        <v>43</v>
      </c>
      <c r="D1113" t="s">
        <v>13</v>
      </c>
      <c r="E1113">
        <v>23.262875000000001</v>
      </c>
    </row>
    <row r="1114" spans="1:5">
      <c r="A1114">
        <v>2013</v>
      </c>
      <c r="B1114" t="s">
        <v>37</v>
      </c>
      <c r="C1114" t="s">
        <v>44</v>
      </c>
      <c r="D1114" t="s">
        <v>13</v>
      </c>
      <c r="E1114">
        <v>23.759246999999998</v>
      </c>
    </row>
    <row r="1115" spans="1:5">
      <c r="A1115">
        <v>2013</v>
      </c>
      <c r="B1115" t="s">
        <v>37</v>
      </c>
      <c r="C1115" t="s">
        <v>45</v>
      </c>
      <c r="D1115" t="s">
        <v>13</v>
      </c>
      <c r="E1115">
        <v>24.610568000000001</v>
      </c>
    </row>
    <row r="1116" spans="1:5">
      <c r="A1116">
        <v>2013</v>
      </c>
      <c r="B1116" t="s">
        <v>37</v>
      </c>
      <c r="C1116" t="s">
        <v>46</v>
      </c>
      <c r="D1116" t="s">
        <v>13</v>
      </c>
      <c r="E1116">
        <v>21.770271999999999</v>
      </c>
    </row>
    <row r="1117" spans="1:5">
      <c r="A1117">
        <v>2013</v>
      </c>
      <c r="B1117" t="s">
        <v>38</v>
      </c>
      <c r="C1117" t="s">
        <v>47</v>
      </c>
      <c r="D1117" t="s">
        <v>13</v>
      </c>
      <c r="E1117">
        <v>27.052202999999999</v>
      </c>
    </row>
    <row r="1118" spans="1:5">
      <c r="A1118">
        <v>2013</v>
      </c>
      <c r="B1118" t="s">
        <v>38</v>
      </c>
      <c r="C1118" t="s">
        <v>48</v>
      </c>
      <c r="D1118" t="s">
        <v>13</v>
      </c>
      <c r="E1118">
        <v>22.827107000000002</v>
      </c>
    </row>
    <row r="1119" spans="1:5">
      <c r="A1119">
        <v>2013</v>
      </c>
      <c r="B1119" t="s">
        <v>38</v>
      </c>
      <c r="C1119" t="s">
        <v>49</v>
      </c>
      <c r="D1119" t="s">
        <v>13</v>
      </c>
      <c r="E1119">
        <v>22.417003999999999</v>
      </c>
    </row>
    <row r="1120" spans="1:5">
      <c r="A1120">
        <v>2013</v>
      </c>
      <c r="B1120" t="s">
        <v>38</v>
      </c>
      <c r="C1120" t="s">
        <v>50</v>
      </c>
      <c r="D1120" t="s">
        <v>13</v>
      </c>
      <c r="E1120">
        <v>23.420425000000002</v>
      </c>
    </row>
    <row r="1121" spans="1:5">
      <c r="A1121">
        <v>2013</v>
      </c>
      <c r="B1121" t="s">
        <v>39</v>
      </c>
      <c r="C1121" t="s">
        <v>51</v>
      </c>
      <c r="D1121" t="s">
        <v>13</v>
      </c>
      <c r="E1121">
        <v>22.801179000000001</v>
      </c>
    </row>
    <row r="1122" spans="1:5">
      <c r="A1122">
        <v>2013</v>
      </c>
      <c r="B1122" t="s">
        <v>39</v>
      </c>
      <c r="C1122" t="s">
        <v>52</v>
      </c>
      <c r="D1122" t="s">
        <v>13</v>
      </c>
      <c r="E1122">
        <v>24.454765999999999</v>
      </c>
    </row>
    <row r="1123" spans="1:5">
      <c r="A1123">
        <v>2013</v>
      </c>
      <c r="B1123" t="s">
        <v>40</v>
      </c>
      <c r="C1123" t="s">
        <v>53</v>
      </c>
      <c r="D1123" t="s">
        <v>13</v>
      </c>
      <c r="E1123">
        <v>23.866973000000002</v>
      </c>
    </row>
    <row r="1124" spans="1:5">
      <c r="A1124">
        <v>2013</v>
      </c>
      <c r="B1124" t="s">
        <v>40</v>
      </c>
      <c r="C1124" t="s">
        <v>54</v>
      </c>
      <c r="D1124" t="s">
        <v>13</v>
      </c>
      <c r="E1124">
        <v>23.454470000000001</v>
      </c>
    </row>
    <row r="1125" spans="1:5">
      <c r="A1125">
        <v>2013</v>
      </c>
      <c r="B1125" t="s">
        <v>41</v>
      </c>
      <c r="C1125" t="s">
        <v>55</v>
      </c>
      <c r="D1125" t="s">
        <v>13</v>
      </c>
      <c r="E1125">
        <v>23.316005000000001</v>
      </c>
    </row>
    <row r="1126" spans="1:5">
      <c r="A1126">
        <v>2013</v>
      </c>
      <c r="B1126" t="s">
        <v>41</v>
      </c>
      <c r="C1126" t="s">
        <v>56</v>
      </c>
      <c r="D1126" t="s">
        <v>13</v>
      </c>
      <c r="E1126">
        <v>23.763822999999999</v>
      </c>
    </row>
    <row r="1127" spans="1:5">
      <c r="A1127">
        <v>2013</v>
      </c>
      <c r="B1127" t="s">
        <v>42</v>
      </c>
      <c r="C1127" t="s">
        <v>57</v>
      </c>
      <c r="D1127" t="s">
        <v>13</v>
      </c>
      <c r="E1127">
        <v>22.417359999999999</v>
      </c>
    </row>
    <row r="1128" spans="1:5">
      <c r="A1128">
        <v>2013</v>
      </c>
      <c r="B1128" t="s">
        <v>42</v>
      </c>
      <c r="C1128" t="s">
        <v>58</v>
      </c>
      <c r="D1128" t="s">
        <v>13</v>
      </c>
      <c r="E1128">
        <v>23.681479</v>
      </c>
    </row>
    <row r="1129" spans="1:5">
      <c r="A1129">
        <v>2013</v>
      </c>
      <c r="B1129" t="s">
        <v>42</v>
      </c>
      <c r="C1129" t="s">
        <v>59</v>
      </c>
      <c r="D1129" t="s">
        <v>13</v>
      </c>
      <c r="E1129">
        <v>23.822137999999999</v>
      </c>
    </row>
    <row r="1130" spans="1:5">
      <c r="A1130">
        <v>2013</v>
      </c>
      <c r="B1130" t="s">
        <v>42</v>
      </c>
      <c r="C1130" t="s">
        <v>60</v>
      </c>
      <c r="D1130" t="s">
        <v>13</v>
      </c>
      <c r="E1130">
        <v>21.584900000000001</v>
      </c>
    </row>
    <row r="1131" spans="1:5">
      <c r="A1131">
        <v>2013</v>
      </c>
      <c r="B1131" t="s">
        <v>0</v>
      </c>
      <c r="C1131" t="s">
        <v>61</v>
      </c>
      <c r="D1131" t="s">
        <v>13</v>
      </c>
      <c r="E1131">
        <v>23.468385999999999</v>
      </c>
    </row>
    <row r="1132" spans="1:5">
      <c r="A1132">
        <v>2013</v>
      </c>
      <c r="B1132" t="s">
        <v>0</v>
      </c>
      <c r="C1132" t="s">
        <v>62</v>
      </c>
      <c r="D1132" t="s">
        <v>13</v>
      </c>
      <c r="E1132">
        <v>33.768656999999997</v>
      </c>
    </row>
    <row r="1133" spans="1:5">
      <c r="A1133">
        <v>2013</v>
      </c>
      <c r="B1133" t="s">
        <v>0</v>
      </c>
      <c r="C1133" t="s">
        <v>63</v>
      </c>
      <c r="D1133" t="s">
        <v>13</v>
      </c>
      <c r="E1133">
        <v>16.883116999999999</v>
      </c>
    </row>
    <row r="1134" spans="1:5">
      <c r="A1134">
        <v>2013</v>
      </c>
      <c r="B1134" t="s">
        <v>0</v>
      </c>
      <c r="C1134" t="s">
        <v>64</v>
      </c>
      <c r="D1134" t="s">
        <v>13</v>
      </c>
      <c r="E1134">
        <v>8.8218986000000008</v>
      </c>
    </row>
    <row r="1135" spans="1:5">
      <c r="A1135">
        <v>2013</v>
      </c>
      <c r="B1135" t="s">
        <v>0</v>
      </c>
      <c r="C1135" t="s">
        <v>65</v>
      </c>
      <c r="D1135" t="s">
        <v>13</v>
      </c>
      <c r="E1135">
        <v>13.740816000000001</v>
      </c>
    </row>
    <row r="1136" spans="1:5">
      <c r="A1136">
        <v>2013</v>
      </c>
      <c r="B1136" t="s">
        <v>0</v>
      </c>
      <c r="C1136" t="s">
        <v>66</v>
      </c>
      <c r="D1136" t="s">
        <v>13</v>
      </c>
      <c r="E1136">
        <v>13.504823</v>
      </c>
    </row>
    <row r="1137" spans="1:5">
      <c r="A1137">
        <v>2013</v>
      </c>
      <c r="B1137" t="s">
        <v>0</v>
      </c>
      <c r="C1137" t="s">
        <v>67</v>
      </c>
      <c r="D1137" t="s">
        <v>13</v>
      </c>
      <c r="E1137">
        <v>24.421942000000001</v>
      </c>
    </row>
    <row r="1138" spans="1:5">
      <c r="A1138">
        <v>2013</v>
      </c>
      <c r="B1138" t="s">
        <v>0</v>
      </c>
      <c r="C1138" t="s">
        <v>68</v>
      </c>
      <c r="D1138" t="s">
        <v>13</v>
      </c>
      <c r="E1138">
        <v>53.480176</v>
      </c>
    </row>
    <row r="1139" spans="1:5">
      <c r="A1139">
        <v>2013</v>
      </c>
      <c r="B1139" t="s">
        <v>0</v>
      </c>
      <c r="C1139" t="s">
        <v>69</v>
      </c>
      <c r="D1139" t="s">
        <v>13</v>
      </c>
      <c r="E1139">
        <v>20.530225999999999</v>
      </c>
    </row>
    <row r="1140" spans="1:5">
      <c r="A1140">
        <v>2013</v>
      </c>
      <c r="B1140" t="s">
        <v>0</v>
      </c>
      <c r="C1140" t="s">
        <v>70</v>
      </c>
      <c r="D1140" t="s">
        <v>13</v>
      </c>
      <c r="E1140">
        <v>10.611508000000001</v>
      </c>
    </row>
    <row r="1141" spans="1:5">
      <c r="A1141">
        <v>2013</v>
      </c>
      <c r="B1141" t="s">
        <v>0</v>
      </c>
      <c r="C1141" t="s">
        <v>71</v>
      </c>
      <c r="D1141" t="s">
        <v>13</v>
      </c>
      <c r="E1141">
        <v>17.135325000000002</v>
      </c>
    </row>
    <row r="1142" spans="1:5">
      <c r="A1142">
        <v>2013</v>
      </c>
      <c r="B1142" t="s">
        <v>0</v>
      </c>
      <c r="C1142" t="s">
        <v>72</v>
      </c>
      <c r="D1142" t="s">
        <v>13</v>
      </c>
      <c r="E1142">
        <v>39.511923000000003</v>
      </c>
    </row>
    <row r="1143" spans="1:5">
      <c r="A1143">
        <v>2013</v>
      </c>
      <c r="B1143" t="s">
        <v>0</v>
      </c>
      <c r="C1143" t="s">
        <v>73</v>
      </c>
      <c r="D1143" t="s">
        <v>13</v>
      </c>
      <c r="E1143">
        <v>29.704017</v>
      </c>
    </row>
    <row r="1144" spans="1:5">
      <c r="A1144">
        <v>2013</v>
      </c>
      <c r="B1144" t="s">
        <v>0</v>
      </c>
      <c r="C1144" t="s">
        <v>74</v>
      </c>
      <c r="D1144" t="s">
        <v>13</v>
      </c>
      <c r="E1144">
        <v>16.830797</v>
      </c>
    </row>
    <row r="1145" spans="1:5">
      <c r="A1145">
        <v>2013</v>
      </c>
      <c r="B1145" t="s">
        <v>0</v>
      </c>
      <c r="C1145" t="s">
        <v>75</v>
      </c>
      <c r="D1145" t="s">
        <v>13</v>
      </c>
      <c r="E1145">
        <v>8.8417898000000008</v>
      </c>
    </row>
    <row r="1146" spans="1:5">
      <c r="A1146">
        <v>2013</v>
      </c>
      <c r="B1146" t="s">
        <v>0</v>
      </c>
      <c r="C1146" t="s">
        <v>76</v>
      </c>
      <c r="D1146" t="s">
        <v>13</v>
      </c>
      <c r="E1146">
        <v>26.956633</v>
      </c>
    </row>
    <row r="1147" spans="1:5">
      <c r="A1147">
        <v>2013</v>
      </c>
      <c r="B1147" t="s">
        <v>0</v>
      </c>
      <c r="C1147" t="s">
        <v>77</v>
      </c>
      <c r="D1147" t="s">
        <v>13</v>
      </c>
      <c r="E1147">
        <v>33.743409</v>
      </c>
    </row>
    <row r="1148" spans="1:5">
      <c r="A1148">
        <v>2013</v>
      </c>
      <c r="B1148" t="s">
        <v>0</v>
      </c>
      <c r="C1148" t="s">
        <v>78</v>
      </c>
      <c r="D1148" t="s">
        <v>13</v>
      </c>
      <c r="E1148">
        <v>34.849784999999997</v>
      </c>
    </row>
    <row r="1149" spans="1:5">
      <c r="A1149">
        <v>2013</v>
      </c>
      <c r="B1149" t="s">
        <v>36</v>
      </c>
      <c r="C1149" t="s">
        <v>36</v>
      </c>
      <c r="D1149" t="s">
        <v>14</v>
      </c>
      <c r="E1149">
        <v>3.3499807000000001</v>
      </c>
    </row>
    <row r="1150" spans="1:5">
      <c r="A1150">
        <v>2013</v>
      </c>
      <c r="B1150" t="s">
        <v>37</v>
      </c>
      <c r="C1150" t="s">
        <v>43</v>
      </c>
      <c r="D1150" t="s">
        <v>14</v>
      </c>
      <c r="E1150">
        <v>3.212656</v>
      </c>
    </row>
    <row r="1151" spans="1:5">
      <c r="A1151">
        <v>2013</v>
      </c>
      <c r="B1151" t="s">
        <v>37</v>
      </c>
      <c r="C1151" t="s">
        <v>44</v>
      </c>
      <c r="D1151" t="s">
        <v>14</v>
      </c>
      <c r="E1151">
        <v>3.4422079000000001</v>
      </c>
    </row>
    <row r="1152" spans="1:5">
      <c r="A1152">
        <v>2013</v>
      </c>
      <c r="B1152" t="s">
        <v>37</v>
      </c>
      <c r="C1152" t="s">
        <v>45</v>
      </c>
      <c r="D1152" t="s">
        <v>14</v>
      </c>
      <c r="E1152">
        <v>3.2879662000000001</v>
      </c>
    </row>
    <row r="1153" spans="1:5">
      <c r="A1153">
        <v>2013</v>
      </c>
      <c r="B1153" t="s">
        <v>37</v>
      </c>
      <c r="C1153" t="s">
        <v>46</v>
      </c>
      <c r="D1153" t="s">
        <v>14</v>
      </c>
      <c r="E1153">
        <v>3.4063148000000001</v>
      </c>
    </row>
    <row r="1154" spans="1:5">
      <c r="A1154">
        <v>2013</v>
      </c>
      <c r="B1154" t="s">
        <v>38</v>
      </c>
      <c r="C1154" t="s">
        <v>47</v>
      </c>
      <c r="D1154" t="s">
        <v>14</v>
      </c>
      <c r="E1154">
        <v>3.2091359000000002</v>
      </c>
    </row>
    <row r="1155" spans="1:5">
      <c r="A1155">
        <v>2013</v>
      </c>
      <c r="B1155" t="s">
        <v>38</v>
      </c>
      <c r="C1155" t="s">
        <v>48</v>
      </c>
      <c r="D1155" t="s">
        <v>14</v>
      </c>
      <c r="E1155">
        <v>3.5246743</v>
      </c>
    </row>
    <row r="1156" spans="1:5">
      <c r="A1156">
        <v>2013</v>
      </c>
      <c r="B1156" t="s">
        <v>38</v>
      </c>
      <c r="C1156" t="s">
        <v>49</v>
      </c>
      <c r="D1156" t="s">
        <v>14</v>
      </c>
      <c r="E1156">
        <v>3.2232881</v>
      </c>
    </row>
    <row r="1157" spans="1:5">
      <c r="A1157">
        <v>2013</v>
      </c>
      <c r="B1157" t="s">
        <v>38</v>
      </c>
      <c r="C1157" t="s">
        <v>50</v>
      </c>
      <c r="D1157" t="s">
        <v>14</v>
      </c>
      <c r="E1157">
        <v>3.4091597999999999</v>
      </c>
    </row>
    <row r="1158" spans="1:5">
      <c r="A1158">
        <v>2013</v>
      </c>
      <c r="B1158" t="s">
        <v>39</v>
      </c>
      <c r="C1158" t="s">
        <v>51</v>
      </c>
      <c r="D1158" t="s">
        <v>14</v>
      </c>
      <c r="E1158">
        <v>3.1666276999999998</v>
      </c>
    </row>
    <row r="1159" spans="1:5">
      <c r="A1159">
        <v>2013</v>
      </c>
      <c r="B1159" t="s">
        <v>39</v>
      </c>
      <c r="C1159" t="s">
        <v>52</v>
      </c>
      <c r="D1159" t="s">
        <v>14</v>
      </c>
      <c r="E1159">
        <v>3.5403319</v>
      </c>
    </row>
    <row r="1160" spans="1:5">
      <c r="A1160">
        <v>2013</v>
      </c>
      <c r="B1160" t="s">
        <v>40</v>
      </c>
      <c r="C1160" t="s">
        <v>53</v>
      </c>
      <c r="D1160" t="s">
        <v>14</v>
      </c>
      <c r="E1160">
        <v>3.4615079999999998</v>
      </c>
    </row>
    <row r="1161" spans="1:5">
      <c r="A1161">
        <v>2013</v>
      </c>
      <c r="B1161" t="s">
        <v>40</v>
      </c>
      <c r="C1161" t="s">
        <v>54</v>
      </c>
      <c r="D1161" t="s">
        <v>14</v>
      </c>
      <c r="E1161">
        <v>3.2753283</v>
      </c>
    </row>
    <row r="1162" spans="1:5">
      <c r="A1162">
        <v>2013</v>
      </c>
      <c r="B1162" t="s">
        <v>41</v>
      </c>
      <c r="C1162" t="s">
        <v>55</v>
      </c>
      <c r="D1162" t="s">
        <v>14</v>
      </c>
      <c r="E1162">
        <v>3.0319976</v>
      </c>
    </row>
    <row r="1163" spans="1:5">
      <c r="A1163">
        <v>2013</v>
      </c>
      <c r="B1163" t="s">
        <v>41</v>
      </c>
      <c r="C1163" t="s">
        <v>56</v>
      </c>
      <c r="D1163" t="s">
        <v>14</v>
      </c>
      <c r="E1163">
        <v>3.4998295000000001</v>
      </c>
    </row>
    <row r="1164" spans="1:5">
      <c r="A1164">
        <v>2013</v>
      </c>
      <c r="B1164" t="s">
        <v>42</v>
      </c>
      <c r="C1164" t="s">
        <v>57</v>
      </c>
      <c r="D1164" t="s">
        <v>14</v>
      </c>
      <c r="E1164">
        <v>1.9144730999999999</v>
      </c>
    </row>
    <row r="1165" spans="1:5">
      <c r="A1165">
        <v>2013</v>
      </c>
      <c r="B1165" t="s">
        <v>42</v>
      </c>
      <c r="C1165" t="s">
        <v>58</v>
      </c>
      <c r="D1165" t="s">
        <v>14</v>
      </c>
      <c r="E1165">
        <v>3.6002893999999999</v>
      </c>
    </row>
    <row r="1166" spans="1:5">
      <c r="A1166">
        <v>2013</v>
      </c>
      <c r="B1166" t="s">
        <v>42</v>
      </c>
      <c r="C1166" t="s">
        <v>59</v>
      </c>
      <c r="D1166" t="s">
        <v>14</v>
      </c>
      <c r="E1166">
        <v>3.3686628999999999</v>
      </c>
    </row>
    <row r="1167" spans="1:5">
      <c r="A1167">
        <v>2013</v>
      </c>
      <c r="B1167" t="s">
        <v>42</v>
      </c>
      <c r="C1167" t="s">
        <v>60</v>
      </c>
      <c r="D1167" t="s">
        <v>14</v>
      </c>
      <c r="E1167">
        <v>3.3302486</v>
      </c>
    </row>
    <row r="1168" spans="1:5">
      <c r="A1168">
        <v>2013</v>
      </c>
      <c r="B1168" t="s">
        <v>0</v>
      </c>
      <c r="C1168" t="s">
        <v>61</v>
      </c>
      <c r="D1168" t="s">
        <v>14</v>
      </c>
      <c r="E1168">
        <v>1.4921697</v>
      </c>
    </row>
    <row r="1169" spans="1:5">
      <c r="A1169">
        <v>2013</v>
      </c>
      <c r="B1169" t="s">
        <v>0</v>
      </c>
      <c r="C1169" t="s">
        <v>62</v>
      </c>
      <c r="D1169" t="s">
        <v>14</v>
      </c>
      <c r="E1169">
        <v>2.7985074999999999</v>
      </c>
    </row>
    <row r="1170" spans="1:5">
      <c r="A1170">
        <v>2013</v>
      </c>
      <c r="B1170" t="s">
        <v>0</v>
      </c>
      <c r="C1170" t="s">
        <v>63</v>
      </c>
      <c r="D1170" t="s">
        <v>14</v>
      </c>
      <c r="E1170">
        <v>2.1645021999999998</v>
      </c>
    </row>
    <row r="1171" spans="1:5">
      <c r="A1171">
        <v>2013</v>
      </c>
      <c r="B1171" t="s">
        <v>0</v>
      </c>
      <c r="C1171" t="s">
        <v>64</v>
      </c>
      <c r="D1171" t="s">
        <v>14</v>
      </c>
      <c r="E1171">
        <v>1.6698915000000001</v>
      </c>
    </row>
    <row r="1172" spans="1:5">
      <c r="A1172">
        <v>2013</v>
      </c>
      <c r="B1172" t="s">
        <v>0</v>
      </c>
      <c r="C1172" t="s">
        <v>65</v>
      </c>
      <c r="D1172" t="s">
        <v>14</v>
      </c>
      <c r="E1172">
        <v>0.87528797000000003</v>
      </c>
    </row>
    <row r="1173" spans="1:5">
      <c r="A1173">
        <v>2013</v>
      </c>
      <c r="B1173" t="s">
        <v>0</v>
      </c>
      <c r="C1173" t="s">
        <v>66</v>
      </c>
      <c r="D1173" t="s">
        <v>14</v>
      </c>
      <c r="E1173">
        <v>2.3579850000000002</v>
      </c>
    </row>
    <row r="1174" spans="1:5">
      <c r="A1174">
        <v>2013</v>
      </c>
      <c r="B1174" t="s">
        <v>0</v>
      </c>
      <c r="C1174" t="s">
        <v>67</v>
      </c>
      <c r="D1174" t="s">
        <v>14</v>
      </c>
      <c r="E1174">
        <v>2.9665975000000002</v>
      </c>
    </row>
    <row r="1175" spans="1:5">
      <c r="A1175">
        <v>2013</v>
      </c>
      <c r="B1175" t="s">
        <v>0</v>
      </c>
      <c r="C1175" t="s">
        <v>68</v>
      </c>
      <c r="D1175" t="s">
        <v>14</v>
      </c>
      <c r="E1175">
        <v>7.8414096999999998</v>
      </c>
    </row>
    <row r="1176" spans="1:5">
      <c r="A1176">
        <v>2013</v>
      </c>
      <c r="B1176" t="s">
        <v>0</v>
      </c>
      <c r="C1176" t="s">
        <v>69</v>
      </c>
      <c r="D1176" t="s">
        <v>14</v>
      </c>
      <c r="E1176">
        <v>3.2158871000000002</v>
      </c>
    </row>
    <row r="1177" spans="1:5">
      <c r="A1177">
        <v>2013</v>
      </c>
      <c r="B1177" t="s">
        <v>0</v>
      </c>
      <c r="C1177" t="s">
        <v>70</v>
      </c>
      <c r="D1177" t="s">
        <v>14</v>
      </c>
      <c r="E1177">
        <v>2.3366783</v>
      </c>
    </row>
    <row r="1178" spans="1:5">
      <c r="A1178">
        <v>2013</v>
      </c>
      <c r="B1178" t="s">
        <v>0</v>
      </c>
      <c r="C1178" t="s">
        <v>71</v>
      </c>
      <c r="D1178" t="s">
        <v>14</v>
      </c>
      <c r="E1178">
        <v>2.8998243000000001</v>
      </c>
    </row>
    <row r="1179" spans="1:5">
      <c r="A1179">
        <v>2013</v>
      </c>
      <c r="B1179" t="s">
        <v>0</v>
      </c>
      <c r="C1179" t="s">
        <v>72</v>
      </c>
      <c r="D1179" t="s">
        <v>14</v>
      </c>
      <c r="E1179">
        <v>5.5383737999999996</v>
      </c>
    </row>
    <row r="1180" spans="1:5">
      <c r="A1180">
        <v>2013</v>
      </c>
      <c r="B1180" t="s">
        <v>0</v>
      </c>
      <c r="C1180" t="s">
        <v>73</v>
      </c>
      <c r="D1180" t="s">
        <v>14</v>
      </c>
      <c r="E1180">
        <v>7.0824524000000002</v>
      </c>
    </row>
    <row r="1181" spans="1:5">
      <c r="A1181">
        <v>2013</v>
      </c>
      <c r="B1181" t="s">
        <v>0</v>
      </c>
      <c r="C1181" t="s">
        <v>74</v>
      </c>
      <c r="D1181" t="s">
        <v>14</v>
      </c>
      <c r="E1181">
        <v>1.1638317</v>
      </c>
    </row>
    <row r="1182" spans="1:5">
      <c r="A1182">
        <v>2013</v>
      </c>
      <c r="B1182" t="s">
        <v>0</v>
      </c>
      <c r="C1182" t="s">
        <v>75</v>
      </c>
      <c r="D1182" t="s">
        <v>14</v>
      </c>
      <c r="E1182">
        <v>0.94198243999999998</v>
      </c>
    </row>
    <row r="1183" spans="1:5">
      <c r="A1183">
        <v>2013</v>
      </c>
      <c r="B1183" t="s">
        <v>0</v>
      </c>
      <c r="C1183" t="s">
        <v>76</v>
      </c>
      <c r="D1183" t="s">
        <v>14</v>
      </c>
      <c r="E1183">
        <v>3.1304859999999999</v>
      </c>
    </row>
    <row r="1184" spans="1:5">
      <c r="A1184">
        <v>2013</v>
      </c>
      <c r="B1184" t="s">
        <v>0</v>
      </c>
      <c r="C1184" t="s">
        <v>77</v>
      </c>
      <c r="D1184" t="s">
        <v>14</v>
      </c>
      <c r="E1184">
        <v>2.8119508</v>
      </c>
    </row>
    <row r="1185" spans="1:5">
      <c r="A1185">
        <v>2013</v>
      </c>
      <c r="B1185" t="s">
        <v>0</v>
      </c>
      <c r="C1185" t="s">
        <v>78</v>
      </c>
      <c r="D1185" t="s">
        <v>14</v>
      </c>
      <c r="E1185">
        <v>9.5278969999999994</v>
      </c>
    </row>
    <row r="1186" spans="1:5">
      <c r="A1186">
        <v>2015</v>
      </c>
      <c r="B1186" t="s">
        <v>36</v>
      </c>
      <c r="C1186" t="s">
        <v>36</v>
      </c>
      <c r="D1186" t="s">
        <v>11</v>
      </c>
      <c r="E1186">
        <v>26.252865</v>
      </c>
    </row>
    <row r="1187" spans="1:5">
      <c r="A1187">
        <v>2015</v>
      </c>
      <c r="B1187" t="s">
        <v>37</v>
      </c>
      <c r="C1187" t="s">
        <v>43</v>
      </c>
      <c r="D1187" t="s">
        <v>11</v>
      </c>
      <c r="E1187">
        <v>27.210549</v>
      </c>
    </row>
    <row r="1188" spans="1:5">
      <c r="A1188">
        <v>2015</v>
      </c>
      <c r="B1188" t="s">
        <v>37</v>
      </c>
      <c r="C1188" t="s">
        <v>44</v>
      </c>
      <c r="D1188" t="s">
        <v>11</v>
      </c>
      <c r="E1188">
        <v>25.205729999999999</v>
      </c>
    </row>
    <row r="1189" spans="1:5">
      <c r="A1189">
        <v>2015</v>
      </c>
      <c r="B1189" t="s">
        <v>37</v>
      </c>
      <c r="C1189" t="s">
        <v>45</v>
      </c>
      <c r="D1189" t="s">
        <v>11</v>
      </c>
      <c r="E1189">
        <v>24.757245000000001</v>
      </c>
    </row>
    <row r="1190" spans="1:5">
      <c r="A1190">
        <v>2015</v>
      </c>
      <c r="B1190" t="s">
        <v>37</v>
      </c>
      <c r="C1190" t="s">
        <v>46</v>
      </c>
      <c r="D1190" t="s">
        <v>11</v>
      </c>
      <c r="E1190">
        <v>30.890633999999999</v>
      </c>
    </row>
    <row r="1191" spans="1:5">
      <c r="A1191">
        <v>2015</v>
      </c>
      <c r="B1191" t="s">
        <v>38</v>
      </c>
      <c r="C1191" t="s">
        <v>47</v>
      </c>
      <c r="D1191" t="s">
        <v>11</v>
      </c>
      <c r="E1191">
        <v>23.888877999999998</v>
      </c>
    </row>
    <row r="1192" spans="1:5">
      <c r="A1192">
        <v>2015</v>
      </c>
      <c r="B1192" t="s">
        <v>38</v>
      </c>
      <c r="C1192" t="s">
        <v>48</v>
      </c>
      <c r="D1192" t="s">
        <v>11</v>
      </c>
      <c r="E1192">
        <v>26.881084000000001</v>
      </c>
    </row>
    <row r="1193" spans="1:5">
      <c r="A1193">
        <v>2015</v>
      </c>
      <c r="B1193" t="s">
        <v>38</v>
      </c>
      <c r="C1193" t="s">
        <v>49</v>
      </c>
      <c r="D1193" t="s">
        <v>11</v>
      </c>
      <c r="E1193">
        <v>27.055838000000001</v>
      </c>
    </row>
    <row r="1194" spans="1:5">
      <c r="A1194">
        <v>2015</v>
      </c>
      <c r="B1194" t="s">
        <v>38</v>
      </c>
      <c r="C1194" t="s">
        <v>50</v>
      </c>
      <c r="D1194" t="s">
        <v>11</v>
      </c>
      <c r="E1194">
        <v>25.852409000000002</v>
      </c>
    </row>
    <row r="1195" spans="1:5">
      <c r="A1195">
        <v>2015</v>
      </c>
      <c r="B1195" t="s">
        <v>39</v>
      </c>
      <c r="C1195" t="s">
        <v>51</v>
      </c>
      <c r="D1195" t="s">
        <v>11</v>
      </c>
      <c r="E1195">
        <v>26.071373000000001</v>
      </c>
    </row>
    <row r="1196" spans="1:5">
      <c r="A1196">
        <v>2015</v>
      </c>
      <c r="B1196" t="s">
        <v>39</v>
      </c>
      <c r="C1196" t="s">
        <v>52</v>
      </c>
      <c r="D1196" t="s">
        <v>11</v>
      </c>
      <c r="E1196">
        <v>26.442668999999999</v>
      </c>
    </row>
    <row r="1197" spans="1:5">
      <c r="A1197">
        <v>2015</v>
      </c>
      <c r="B1197" t="s">
        <v>40</v>
      </c>
      <c r="C1197" t="s">
        <v>53</v>
      </c>
      <c r="D1197" t="s">
        <v>11</v>
      </c>
      <c r="E1197">
        <v>26.796137999999999</v>
      </c>
    </row>
    <row r="1198" spans="1:5">
      <c r="A1198">
        <v>2015</v>
      </c>
      <c r="B1198" t="s">
        <v>40</v>
      </c>
      <c r="C1198" t="s">
        <v>54</v>
      </c>
      <c r="D1198" t="s">
        <v>11</v>
      </c>
      <c r="E1198">
        <v>25.882147</v>
      </c>
    </row>
    <row r="1199" spans="1:5">
      <c r="A1199">
        <v>2015</v>
      </c>
      <c r="B1199" t="s">
        <v>41</v>
      </c>
      <c r="C1199" t="s">
        <v>55</v>
      </c>
      <c r="D1199" t="s">
        <v>11</v>
      </c>
      <c r="E1199">
        <v>25.971672000000002</v>
      </c>
    </row>
    <row r="1200" spans="1:5">
      <c r="A1200">
        <v>2015</v>
      </c>
      <c r="B1200" t="s">
        <v>41</v>
      </c>
      <c r="C1200" t="s">
        <v>56</v>
      </c>
      <c r="D1200" t="s">
        <v>11</v>
      </c>
      <c r="E1200">
        <v>26.430112000000001</v>
      </c>
    </row>
    <row r="1201" spans="1:5">
      <c r="A1201">
        <v>2015</v>
      </c>
      <c r="B1201" t="s">
        <v>42</v>
      </c>
      <c r="C1201" t="s">
        <v>57</v>
      </c>
      <c r="D1201" t="s">
        <v>11</v>
      </c>
      <c r="E1201">
        <v>16.82206</v>
      </c>
    </row>
    <row r="1202" spans="1:5">
      <c r="A1202">
        <v>2015</v>
      </c>
      <c r="B1202" t="s">
        <v>42</v>
      </c>
      <c r="C1202" t="s">
        <v>58</v>
      </c>
      <c r="D1202" t="s">
        <v>11</v>
      </c>
      <c r="E1202">
        <v>27.149611</v>
      </c>
    </row>
    <row r="1203" spans="1:5">
      <c r="A1203">
        <v>2015</v>
      </c>
      <c r="B1203" t="s">
        <v>42</v>
      </c>
      <c r="C1203" t="s">
        <v>59</v>
      </c>
      <c r="D1203" t="s">
        <v>11</v>
      </c>
      <c r="E1203">
        <v>26.208086000000002</v>
      </c>
    </row>
    <row r="1204" spans="1:5">
      <c r="A1204">
        <v>2015</v>
      </c>
      <c r="B1204" t="s">
        <v>42</v>
      </c>
      <c r="C1204" t="s">
        <v>60</v>
      </c>
      <c r="D1204" t="s">
        <v>11</v>
      </c>
      <c r="E1204">
        <v>27.577276999999999</v>
      </c>
    </row>
    <row r="1205" spans="1:5">
      <c r="A1205">
        <v>2015</v>
      </c>
      <c r="B1205" t="s">
        <v>0</v>
      </c>
      <c r="C1205" t="s">
        <v>61</v>
      </c>
      <c r="D1205" t="s">
        <v>11</v>
      </c>
      <c r="E1205">
        <v>19.246361</v>
      </c>
    </row>
    <row r="1206" spans="1:5">
      <c r="A1206">
        <v>2015</v>
      </c>
      <c r="B1206" t="s">
        <v>0</v>
      </c>
      <c r="C1206" t="s">
        <v>62</v>
      </c>
      <c r="D1206" t="s">
        <v>11</v>
      </c>
      <c r="E1206">
        <v>10.186916</v>
      </c>
    </row>
    <row r="1207" spans="1:5">
      <c r="A1207">
        <v>2015</v>
      </c>
      <c r="B1207" t="s">
        <v>0</v>
      </c>
      <c r="C1207" t="s">
        <v>63</v>
      </c>
      <c r="D1207" t="s">
        <v>11</v>
      </c>
      <c r="E1207">
        <v>45.877550999999997</v>
      </c>
    </row>
    <row r="1208" spans="1:5">
      <c r="A1208">
        <v>2015</v>
      </c>
      <c r="B1208" t="s">
        <v>0</v>
      </c>
      <c r="C1208" t="s">
        <v>64</v>
      </c>
      <c r="D1208" t="s">
        <v>11</v>
      </c>
      <c r="E1208">
        <v>46.469115000000002</v>
      </c>
    </row>
    <row r="1209" spans="1:5">
      <c r="A1209">
        <v>2015</v>
      </c>
      <c r="B1209" t="s">
        <v>0</v>
      </c>
      <c r="C1209" t="s">
        <v>65</v>
      </c>
      <c r="D1209" t="s">
        <v>11</v>
      </c>
      <c r="E1209">
        <v>35.171315999999997</v>
      </c>
    </row>
    <row r="1210" spans="1:5">
      <c r="A1210">
        <v>2015</v>
      </c>
      <c r="B1210" t="s">
        <v>0</v>
      </c>
      <c r="C1210" t="s">
        <v>66</v>
      </c>
      <c r="D1210" t="s">
        <v>11</v>
      </c>
      <c r="E1210">
        <v>29.804728000000001</v>
      </c>
    </row>
    <row r="1211" spans="1:5">
      <c r="A1211">
        <v>2015</v>
      </c>
      <c r="B1211" t="s">
        <v>0</v>
      </c>
      <c r="C1211" t="s">
        <v>67</v>
      </c>
      <c r="D1211" t="s">
        <v>11</v>
      </c>
      <c r="E1211">
        <v>22.398561999999998</v>
      </c>
    </row>
    <row r="1212" spans="1:5">
      <c r="A1212">
        <v>2015</v>
      </c>
      <c r="B1212" t="s">
        <v>0</v>
      </c>
      <c r="C1212" t="s">
        <v>68</v>
      </c>
      <c r="D1212" t="s">
        <v>11</v>
      </c>
      <c r="E1212">
        <v>12.694063999999999</v>
      </c>
    </row>
    <row r="1213" spans="1:5">
      <c r="A1213">
        <v>2015</v>
      </c>
      <c r="B1213" t="s">
        <v>0</v>
      </c>
      <c r="C1213" t="s">
        <v>69</v>
      </c>
      <c r="D1213" t="s">
        <v>11</v>
      </c>
      <c r="E1213">
        <v>30.019269999999999</v>
      </c>
    </row>
    <row r="1214" spans="1:5">
      <c r="A1214">
        <v>2015</v>
      </c>
      <c r="B1214" t="s">
        <v>0</v>
      </c>
      <c r="C1214" t="s">
        <v>70</v>
      </c>
      <c r="D1214" t="s">
        <v>11</v>
      </c>
      <c r="E1214">
        <v>30.363510999999999</v>
      </c>
    </row>
    <row r="1215" spans="1:5">
      <c r="A1215">
        <v>2015</v>
      </c>
      <c r="B1215" t="s">
        <v>0</v>
      </c>
      <c r="C1215" t="s">
        <v>71</v>
      </c>
      <c r="D1215" t="s">
        <v>11</v>
      </c>
      <c r="E1215">
        <v>34.641638</v>
      </c>
    </row>
    <row r="1216" spans="1:5">
      <c r="A1216">
        <v>2015</v>
      </c>
      <c r="B1216" t="s">
        <v>0</v>
      </c>
      <c r="C1216" t="s">
        <v>72</v>
      </c>
      <c r="D1216" t="s">
        <v>11</v>
      </c>
      <c r="E1216">
        <v>11.479555</v>
      </c>
    </row>
    <row r="1217" spans="1:5">
      <c r="A1217">
        <v>2015</v>
      </c>
      <c r="B1217" t="s">
        <v>0</v>
      </c>
      <c r="C1217" t="s">
        <v>73</v>
      </c>
      <c r="D1217" t="s">
        <v>11</v>
      </c>
      <c r="E1217">
        <v>18.997911999999999</v>
      </c>
    </row>
    <row r="1218" spans="1:5">
      <c r="A1218">
        <v>2015</v>
      </c>
      <c r="B1218" t="s">
        <v>0</v>
      </c>
      <c r="C1218" t="s">
        <v>74</v>
      </c>
      <c r="D1218" t="s">
        <v>11</v>
      </c>
      <c r="E1218">
        <v>21.038495999999999</v>
      </c>
    </row>
    <row r="1219" spans="1:5">
      <c r="A1219">
        <v>2015</v>
      </c>
      <c r="B1219" t="s">
        <v>0</v>
      </c>
      <c r="C1219" t="s">
        <v>75</v>
      </c>
      <c r="D1219" t="s">
        <v>11</v>
      </c>
      <c r="E1219">
        <v>33.464216999999998</v>
      </c>
    </row>
    <row r="1220" spans="1:5">
      <c r="A1220">
        <v>2015</v>
      </c>
      <c r="B1220" t="s">
        <v>0</v>
      </c>
      <c r="C1220" t="s">
        <v>76</v>
      </c>
      <c r="D1220" t="s">
        <v>11</v>
      </c>
      <c r="E1220">
        <v>20.097871999999999</v>
      </c>
    </row>
    <row r="1221" spans="1:5">
      <c r="A1221">
        <v>2015</v>
      </c>
      <c r="B1221" t="s">
        <v>0</v>
      </c>
      <c r="C1221" t="s">
        <v>77</v>
      </c>
      <c r="D1221" t="s">
        <v>11</v>
      </c>
      <c r="E1221">
        <v>9.5113438000000006</v>
      </c>
    </row>
    <row r="1222" spans="1:5">
      <c r="A1222">
        <v>2015</v>
      </c>
      <c r="B1222" t="s">
        <v>0</v>
      </c>
      <c r="C1222" t="s">
        <v>78</v>
      </c>
      <c r="D1222" t="s">
        <v>11</v>
      </c>
      <c r="E1222">
        <v>33.447978999999997</v>
      </c>
    </row>
    <row r="1223" spans="1:5">
      <c r="A1223">
        <v>2015</v>
      </c>
      <c r="B1223" t="s">
        <v>36</v>
      </c>
      <c r="C1223" t="s">
        <v>36</v>
      </c>
      <c r="D1223" t="s">
        <v>12</v>
      </c>
      <c r="E1223">
        <v>49.261628999999999</v>
      </c>
    </row>
    <row r="1224" spans="1:5">
      <c r="A1224">
        <v>2015</v>
      </c>
      <c r="B1224" t="s">
        <v>37</v>
      </c>
      <c r="C1224" t="s">
        <v>43</v>
      </c>
      <c r="D1224" t="s">
        <v>12</v>
      </c>
      <c r="E1224">
        <v>49.168073</v>
      </c>
    </row>
    <row r="1225" spans="1:5">
      <c r="A1225">
        <v>2015</v>
      </c>
      <c r="B1225" t="s">
        <v>37</v>
      </c>
      <c r="C1225" t="s">
        <v>44</v>
      </c>
      <c r="D1225" t="s">
        <v>12</v>
      </c>
      <c r="E1225">
        <v>50.222037</v>
      </c>
    </row>
    <row r="1226" spans="1:5">
      <c r="A1226">
        <v>2015</v>
      </c>
      <c r="B1226" t="s">
        <v>37</v>
      </c>
      <c r="C1226" t="s">
        <v>45</v>
      </c>
      <c r="D1226" t="s">
        <v>12</v>
      </c>
      <c r="E1226">
        <v>48.148069999999997</v>
      </c>
    </row>
    <row r="1227" spans="1:5">
      <c r="A1227">
        <v>2015</v>
      </c>
      <c r="B1227" t="s">
        <v>37</v>
      </c>
      <c r="C1227" t="s">
        <v>46</v>
      </c>
      <c r="D1227" t="s">
        <v>12</v>
      </c>
      <c r="E1227">
        <v>48.349567</v>
      </c>
    </row>
    <row r="1228" spans="1:5">
      <c r="A1228">
        <v>2015</v>
      </c>
      <c r="B1228" t="s">
        <v>38</v>
      </c>
      <c r="C1228" t="s">
        <v>47</v>
      </c>
      <c r="D1228" t="s">
        <v>12</v>
      </c>
      <c r="E1228">
        <v>48.224406000000002</v>
      </c>
    </row>
    <row r="1229" spans="1:5">
      <c r="A1229">
        <v>2015</v>
      </c>
      <c r="B1229" t="s">
        <v>38</v>
      </c>
      <c r="C1229" t="s">
        <v>48</v>
      </c>
      <c r="D1229" t="s">
        <v>12</v>
      </c>
      <c r="E1229">
        <v>48.054544999999997</v>
      </c>
    </row>
    <row r="1230" spans="1:5">
      <c r="A1230">
        <v>2015</v>
      </c>
      <c r="B1230" t="s">
        <v>38</v>
      </c>
      <c r="C1230" t="s">
        <v>49</v>
      </c>
      <c r="D1230" t="s">
        <v>12</v>
      </c>
      <c r="E1230">
        <v>51.059576</v>
      </c>
    </row>
    <row r="1231" spans="1:5">
      <c r="A1231">
        <v>2015</v>
      </c>
      <c r="B1231" t="s">
        <v>38</v>
      </c>
      <c r="C1231" t="s">
        <v>50</v>
      </c>
      <c r="D1231" t="s">
        <v>12</v>
      </c>
      <c r="E1231">
        <v>49.886730999999997</v>
      </c>
    </row>
    <row r="1232" spans="1:5">
      <c r="A1232">
        <v>2015</v>
      </c>
      <c r="B1232" t="s">
        <v>39</v>
      </c>
      <c r="C1232" t="s">
        <v>51</v>
      </c>
      <c r="D1232" t="s">
        <v>12</v>
      </c>
      <c r="E1232">
        <v>50.315153000000002</v>
      </c>
    </row>
    <row r="1233" spans="1:5">
      <c r="A1233">
        <v>2015</v>
      </c>
      <c r="B1233" t="s">
        <v>39</v>
      </c>
      <c r="C1233" t="s">
        <v>52</v>
      </c>
      <c r="D1233" t="s">
        <v>12</v>
      </c>
      <c r="E1233">
        <v>48.159852999999998</v>
      </c>
    </row>
    <row r="1234" spans="1:5">
      <c r="A1234">
        <v>2015</v>
      </c>
      <c r="B1234" t="s">
        <v>40</v>
      </c>
      <c r="C1234" t="s">
        <v>53</v>
      </c>
      <c r="D1234" t="s">
        <v>12</v>
      </c>
      <c r="E1234">
        <v>48.435692000000003</v>
      </c>
    </row>
    <row r="1235" spans="1:5">
      <c r="A1235">
        <v>2015</v>
      </c>
      <c r="B1235" t="s">
        <v>40</v>
      </c>
      <c r="C1235" t="s">
        <v>54</v>
      </c>
      <c r="D1235" t="s">
        <v>12</v>
      </c>
      <c r="E1235">
        <v>49.863740999999997</v>
      </c>
    </row>
    <row r="1236" spans="1:5">
      <c r="A1236">
        <v>2015</v>
      </c>
      <c r="B1236" t="s">
        <v>41</v>
      </c>
      <c r="C1236" t="s">
        <v>55</v>
      </c>
      <c r="D1236" t="s">
        <v>12</v>
      </c>
      <c r="E1236">
        <v>50.029860999999997</v>
      </c>
    </row>
    <row r="1237" spans="1:5">
      <c r="A1237">
        <v>2015</v>
      </c>
      <c r="B1237" t="s">
        <v>41</v>
      </c>
      <c r="C1237" t="s">
        <v>56</v>
      </c>
      <c r="D1237" t="s">
        <v>12</v>
      </c>
      <c r="E1237">
        <v>48.860450999999998</v>
      </c>
    </row>
    <row r="1238" spans="1:5">
      <c r="A1238">
        <v>2015</v>
      </c>
      <c r="B1238" t="s">
        <v>42</v>
      </c>
      <c r="C1238" t="s">
        <v>57</v>
      </c>
      <c r="D1238" t="s">
        <v>12</v>
      </c>
      <c r="E1238">
        <v>52.979951999999997</v>
      </c>
    </row>
    <row r="1239" spans="1:5">
      <c r="A1239">
        <v>2015</v>
      </c>
      <c r="B1239" t="s">
        <v>42</v>
      </c>
      <c r="C1239" t="s">
        <v>58</v>
      </c>
      <c r="D1239" t="s">
        <v>12</v>
      </c>
      <c r="E1239">
        <v>48.849217000000003</v>
      </c>
    </row>
    <row r="1240" spans="1:5">
      <c r="A1240">
        <v>2015</v>
      </c>
      <c r="B1240" t="s">
        <v>42</v>
      </c>
      <c r="C1240" t="s">
        <v>59</v>
      </c>
      <c r="D1240" t="s">
        <v>12</v>
      </c>
      <c r="E1240">
        <v>49.594002000000003</v>
      </c>
    </row>
    <row r="1241" spans="1:5">
      <c r="A1241">
        <v>2015</v>
      </c>
      <c r="B1241" t="s">
        <v>42</v>
      </c>
      <c r="C1241" t="s">
        <v>60</v>
      </c>
      <c r="D1241" t="s">
        <v>12</v>
      </c>
      <c r="E1241">
        <v>49.238256</v>
      </c>
    </row>
    <row r="1242" spans="1:5">
      <c r="A1242">
        <v>2015</v>
      </c>
      <c r="B1242" t="s">
        <v>0</v>
      </c>
      <c r="C1242" t="s">
        <v>61</v>
      </c>
      <c r="D1242" t="s">
        <v>12</v>
      </c>
      <c r="E1242">
        <v>59.286805000000001</v>
      </c>
    </row>
    <row r="1243" spans="1:5">
      <c r="A1243">
        <v>2015</v>
      </c>
      <c r="B1243" t="s">
        <v>0</v>
      </c>
      <c r="C1243" t="s">
        <v>62</v>
      </c>
      <c r="D1243" t="s">
        <v>12</v>
      </c>
      <c r="E1243">
        <v>42.803738000000003</v>
      </c>
    </row>
    <row r="1244" spans="1:5">
      <c r="A1244">
        <v>2015</v>
      </c>
      <c r="B1244" t="s">
        <v>0</v>
      </c>
      <c r="C1244" t="s">
        <v>63</v>
      </c>
      <c r="D1244" t="s">
        <v>12</v>
      </c>
      <c r="E1244">
        <v>46.448979999999999</v>
      </c>
    </row>
    <row r="1245" spans="1:5">
      <c r="A1245">
        <v>2015</v>
      </c>
      <c r="B1245" t="s">
        <v>0</v>
      </c>
      <c r="C1245" t="s">
        <v>64</v>
      </c>
      <c r="D1245" t="s">
        <v>12</v>
      </c>
      <c r="E1245">
        <v>48.472453000000002</v>
      </c>
    </row>
    <row r="1246" spans="1:5">
      <c r="A1246">
        <v>2015</v>
      </c>
      <c r="B1246" t="s">
        <v>0</v>
      </c>
      <c r="C1246" t="s">
        <v>65</v>
      </c>
      <c r="D1246" t="s">
        <v>12</v>
      </c>
      <c r="E1246">
        <v>50.418059</v>
      </c>
    </row>
    <row r="1247" spans="1:5">
      <c r="A1247">
        <v>2015</v>
      </c>
      <c r="B1247" t="s">
        <v>0</v>
      </c>
      <c r="C1247" t="s">
        <v>66</v>
      </c>
      <c r="D1247" t="s">
        <v>12</v>
      </c>
      <c r="E1247">
        <v>51.490236000000003</v>
      </c>
    </row>
    <row r="1248" spans="1:5">
      <c r="A1248">
        <v>2015</v>
      </c>
      <c r="B1248" t="s">
        <v>0</v>
      </c>
      <c r="C1248" t="s">
        <v>67</v>
      </c>
      <c r="D1248" t="s">
        <v>12</v>
      </c>
      <c r="E1248">
        <v>52.008187</v>
      </c>
    </row>
    <row r="1249" spans="1:5">
      <c r="A1249">
        <v>2015</v>
      </c>
      <c r="B1249" t="s">
        <v>0</v>
      </c>
      <c r="C1249" t="s">
        <v>68</v>
      </c>
      <c r="D1249" t="s">
        <v>12</v>
      </c>
      <c r="E1249">
        <v>33.515982000000001</v>
      </c>
    </row>
    <row r="1250" spans="1:5">
      <c r="A1250">
        <v>2015</v>
      </c>
      <c r="B1250" t="s">
        <v>0</v>
      </c>
      <c r="C1250" t="s">
        <v>69</v>
      </c>
      <c r="D1250" t="s">
        <v>12</v>
      </c>
      <c r="E1250">
        <v>48.586154999999998</v>
      </c>
    </row>
    <row r="1251" spans="1:5">
      <c r="A1251">
        <v>2015</v>
      </c>
      <c r="B1251" t="s">
        <v>0</v>
      </c>
      <c r="C1251" t="s">
        <v>70</v>
      </c>
      <c r="D1251" t="s">
        <v>12</v>
      </c>
      <c r="E1251">
        <v>49.472824000000003</v>
      </c>
    </row>
    <row r="1252" spans="1:5">
      <c r="A1252">
        <v>2015</v>
      </c>
      <c r="B1252" t="s">
        <v>0</v>
      </c>
      <c r="C1252" t="s">
        <v>71</v>
      </c>
      <c r="D1252" t="s">
        <v>12</v>
      </c>
      <c r="E1252">
        <v>47.781570000000002</v>
      </c>
    </row>
    <row r="1253" spans="1:5">
      <c r="A1253">
        <v>2015</v>
      </c>
      <c r="B1253" t="s">
        <v>0</v>
      </c>
      <c r="C1253" t="s">
        <v>72</v>
      </c>
      <c r="D1253" t="s">
        <v>12</v>
      </c>
      <c r="E1253">
        <v>46.344521</v>
      </c>
    </row>
    <row r="1254" spans="1:5">
      <c r="A1254">
        <v>2015</v>
      </c>
      <c r="B1254" t="s">
        <v>0</v>
      </c>
      <c r="C1254" t="s">
        <v>73</v>
      </c>
      <c r="D1254" t="s">
        <v>12</v>
      </c>
      <c r="E1254">
        <v>43.110647</v>
      </c>
    </row>
    <row r="1255" spans="1:5">
      <c r="A1255">
        <v>2015</v>
      </c>
      <c r="B1255" t="s">
        <v>0</v>
      </c>
      <c r="C1255" t="s">
        <v>74</v>
      </c>
      <c r="D1255" t="s">
        <v>12</v>
      </c>
      <c r="E1255">
        <v>61.235452000000002</v>
      </c>
    </row>
    <row r="1256" spans="1:5">
      <c r="A1256">
        <v>2015</v>
      </c>
      <c r="B1256" t="s">
        <v>0</v>
      </c>
      <c r="C1256" t="s">
        <v>75</v>
      </c>
      <c r="D1256" t="s">
        <v>12</v>
      </c>
      <c r="E1256">
        <v>52.214106999999998</v>
      </c>
    </row>
    <row r="1257" spans="1:5">
      <c r="A1257">
        <v>2015</v>
      </c>
      <c r="B1257" t="s">
        <v>0</v>
      </c>
      <c r="C1257" t="s">
        <v>76</v>
      </c>
      <c r="D1257" t="s">
        <v>12</v>
      </c>
      <c r="E1257">
        <v>56.643070000000002</v>
      </c>
    </row>
    <row r="1258" spans="1:5">
      <c r="A1258">
        <v>2015</v>
      </c>
      <c r="B1258" t="s">
        <v>0</v>
      </c>
      <c r="C1258" t="s">
        <v>77</v>
      </c>
      <c r="D1258" t="s">
        <v>12</v>
      </c>
      <c r="E1258">
        <v>56.195461999999999</v>
      </c>
    </row>
    <row r="1259" spans="1:5">
      <c r="A1259">
        <v>2015</v>
      </c>
      <c r="B1259" t="s">
        <v>0</v>
      </c>
      <c r="C1259" t="s">
        <v>78</v>
      </c>
      <c r="D1259" t="s">
        <v>12</v>
      </c>
      <c r="E1259">
        <v>40.584695000000004</v>
      </c>
    </row>
    <row r="1260" spans="1:5">
      <c r="A1260">
        <v>2015</v>
      </c>
      <c r="B1260" t="s">
        <v>36</v>
      </c>
      <c r="C1260" t="s">
        <v>36</v>
      </c>
      <c r="D1260" t="s">
        <v>13</v>
      </c>
      <c r="E1260">
        <v>22.292144</v>
      </c>
    </row>
    <row r="1261" spans="1:5">
      <c r="A1261">
        <v>2015</v>
      </c>
      <c r="B1261" t="s">
        <v>37</v>
      </c>
      <c r="C1261" t="s">
        <v>43</v>
      </c>
      <c r="D1261" t="s">
        <v>13</v>
      </c>
      <c r="E1261">
        <v>21.097324</v>
      </c>
    </row>
    <row r="1262" spans="1:5">
      <c r="A1262">
        <v>2015</v>
      </c>
      <c r="B1262" t="s">
        <v>37</v>
      </c>
      <c r="C1262" t="s">
        <v>44</v>
      </c>
      <c r="D1262" t="s">
        <v>13</v>
      </c>
      <c r="E1262">
        <v>22.227945999999999</v>
      </c>
    </row>
    <row r="1263" spans="1:5">
      <c r="A1263">
        <v>2015</v>
      </c>
      <c r="B1263" t="s">
        <v>37</v>
      </c>
      <c r="C1263" t="s">
        <v>45</v>
      </c>
      <c r="D1263" t="s">
        <v>13</v>
      </c>
      <c r="E1263">
        <v>25.148339</v>
      </c>
    </row>
    <row r="1264" spans="1:5">
      <c r="A1264">
        <v>2015</v>
      </c>
      <c r="B1264" t="s">
        <v>37</v>
      </c>
      <c r="C1264" t="s">
        <v>46</v>
      </c>
      <c r="D1264" t="s">
        <v>13</v>
      </c>
      <c r="E1264">
        <v>19.157785000000001</v>
      </c>
    </row>
    <row r="1265" spans="1:5">
      <c r="A1265">
        <v>2015</v>
      </c>
      <c r="B1265" t="s">
        <v>38</v>
      </c>
      <c r="C1265" t="s">
        <v>47</v>
      </c>
      <c r="D1265" t="s">
        <v>13</v>
      </c>
      <c r="E1265">
        <v>25.688791999999999</v>
      </c>
    </row>
    <row r="1266" spans="1:5">
      <c r="A1266">
        <v>2015</v>
      </c>
      <c r="B1266" t="s">
        <v>38</v>
      </c>
      <c r="C1266" t="s">
        <v>48</v>
      </c>
      <c r="D1266" t="s">
        <v>13</v>
      </c>
      <c r="E1266">
        <v>22.944051000000002</v>
      </c>
    </row>
    <row r="1267" spans="1:5">
      <c r="A1267">
        <v>2015</v>
      </c>
      <c r="B1267" t="s">
        <v>38</v>
      </c>
      <c r="C1267" t="s">
        <v>49</v>
      </c>
      <c r="D1267" t="s">
        <v>13</v>
      </c>
      <c r="E1267">
        <v>19.604341999999999</v>
      </c>
    </row>
    <row r="1268" spans="1:5">
      <c r="A1268">
        <v>2015</v>
      </c>
      <c r="B1268" t="s">
        <v>38</v>
      </c>
      <c r="C1268" t="s">
        <v>50</v>
      </c>
      <c r="D1268" t="s">
        <v>13</v>
      </c>
      <c r="E1268">
        <v>22.091456000000001</v>
      </c>
    </row>
    <row r="1269" spans="1:5">
      <c r="A1269">
        <v>2015</v>
      </c>
      <c r="B1269" t="s">
        <v>39</v>
      </c>
      <c r="C1269" t="s">
        <v>51</v>
      </c>
      <c r="D1269" t="s">
        <v>13</v>
      </c>
      <c r="E1269">
        <v>21.547270999999999</v>
      </c>
    </row>
    <row r="1270" spans="1:5">
      <c r="A1270">
        <v>2015</v>
      </c>
      <c r="B1270" t="s">
        <v>39</v>
      </c>
      <c r="C1270" t="s">
        <v>52</v>
      </c>
      <c r="D1270" t="s">
        <v>13</v>
      </c>
      <c r="E1270">
        <v>23.071131999999999</v>
      </c>
    </row>
    <row r="1271" spans="1:5">
      <c r="A1271">
        <v>2015</v>
      </c>
      <c r="B1271" t="s">
        <v>40</v>
      </c>
      <c r="C1271" t="s">
        <v>53</v>
      </c>
      <c r="D1271" t="s">
        <v>13</v>
      </c>
      <c r="E1271">
        <v>22.664303</v>
      </c>
    </row>
    <row r="1272" spans="1:5">
      <c r="A1272">
        <v>2015</v>
      </c>
      <c r="B1272" t="s">
        <v>40</v>
      </c>
      <c r="C1272" t="s">
        <v>54</v>
      </c>
      <c r="D1272" t="s">
        <v>13</v>
      </c>
      <c r="E1272">
        <v>22.003854</v>
      </c>
    </row>
    <row r="1273" spans="1:5">
      <c r="A1273">
        <v>2015</v>
      </c>
      <c r="B1273" t="s">
        <v>41</v>
      </c>
      <c r="C1273" t="s">
        <v>55</v>
      </c>
      <c r="D1273" t="s">
        <v>13</v>
      </c>
      <c r="E1273">
        <v>21.638867999999999</v>
      </c>
    </row>
    <row r="1274" spans="1:5">
      <c r="A1274">
        <v>2015</v>
      </c>
      <c r="B1274" t="s">
        <v>41</v>
      </c>
      <c r="C1274" t="s">
        <v>56</v>
      </c>
      <c r="D1274" t="s">
        <v>13</v>
      </c>
      <c r="E1274">
        <v>22.626552</v>
      </c>
    </row>
    <row r="1275" spans="1:5">
      <c r="A1275">
        <v>2015</v>
      </c>
      <c r="B1275" t="s">
        <v>42</v>
      </c>
      <c r="C1275" t="s">
        <v>57</v>
      </c>
      <c r="D1275" t="s">
        <v>13</v>
      </c>
      <c r="E1275">
        <v>28.171928999999999</v>
      </c>
    </row>
    <row r="1276" spans="1:5">
      <c r="A1276">
        <v>2015</v>
      </c>
      <c r="B1276" t="s">
        <v>42</v>
      </c>
      <c r="C1276" t="s">
        <v>58</v>
      </c>
      <c r="D1276" t="s">
        <v>13</v>
      </c>
      <c r="E1276">
        <v>22.024708</v>
      </c>
    </row>
    <row r="1277" spans="1:5">
      <c r="A1277">
        <v>2015</v>
      </c>
      <c r="B1277" t="s">
        <v>42</v>
      </c>
      <c r="C1277" t="s">
        <v>59</v>
      </c>
      <c r="D1277" t="s">
        <v>13</v>
      </c>
      <c r="E1277">
        <v>21.811738999999999</v>
      </c>
    </row>
    <row r="1278" spans="1:5">
      <c r="A1278">
        <v>2015</v>
      </c>
      <c r="B1278" t="s">
        <v>42</v>
      </c>
      <c r="C1278" t="s">
        <v>60</v>
      </c>
      <c r="D1278" t="s">
        <v>13</v>
      </c>
      <c r="E1278">
        <v>20.676867999999999</v>
      </c>
    </row>
    <row r="1279" spans="1:5">
      <c r="A1279">
        <v>2015</v>
      </c>
      <c r="B1279" t="s">
        <v>0</v>
      </c>
      <c r="C1279" t="s">
        <v>61</v>
      </c>
      <c r="D1279" t="s">
        <v>13</v>
      </c>
      <c r="E1279">
        <v>20.282094000000001</v>
      </c>
    </row>
    <row r="1280" spans="1:5">
      <c r="A1280">
        <v>2015</v>
      </c>
      <c r="B1280" t="s">
        <v>0</v>
      </c>
      <c r="C1280" t="s">
        <v>62</v>
      </c>
      <c r="D1280" t="s">
        <v>13</v>
      </c>
      <c r="E1280">
        <v>43.271028000000001</v>
      </c>
    </row>
    <row r="1281" spans="1:5">
      <c r="A1281">
        <v>2015</v>
      </c>
      <c r="B1281" t="s">
        <v>0</v>
      </c>
      <c r="C1281" t="s">
        <v>63</v>
      </c>
      <c r="D1281" t="s">
        <v>13</v>
      </c>
      <c r="E1281">
        <v>6.7755102000000003</v>
      </c>
    </row>
    <row r="1282" spans="1:5">
      <c r="A1282">
        <v>2015</v>
      </c>
      <c r="B1282" t="s">
        <v>0</v>
      </c>
      <c r="C1282" t="s">
        <v>64</v>
      </c>
      <c r="D1282" t="s">
        <v>13</v>
      </c>
      <c r="E1282">
        <v>4.3216903999999996</v>
      </c>
    </row>
    <row r="1283" spans="1:5">
      <c r="A1283">
        <v>2015</v>
      </c>
      <c r="B1283" t="s">
        <v>0</v>
      </c>
      <c r="C1283" t="s">
        <v>65</v>
      </c>
      <c r="D1283" t="s">
        <v>13</v>
      </c>
      <c r="E1283">
        <v>13.404645</v>
      </c>
    </row>
    <row r="1284" spans="1:5">
      <c r="A1284">
        <v>2015</v>
      </c>
      <c r="B1284" t="s">
        <v>0</v>
      </c>
      <c r="C1284" t="s">
        <v>66</v>
      </c>
      <c r="D1284" t="s">
        <v>13</v>
      </c>
      <c r="E1284">
        <v>16.855087000000001</v>
      </c>
    </row>
    <row r="1285" spans="1:5">
      <c r="A1285">
        <v>2015</v>
      </c>
      <c r="B1285" t="s">
        <v>0</v>
      </c>
      <c r="C1285" t="s">
        <v>67</v>
      </c>
      <c r="D1285" t="s">
        <v>13</v>
      </c>
      <c r="E1285">
        <v>23.605629</v>
      </c>
    </row>
    <row r="1286" spans="1:5">
      <c r="A1286">
        <v>2015</v>
      </c>
      <c r="B1286" t="s">
        <v>0</v>
      </c>
      <c r="C1286" t="s">
        <v>68</v>
      </c>
      <c r="D1286" t="s">
        <v>13</v>
      </c>
      <c r="E1286">
        <v>49.315067999999997</v>
      </c>
    </row>
    <row r="1287" spans="1:5">
      <c r="A1287">
        <v>2015</v>
      </c>
      <c r="B1287" t="s">
        <v>0</v>
      </c>
      <c r="C1287" t="s">
        <v>69</v>
      </c>
      <c r="D1287" t="s">
        <v>13</v>
      </c>
      <c r="E1287">
        <v>18.523802</v>
      </c>
    </row>
    <row r="1288" spans="1:5">
      <c r="A1288">
        <v>2015</v>
      </c>
      <c r="B1288" t="s">
        <v>0</v>
      </c>
      <c r="C1288" t="s">
        <v>70</v>
      </c>
      <c r="D1288" t="s">
        <v>13</v>
      </c>
      <c r="E1288">
        <v>17.9146</v>
      </c>
    </row>
    <row r="1289" spans="1:5">
      <c r="A1289">
        <v>2015</v>
      </c>
      <c r="B1289" t="s">
        <v>0</v>
      </c>
      <c r="C1289" t="s">
        <v>71</v>
      </c>
      <c r="D1289" t="s">
        <v>13</v>
      </c>
      <c r="E1289">
        <v>15.614333999999999</v>
      </c>
    </row>
    <row r="1290" spans="1:5">
      <c r="A1290">
        <v>2015</v>
      </c>
      <c r="B1290" t="s">
        <v>0</v>
      </c>
      <c r="C1290" t="s">
        <v>72</v>
      </c>
      <c r="D1290" t="s">
        <v>13</v>
      </c>
      <c r="E1290">
        <v>36.130049999999997</v>
      </c>
    </row>
    <row r="1291" spans="1:5">
      <c r="A1291">
        <v>2015</v>
      </c>
      <c r="B1291" t="s">
        <v>0</v>
      </c>
      <c r="C1291" t="s">
        <v>73</v>
      </c>
      <c r="D1291" t="s">
        <v>13</v>
      </c>
      <c r="E1291">
        <v>34.759915999999997</v>
      </c>
    </row>
    <row r="1292" spans="1:5">
      <c r="A1292">
        <v>2015</v>
      </c>
      <c r="B1292" t="s">
        <v>0</v>
      </c>
      <c r="C1292" t="s">
        <v>74</v>
      </c>
      <c r="D1292" t="s">
        <v>13</v>
      </c>
      <c r="E1292">
        <v>17.009848000000002</v>
      </c>
    </row>
    <row r="1293" spans="1:5">
      <c r="A1293">
        <v>2015</v>
      </c>
      <c r="B1293" t="s">
        <v>0</v>
      </c>
      <c r="C1293" t="s">
        <v>75</v>
      </c>
      <c r="D1293" t="s">
        <v>13</v>
      </c>
      <c r="E1293">
        <v>13.730549999999999</v>
      </c>
    </row>
    <row r="1294" spans="1:5">
      <c r="A1294">
        <v>2015</v>
      </c>
      <c r="B1294" t="s">
        <v>0</v>
      </c>
      <c r="C1294" t="s">
        <v>76</v>
      </c>
      <c r="D1294" t="s">
        <v>13</v>
      </c>
      <c r="E1294">
        <v>21.842766999999998</v>
      </c>
    </row>
    <row r="1295" spans="1:5">
      <c r="A1295">
        <v>2015</v>
      </c>
      <c r="B1295" t="s">
        <v>0</v>
      </c>
      <c r="C1295" t="s">
        <v>77</v>
      </c>
      <c r="D1295" t="s">
        <v>13</v>
      </c>
      <c r="E1295">
        <v>32.809773</v>
      </c>
    </row>
    <row r="1296" spans="1:5">
      <c r="A1296">
        <v>2015</v>
      </c>
      <c r="B1296" t="s">
        <v>0</v>
      </c>
      <c r="C1296" t="s">
        <v>78</v>
      </c>
      <c r="D1296" t="s">
        <v>13</v>
      </c>
      <c r="E1296">
        <v>21.668099999999999</v>
      </c>
    </row>
    <row r="1297" spans="1:5">
      <c r="A1297">
        <v>2015</v>
      </c>
      <c r="B1297" t="s">
        <v>36</v>
      </c>
      <c r="C1297" t="s">
        <v>36</v>
      </c>
      <c r="D1297" t="s">
        <v>14</v>
      </c>
      <c r="E1297">
        <v>2.1933620999999999</v>
      </c>
    </row>
    <row r="1298" spans="1:5">
      <c r="A1298">
        <v>2015</v>
      </c>
      <c r="B1298" t="s">
        <v>37</v>
      </c>
      <c r="C1298" t="s">
        <v>43</v>
      </c>
      <c r="D1298" t="s">
        <v>14</v>
      </c>
      <c r="E1298">
        <v>2.5240535999999998</v>
      </c>
    </row>
    <row r="1299" spans="1:5">
      <c r="A1299">
        <v>2015</v>
      </c>
      <c r="B1299" t="s">
        <v>37</v>
      </c>
      <c r="C1299" t="s">
        <v>44</v>
      </c>
      <c r="D1299" t="s">
        <v>14</v>
      </c>
      <c r="E1299">
        <v>2.3442875999999999</v>
      </c>
    </row>
    <row r="1300" spans="1:5">
      <c r="A1300">
        <v>2015</v>
      </c>
      <c r="B1300" t="s">
        <v>37</v>
      </c>
      <c r="C1300" t="s">
        <v>45</v>
      </c>
      <c r="D1300" t="s">
        <v>14</v>
      </c>
      <c r="E1300">
        <v>1.9463462</v>
      </c>
    </row>
    <row r="1301" spans="1:5">
      <c r="A1301">
        <v>2015</v>
      </c>
      <c r="B1301" t="s">
        <v>37</v>
      </c>
      <c r="C1301" t="s">
        <v>46</v>
      </c>
      <c r="D1301" t="s">
        <v>14</v>
      </c>
      <c r="E1301">
        <v>1.6020137999999999</v>
      </c>
    </row>
    <row r="1302" spans="1:5">
      <c r="A1302">
        <v>2015</v>
      </c>
      <c r="B1302" t="s">
        <v>38</v>
      </c>
      <c r="C1302" t="s">
        <v>47</v>
      </c>
      <c r="D1302" t="s">
        <v>14</v>
      </c>
      <c r="E1302">
        <v>2.1979236000000002</v>
      </c>
    </row>
    <row r="1303" spans="1:5">
      <c r="A1303">
        <v>2015</v>
      </c>
      <c r="B1303" t="s">
        <v>38</v>
      </c>
      <c r="C1303" t="s">
        <v>48</v>
      </c>
      <c r="D1303" t="s">
        <v>14</v>
      </c>
      <c r="E1303">
        <v>2.1203205999999999</v>
      </c>
    </row>
    <row r="1304" spans="1:5">
      <c r="A1304">
        <v>2015</v>
      </c>
      <c r="B1304" t="s">
        <v>38</v>
      </c>
      <c r="C1304" t="s">
        <v>49</v>
      </c>
      <c r="D1304" t="s">
        <v>14</v>
      </c>
      <c r="E1304">
        <v>2.2802437000000002</v>
      </c>
    </row>
    <row r="1305" spans="1:5">
      <c r="A1305">
        <v>2015</v>
      </c>
      <c r="B1305" t="s">
        <v>38</v>
      </c>
      <c r="C1305" t="s">
        <v>50</v>
      </c>
      <c r="D1305" t="s">
        <v>14</v>
      </c>
      <c r="E1305">
        <v>2.1694046</v>
      </c>
    </row>
    <row r="1306" spans="1:5">
      <c r="A1306">
        <v>2015</v>
      </c>
      <c r="B1306" t="s">
        <v>39</v>
      </c>
      <c r="C1306" t="s">
        <v>51</v>
      </c>
      <c r="D1306" t="s">
        <v>14</v>
      </c>
      <c r="E1306">
        <v>2.0662029</v>
      </c>
    </row>
    <row r="1307" spans="1:5">
      <c r="A1307">
        <v>2015</v>
      </c>
      <c r="B1307" t="s">
        <v>39</v>
      </c>
      <c r="C1307" t="s">
        <v>52</v>
      </c>
      <c r="D1307" t="s">
        <v>14</v>
      </c>
      <c r="E1307">
        <v>2.3263452999999998</v>
      </c>
    </row>
    <row r="1308" spans="1:5">
      <c r="A1308">
        <v>2015</v>
      </c>
      <c r="B1308" t="s">
        <v>40</v>
      </c>
      <c r="C1308" t="s">
        <v>53</v>
      </c>
      <c r="D1308" t="s">
        <v>14</v>
      </c>
      <c r="E1308">
        <v>2.1038674999999998</v>
      </c>
    </row>
    <row r="1309" spans="1:5">
      <c r="A1309">
        <v>2015</v>
      </c>
      <c r="B1309" t="s">
        <v>40</v>
      </c>
      <c r="C1309" t="s">
        <v>54</v>
      </c>
      <c r="D1309" t="s">
        <v>14</v>
      </c>
      <c r="E1309">
        <v>2.2502583</v>
      </c>
    </row>
    <row r="1310" spans="1:5">
      <c r="A1310">
        <v>2015</v>
      </c>
      <c r="B1310" t="s">
        <v>41</v>
      </c>
      <c r="C1310" t="s">
        <v>55</v>
      </c>
      <c r="D1310" t="s">
        <v>14</v>
      </c>
      <c r="E1310">
        <v>2.3595982000000002</v>
      </c>
    </row>
    <row r="1311" spans="1:5">
      <c r="A1311">
        <v>2015</v>
      </c>
      <c r="B1311" t="s">
        <v>41</v>
      </c>
      <c r="C1311" t="s">
        <v>56</v>
      </c>
      <c r="D1311" t="s">
        <v>14</v>
      </c>
      <c r="E1311">
        <v>2.0828855000000002</v>
      </c>
    </row>
    <row r="1312" spans="1:5">
      <c r="A1312">
        <v>2015</v>
      </c>
      <c r="B1312" t="s">
        <v>42</v>
      </c>
      <c r="C1312" t="s">
        <v>57</v>
      </c>
      <c r="D1312" t="s">
        <v>14</v>
      </c>
      <c r="E1312">
        <v>2.0260587999999999</v>
      </c>
    </row>
    <row r="1313" spans="1:5">
      <c r="A1313">
        <v>2015</v>
      </c>
      <c r="B1313" t="s">
        <v>42</v>
      </c>
      <c r="C1313" t="s">
        <v>58</v>
      </c>
      <c r="D1313" t="s">
        <v>14</v>
      </c>
      <c r="E1313">
        <v>1.9764633</v>
      </c>
    </row>
    <row r="1314" spans="1:5">
      <c r="A1314">
        <v>2015</v>
      </c>
      <c r="B1314" t="s">
        <v>42</v>
      </c>
      <c r="C1314" t="s">
        <v>59</v>
      </c>
      <c r="D1314" t="s">
        <v>14</v>
      </c>
      <c r="E1314">
        <v>2.3861732999999998</v>
      </c>
    </row>
    <row r="1315" spans="1:5">
      <c r="A1315">
        <v>2015</v>
      </c>
      <c r="B1315" t="s">
        <v>42</v>
      </c>
      <c r="C1315" t="s">
        <v>60</v>
      </c>
      <c r="D1315" t="s">
        <v>14</v>
      </c>
      <c r="E1315">
        <v>2.5075987</v>
      </c>
    </row>
    <row r="1316" spans="1:5">
      <c r="A1316">
        <v>2015</v>
      </c>
      <c r="B1316" t="s">
        <v>0</v>
      </c>
      <c r="C1316" t="s">
        <v>61</v>
      </c>
      <c r="D1316" t="s">
        <v>14</v>
      </c>
      <c r="E1316">
        <v>1.1847398</v>
      </c>
    </row>
    <row r="1317" spans="1:5">
      <c r="A1317">
        <v>2015</v>
      </c>
      <c r="B1317" t="s">
        <v>0</v>
      </c>
      <c r="C1317" t="s">
        <v>62</v>
      </c>
      <c r="D1317" t="s">
        <v>14</v>
      </c>
      <c r="E1317">
        <v>3.7383177999999999</v>
      </c>
    </row>
    <row r="1318" spans="1:5">
      <c r="A1318">
        <v>2015</v>
      </c>
      <c r="B1318" t="s">
        <v>0</v>
      </c>
      <c r="C1318" t="s">
        <v>63</v>
      </c>
      <c r="D1318" t="s">
        <v>14</v>
      </c>
      <c r="E1318">
        <v>0.89795917999999997</v>
      </c>
    </row>
    <row r="1319" spans="1:5">
      <c r="A1319">
        <v>2015</v>
      </c>
      <c r="B1319" t="s">
        <v>0</v>
      </c>
      <c r="C1319" t="s">
        <v>64</v>
      </c>
      <c r="D1319" t="s">
        <v>14</v>
      </c>
      <c r="E1319">
        <v>0.7367416</v>
      </c>
    </row>
    <row r="1320" spans="1:5">
      <c r="A1320">
        <v>2015</v>
      </c>
      <c r="B1320" t="s">
        <v>0</v>
      </c>
      <c r="C1320" t="s">
        <v>65</v>
      </c>
      <c r="D1320" t="s">
        <v>14</v>
      </c>
      <c r="E1320">
        <v>1.0059803</v>
      </c>
    </row>
    <row r="1321" spans="1:5">
      <c r="A1321">
        <v>2015</v>
      </c>
      <c r="B1321" t="s">
        <v>0</v>
      </c>
      <c r="C1321" t="s">
        <v>66</v>
      </c>
      <c r="D1321" t="s">
        <v>14</v>
      </c>
      <c r="E1321">
        <v>1.8499486000000001</v>
      </c>
    </row>
    <row r="1322" spans="1:5">
      <c r="A1322">
        <v>2015</v>
      </c>
      <c r="B1322" t="s">
        <v>0</v>
      </c>
      <c r="C1322" t="s">
        <v>67</v>
      </c>
      <c r="D1322" t="s">
        <v>14</v>
      </c>
      <c r="E1322">
        <v>1.9876208</v>
      </c>
    </row>
    <row r="1323" spans="1:5">
      <c r="A1323">
        <v>2015</v>
      </c>
      <c r="B1323" t="s">
        <v>0</v>
      </c>
      <c r="C1323" t="s">
        <v>68</v>
      </c>
      <c r="D1323" t="s">
        <v>14</v>
      </c>
      <c r="E1323">
        <v>4.4748858</v>
      </c>
    </row>
    <row r="1324" spans="1:5">
      <c r="A1324">
        <v>2015</v>
      </c>
      <c r="B1324" t="s">
        <v>0</v>
      </c>
      <c r="C1324" t="s">
        <v>69</v>
      </c>
      <c r="D1324" t="s">
        <v>14</v>
      </c>
      <c r="E1324">
        <v>2.8707731999999999</v>
      </c>
    </row>
    <row r="1325" spans="1:5">
      <c r="A1325">
        <v>2015</v>
      </c>
      <c r="B1325" t="s">
        <v>0</v>
      </c>
      <c r="C1325" t="s">
        <v>70</v>
      </c>
      <c r="D1325" t="s">
        <v>14</v>
      </c>
      <c r="E1325">
        <v>2.2490649999999999</v>
      </c>
    </row>
    <row r="1326" spans="1:5">
      <c r="A1326">
        <v>2015</v>
      </c>
      <c r="B1326" t="s">
        <v>0</v>
      </c>
      <c r="C1326" t="s">
        <v>71</v>
      </c>
      <c r="D1326" t="s">
        <v>14</v>
      </c>
      <c r="E1326">
        <v>1.9624573000000001</v>
      </c>
    </row>
    <row r="1327" spans="1:5">
      <c r="A1327">
        <v>2015</v>
      </c>
      <c r="B1327" t="s">
        <v>0</v>
      </c>
      <c r="C1327" t="s">
        <v>72</v>
      </c>
      <c r="D1327" t="s">
        <v>14</v>
      </c>
      <c r="E1327">
        <v>6.0458748</v>
      </c>
    </row>
    <row r="1328" spans="1:5">
      <c r="A1328">
        <v>2015</v>
      </c>
      <c r="B1328" t="s">
        <v>0</v>
      </c>
      <c r="C1328" t="s">
        <v>73</v>
      </c>
      <c r="D1328" t="s">
        <v>14</v>
      </c>
      <c r="E1328">
        <v>3.1315240000000002</v>
      </c>
    </row>
    <row r="1329" spans="1:5">
      <c r="A1329">
        <v>2015</v>
      </c>
      <c r="B1329" t="s">
        <v>0</v>
      </c>
      <c r="C1329" t="s">
        <v>74</v>
      </c>
      <c r="D1329" t="s">
        <v>14</v>
      </c>
      <c r="E1329">
        <v>0.71620412</v>
      </c>
    </row>
    <row r="1330" spans="1:5">
      <c r="A1330">
        <v>2015</v>
      </c>
      <c r="B1330" t="s">
        <v>0</v>
      </c>
      <c r="C1330" t="s">
        <v>75</v>
      </c>
      <c r="D1330" t="s">
        <v>14</v>
      </c>
      <c r="E1330">
        <v>0.59112704000000005</v>
      </c>
    </row>
    <row r="1331" spans="1:5">
      <c r="A1331">
        <v>2015</v>
      </c>
      <c r="B1331" t="s">
        <v>0</v>
      </c>
      <c r="C1331" t="s">
        <v>76</v>
      </c>
      <c r="D1331" t="s">
        <v>14</v>
      </c>
      <c r="E1331">
        <v>1.4162916999999999</v>
      </c>
    </row>
    <row r="1332" spans="1:5">
      <c r="A1332">
        <v>2015</v>
      </c>
      <c r="B1332" t="s">
        <v>0</v>
      </c>
      <c r="C1332" t="s">
        <v>77</v>
      </c>
      <c r="D1332" t="s">
        <v>14</v>
      </c>
      <c r="E1332">
        <v>1.4834206000000001</v>
      </c>
    </row>
    <row r="1333" spans="1:5">
      <c r="A1333">
        <v>2015</v>
      </c>
      <c r="B1333" t="s">
        <v>0</v>
      </c>
      <c r="C1333" t="s">
        <v>78</v>
      </c>
      <c r="D1333" t="s">
        <v>14</v>
      </c>
      <c r="E1333">
        <v>4.2992261000000003</v>
      </c>
    </row>
    <row r="1334" spans="1:5">
      <c r="E1334"/>
    </row>
    <row r="1335" spans="1:5">
      <c r="E1335"/>
    </row>
    <row r="1336" spans="1:5">
      <c r="E1336"/>
    </row>
    <row r="1337" spans="1:5">
      <c r="E1337"/>
    </row>
    <row r="1338" spans="1:5">
      <c r="E1338"/>
    </row>
    <row r="1339" spans="1:5">
      <c r="E1339"/>
    </row>
    <row r="1340" spans="1:5">
      <c r="E1340"/>
    </row>
    <row r="1341" spans="1:5">
      <c r="E1341"/>
    </row>
    <row r="1342" spans="1:5">
      <c r="E1342"/>
    </row>
    <row r="1343" spans="1:5">
      <c r="E1343"/>
    </row>
    <row r="1344" spans="1:5">
      <c r="E1344"/>
    </row>
    <row r="1345" spans="5:5">
      <c r="E1345"/>
    </row>
    <row r="1346" spans="5:5">
      <c r="E1346"/>
    </row>
    <row r="1347" spans="5:5">
      <c r="E1347"/>
    </row>
    <row r="1348" spans="5:5">
      <c r="E1348"/>
    </row>
    <row r="1349" spans="5:5">
      <c r="E1349"/>
    </row>
    <row r="1350" spans="5:5">
      <c r="E1350"/>
    </row>
    <row r="1351" spans="5:5">
      <c r="E1351"/>
    </row>
    <row r="1352" spans="5:5">
      <c r="E1352"/>
    </row>
    <row r="1353" spans="5:5">
      <c r="E1353"/>
    </row>
    <row r="1354" spans="5:5">
      <c r="E1354"/>
    </row>
    <row r="1355" spans="5:5">
      <c r="E1355"/>
    </row>
    <row r="1356" spans="5:5">
      <c r="E1356"/>
    </row>
    <row r="1357" spans="5:5">
      <c r="E1357"/>
    </row>
    <row r="1358" spans="5:5">
      <c r="E1358"/>
    </row>
    <row r="1359" spans="5:5">
      <c r="E1359"/>
    </row>
    <row r="1360" spans="5:5">
      <c r="E1360"/>
    </row>
    <row r="1361" spans="5:5">
      <c r="E1361"/>
    </row>
    <row r="1362" spans="5:5">
      <c r="E1362"/>
    </row>
    <row r="1363" spans="5:5">
      <c r="E1363"/>
    </row>
    <row r="1364" spans="5:5">
      <c r="E1364"/>
    </row>
    <row r="1365" spans="5:5">
      <c r="E1365"/>
    </row>
    <row r="1366" spans="5:5">
      <c r="E1366"/>
    </row>
    <row r="1367" spans="5:5">
      <c r="E1367"/>
    </row>
    <row r="1368" spans="5:5">
      <c r="E1368"/>
    </row>
    <row r="1369" spans="5:5">
      <c r="E1369"/>
    </row>
    <row r="1370" spans="5:5">
      <c r="E1370"/>
    </row>
    <row r="1371" spans="5:5">
      <c r="E1371"/>
    </row>
    <row r="1372" spans="5:5">
      <c r="E1372"/>
    </row>
    <row r="1373" spans="5:5">
      <c r="E1373"/>
    </row>
    <row r="1374" spans="5:5">
      <c r="E1374"/>
    </row>
    <row r="1375" spans="5:5">
      <c r="E1375"/>
    </row>
    <row r="1376" spans="5:5">
      <c r="E1376"/>
    </row>
    <row r="1377" spans="5:5">
      <c r="E1377"/>
    </row>
    <row r="1378" spans="5:5">
      <c r="E1378"/>
    </row>
    <row r="1379" spans="5:5">
      <c r="E1379"/>
    </row>
    <row r="1380" spans="5:5">
      <c r="E1380"/>
    </row>
    <row r="1381" spans="5:5">
      <c r="E1381"/>
    </row>
    <row r="1382" spans="5:5">
      <c r="E1382"/>
    </row>
    <row r="1383" spans="5:5">
      <c r="E1383"/>
    </row>
    <row r="1384" spans="5:5">
      <c r="E1384"/>
    </row>
    <row r="1385" spans="5:5">
      <c r="E1385"/>
    </row>
    <row r="1386" spans="5:5">
      <c r="E1386"/>
    </row>
    <row r="1387" spans="5:5">
      <c r="E1387"/>
    </row>
    <row r="1388" spans="5:5">
      <c r="E1388"/>
    </row>
    <row r="1389" spans="5:5">
      <c r="E1389"/>
    </row>
    <row r="1390" spans="5:5">
      <c r="E1390"/>
    </row>
    <row r="1391" spans="5:5">
      <c r="E1391"/>
    </row>
    <row r="1392" spans="5:5">
      <c r="E1392"/>
    </row>
    <row r="1393" spans="5:5">
      <c r="E1393"/>
    </row>
    <row r="1394" spans="5:5">
      <c r="E1394"/>
    </row>
    <row r="1395" spans="5:5">
      <c r="E1395"/>
    </row>
    <row r="1396" spans="5:5">
      <c r="E1396"/>
    </row>
    <row r="1397" spans="5:5">
      <c r="E1397"/>
    </row>
    <row r="1398" spans="5:5">
      <c r="E1398"/>
    </row>
    <row r="1399" spans="5:5">
      <c r="E1399"/>
    </row>
    <row r="1400" spans="5:5">
      <c r="E1400"/>
    </row>
    <row r="1401" spans="5:5">
      <c r="E1401"/>
    </row>
    <row r="1402" spans="5:5">
      <c r="E1402"/>
    </row>
    <row r="1403" spans="5:5">
      <c r="E1403"/>
    </row>
    <row r="1404" spans="5:5">
      <c r="E1404"/>
    </row>
    <row r="1405" spans="5:5">
      <c r="E1405"/>
    </row>
    <row r="1406" spans="5:5">
      <c r="E1406"/>
    </row>
    <row r="1407" spans="5:5">
      <c r="E1407"/>
    </row>
    <row r="1408" spans="5:5">
      <c r="E1408"/>
    </row>
    <row r="1409" spans="5:5">
      <c r="E1409"/>
    </row>
    <row r="1410" spans="5:5">
      <c r="E1410"/>
    </row>
    <row r="1411" spans="5:5">
      <c r="E1411"/>
    </row>
    <row r="1412" spans="5:5">
      <c r="E1412"/>
    </row>
    <row r="1413" spans="5:5">
      <c r="E1413"/>
    </row>
    <row r="1414" spans="5:5">
      <c r="E1414"/>
    </row>
    <row r="1415" spans="5:5">
      <c r="E1415"/>
    </row>
    <row r="1416" spans="5:5">
      <c r="E1416"/>
    </row>
    <row r="1417" spans="5:5">
      <c r="E1417"/>
    </row>
    <row r="1418" spans="5:5">
      <c r="E1418"/>
    </row>
    <row r="1419" spans="5:5">
      <c r="E1419"/>
    </row>
    <row r="1420" spans="5:5">
      <c r="E1420"/>
    </row>
    <row r="1421" spans="5:5">
      <c r="E1421"/>
    </row>
    <row r="1422" spans="5:5">
      <c r="E1422"/>
    </row>
    <row r="1423" spans="5:5">
      <c r="E1423"/>
    </row>
    <row r="1424" spans="5:5">
      <c r="E1424"/>
    </row>
    <row r="1425" spans="5:5">
      <c r="E1425"/>
    </row>
    <row r="1426" spans="5:5">
      <c r="E1426"/>
    </row>
    <row r="1427" spans="5:5">
      <c r="E1427"/>
    </row>
    <row r="1428" spans="5:5">
      <c r="E1428"/>
    </row>
    <row r="1429" spans="5:5">
      <c r="E1429"/>
    </row>
    <row r="1430" spans="5:5">
      <c r="E1430"/>
    </row>
    <row r="1431" spans="5:5">
      <c r="E1431"/>
    </row>
    <row r="1432" spans="5:5">
      <c r="E1432"/>
    </row>
    <row r="1433" spans="5:5">
      <c r="E1433"/>
    </row>
    <row r="1434" spans="5:5">
      <c r="E1434"/>
    </row>
    <row r="1435" spans="5:5">
      <c r="E1435"/>
    </row>
    <row r="1436" spans="5:5">
      <c r="E1436"/>
    </row>
    <row r="1437" spans="5:5">
      <c r="E1437"/>
    </row>
    <row r="1438" spans="5:5">
      <c r="E1438"/>
    </row>
    <row r="1439" spans="5:5">
      <c r="E1439"/>
    </row>
    <row r="1440" spans="5:5">
      <c r="E1440"/>
    </row>
    <row r="1441" spans="5:5">
      <c r="E1441"/>
    </row>
    <row r="1442" spans="5:5">
      <c r="E1442"/>
    </row>
    <row r="1443" spans="5:5">
      <c r="E1443"/>
    </row>
    <row r="1444" spans="5:5">
      <c r="E1444"/>
    </row>
    <row r="1445" spans="5:5">
      <c r="E1445"/>
    </row>
    <row r="1446" spans="5:5">
      <c r="E1446"/>
    </row>
    <row r="1447" spans="5:5">
      <c r="E1447"/>
    </row>
    <row r="1448" spans="5:5">
      <c r="E1448"/>
    </row>
    <row r="1449" spans="5:5">
      <c r="E1449"/>
    </row>
    <row r="1450" spans="5:5">
      <c r="E1450"/>
    </row>
    <row r="1451" spans="5:5">
      <c r="E1451"/>
    </row>
    <row r="1452" spans="5:5">
      <c r="E1452"/>
    </row>
    <row r="1453" spans="5:5">
      <c r="E1453"/>
    </row>
    <row r="1454" spans="5:5">
      <c r="E1454"/>
    </row>
    <row r="1455" spans="5:5">
      <c r="E1455"/>
    </row>
    <row r="1456" spans="5:5">
      <c r="E1456"/>
    </row>
    <row r="1457" spans="5:5">
      <c r="E1457"/>
    </row>
    <row r="1458" spans="5:5">
      <c r="E1458"/>
    </row>
    <row r="1459" spans="5:5">
      <c r="E1459"/>
    </row>
    <row r="1460" spans="5:5">
      <c r="E1460"/>
    </row>
    <row r="1461" spans="5:5">
      <c r="E1461"/>
    </row>
    <row r="1462" spans="5:5">
      <c r="E1462"/>
    </row>
    <row r="1463" spans="5:5">
      <c r="E1463"/>
    </row>
    <row r="1464" spans="5:5">
      <c r="E1464"/>
    </row>
    <row r="1465" spans="5:5">
      <c r="E1465"/>
    </row>
    <row r="1466" spans="5:5">
      <c r="E1466"/>
    </row>
    <row r="1467" spans="5:5">
      <c r="E1467"/>
    </row>
    <row r="1468" spans="5:5">
      <c r="E1468"/>
    </row>
    <row r="1469" spans="5:5">
      <c r="E1469"/>
    </row>
    <row r="1470" spans="5:5">
      <c r="E1470"/>
    </row>
    <row r="1471" spans="5:5">
      <c r="E1471"/>
    </row>
    <row r="1472" spans="5:5">
      <c r="E1472"/>
    </row>
    <row r="1473" spans="5:5">
      <c r="E1473"/>
    </row>
    <row r="1474" spans="5:5">
      <c r="E1474"/>
    </row>
    <row r="1475" spans="5:5">
      <c r="E1475"/>
    </row>
    <row r="1476" spans="5:5">
      <c r="E1476"/>
    </row>
    <row r="1477" spans="5:5">
      <c r="E1477"/>
    </row>
    <row r="1478" spans="5:5">
      <c r="E1478"/>
    </row>
    <row r="1479" spans="5:5">
      <c r="E1479"/>
    </row>
    <row r="1480" spans="5:5">
      <c r="E1480"/>
    </row>
    <row r="1481" spans="5:5">
      <c r="E1481"/>
    </row>
    <row r="1482" spans="5:5">
      <c r="E1482"/>
    </row>
    <row r="1483" spans="5:5">
      <c r="E1483"/>
    </row>
    <row r="1484" spans="5:5">
      <c r="E1484"/>
    </row>
    <row r="1485" spans="5:5">
      <c r="E1485"/>
    </row>
    <row r="1486" spans="5:5">
      <c r="E1486"/>
    </row>
    <row r="1487" spans="5:5">
      <c r="E1487"/>
    </row>
    <row r="1488" spans="5:5">
      <c r="E1488"/>
    </row>
    <row r="1489" spans="5:5">
      <c r="E1489"/>
    </row>
    <row r="1490" spans="5:5">
      <c r="E1490"/>
    </row>
    <row r="1491" spans="5:5">
      <c r="E1491"/>
    </row>
    <row r="1492" spans="5:5">
      <c r="E1492"/>
    </row>
    <row r="1493" spans="5:5">
      <c r="E1493"/>
    </row>
    <row r="1494" spans="5:5">
      <c r="E1494"/>
    </row>
    <row r="1495" spans="5:5">
      <c r="E1495"/>
    </row>
    <row r="1496" spans="5:5">
      <c r="E1496"/>
    </row>
    <row r="1497" spans="5:5">
      <c r="E1497"/>
    </row>
    <row r="1498" spans="5:5">
      <c r="E1498"/>
    </row>
    <row r="1499" spans="5:5">
      <c r="E1499"/>
    </row>
    <row r="1500" spans="5:5">
      <c r="E1500"/>
    </row>
    <row r="1501" spans="5:5">
      <c r="E1501"/>
    </row>
    <row r="1502" spans="5:5">
      <c r="E1502"/>
    </row>
    <row r="1503" spans="5:5">
      <c r="E1503"/>
    </row>
    <row r="1504" spans="5:5">
      <c r="E1504"/>
    </row>
    <row r="1505" spans="5:5">
      <c r="E1505"/>
    </row>
    <row r="1506" spans="5:5">
      <c r="E1506"/>
    </row>
    <row r="1507" spans="5:5">
      <c r="E1507"/>
    </row>
    <row r="1508" spans="5:5">
      <c r="E1508"/>
    </row>
    <row r="1509" spans="5:5">
      <c r="E1509"/>
    </row>
    <row r="1510" spans="5:5">
      <c r="E1510"/>
    </row>
    <row r="1511" spans="5:5">
      <c r="E1511"/>
    </row>
    <row r="1512" spans="5:5">
      <c r="E1512"/>
    </row>
    <row r="1513" spans="5:5">
      <c r="E1513"/>
    </row>
    <row r="1514" spans="5:5">
      <c r="E1514"/>
    </row>
    <row r="1515" spans="5:5">
      <c r="E1515"/>
    </row>
    <row r="1516" spans="5:5">
      <c r="E1516"/>
    </row>
    <row r="1517" spans="5:5">
      <c r="E1517"/>
    </row>
    <row r="1518" spans="5:5">
      <c r="E1518"/>
    </row>
    <row r="1519" spans="5:5">
      <c r="E1519"/>
    </row>
    <row r="1520" spans="5:5">
      <c r="E1520"/>
    </row>
    <row r="1521" spans="5:5">
      <c r="E1521"/>
    </row>
    <row r="1522" spans="5:5">
      <c r="E1522"/>
    </row>
    <row r="1523" spans="5:5">
      <c r="E1523"/>
    </row>
    <row r="1524" spans="5:5">
      <c r="E1524"/>
    </row>
    <row r="1525" spans="5:5">
      <c r="E1525"/>
    </row>
    <row r="1526" spans="5:5">
      <c r="E1526"/>
    </row>
    <row r="1527" spans="5:5">
      <c r="E1527"/>
    </row>
    <row r="1528" spans="5:5">
      <c r="E1528"/>
    </row>
    <row r="1529" spans="5:5">
      <c r="E1529"/>
    </row>
    <row r="1530" spans="5:5">
      <c r="E1530"/>
    </row>
    <row r="1531" spans="5:5">
      <c r="E1531"/>
    </row>
    <row r="1532" spans="5:5">
      <c r="E1532"/>
    </row>
    <row r="1533" spans="5:5">
      <c r="E1533"/>
    </row>
    <row r="1534" spans="5:5">
      <c r="E1534"/>
    </row>
    <row r="1535" spans="5:5">
      <c r="E1535"/>
    </row>
    <row r="1536" spans="5:5">
      <c r="E1536"/>
    </row>
    <row r="1537" spans="5:5">
      <c r="E1537"/>
    </row>
    <row r="1538" spans="5:5">
      <c r="E1538"/>
    </row>
    <row r="1539" spans="5:5">
      <c r="E1539"/>
    </row>
    <row r="1540" spans="5:5">
      <c r="E1540"/>
    </row>
    <row r="1541" spans="5:5">
      <c r="E1541"/>
    </row>
    <row r="1542" spans="5:5">
      <c r="E1542"/>
    </row>
    <row r="1543" spans="5:5">
      <c r="E1543"/>
    </row>
    <row r="1544" spans="5:5">
      <c r="E1544"/>
    </row>
    <row r="1545" spans="5:5">
      <c r="E1545"/>
    </row>
    <row r="1546" spans="5:5">
      <c r="E1546"/>
    </row>
    <row r="1547" spans="5:5">
      <c r="E1547"/>
    </row>
    <row r="1548" spans="5:5">
      <c r="E1548"/>
    </row>
    <row r="1549" spans="5:5">
      <c r="E1549"/>
    </row>
    <row r="1550" spans="5:5">
      <c r="E1550"/>
    </row>
    <row r="1551" spans="5:5">
      <c r="E1551"/>
    </row>
    <row r="1552" spans="5:5">
      <c r="E1552"/>
    </row>
    <row r="1553" spans="5:5">
      <c r="E1553"/>
    </row>
    <row r="1554" spans="5:5">
      <c r="E1554"/>
    </row>
    <row r="1555" spans="5:5">
      <c r="E1555"/>
    </row>
    <row r="1556" spans="5:5">
      <c r="E1556"/>
    </row>
    <row r="1557" spans="5:5">
      <c r="E1557"/>
    </row>
    <row r="1558" spans="5:5">
      <c r="E1558"/>
    </row>
    <row r="1559" spans="5:5">
      <c r="E1559"/>
    </row>
    <row r="1560" spans="5:5">
      <c r="E1560"/>
    </row>
    <row r="1561" spans="5:5">
      <c r="E1561"/>
    </row>
    <row r="1562" spans="5:5">
      <c r="E1562"/>
    </row>
    <row r="1563" spans="5:5">
      <c r="E1563"/>
    </row>
    <row r="1564" spans="5:5">
      <c r="E1564"/>
    </row>
    <row r="1565" spans="5:5">
      <c r="E1565"/>
    </row>
    <row r="1566" spans="5:5">
      <c r="E1566"/>
    </row>
    <row r="1567" spans="5:5">
      <c r="E1567"/>
    </row>
    <row r="1568" spans="5:5">
      <c r="E1568"/>
    </row>
    <row r="1569" spans="5:5">
      <c r="E1569"/>
    </row>
    <row r="1570" spans="5:5">
      <c r="E1570"/>
    </row>
    <row r="1571" spans="5:5">
      <c r="E1571"/>
    </row>
    <row r="1572" spans="5:5">
      <c r="E1572"/>
    </row>
    <row r="1573" spans="5:5">
      <c r="E1573"/>
    </row>
    <row r="1574" spans="5:5">
      <c r="E1574"/>
    </row>
    <row r="1575" spans="5:5">
      <c r="E1575"/>
    </row>
    <row r="1576" spans="5:5">
      <c r="E1576"/>
    </row>
    <row r="1577" spans="5:5">
      <c r="E1577"/>
    </row>
    <row r="1578" spans="5:5">
      <c r="E1578"/>
    </row>
    <row r="1579" spans="5:5">
      <c r="E1579"/>
    </row>
    <row r="1580" spans="5:5">
      <c r="E1580"/>
    </row>
    <row r="1581" spans="5:5">
      <c r="E1581"/>
    </row>
    <row r="1582" spans="5:5">
      <c r="E1582"/>
    </row>
    <row r="1583" spans="5:5">
      <c r="E1583"/>
    </row>
    <row r="1584" spans="5:5">
      <c r="E1584"/>
    </row>
    <row r="1585" spans="5:5">
      <c r="E1585"/>
    </row>
    <row r="1586" spans="5:5">
      <c r="E1586"/>
    </row>
    <row r="1587" spans="5:5">
      <c r="E1587"/>
    </row>
    <row r="1588" spans="5:5">
      <c r="E1588"/>
    </row>
    <row r="1589" spans="5:5">
      <c r="E1589"/>
    </row>
    <row r="1590" spans="5:5">
      <c r="E1590"/>
    </row>
    <row r="1591" spans="5:5">
      <c r="E1591"/>
    </row>
    <row r="1592" spans="5:5">
      <c r="E1592"/>
    </row>
    <row r="1593" spans="5:5">
      <c r="E1593"/>
    </row>
    <row r="1594" spans="5:5">
      <c r="E1594"/>
    </row>
    <row r="1595" spans="5:5">
      <c r="E1595"/>
    </row>
    <row r="1596" spans="5:5">
      <c r="E1596"/>
    </row>
    <row r="1597" spans="5:5">
      <c r="E1597"/>
    </row>
    <row r="1598" spans="5:5">
      <c r="E1598"/>
    </row>
    <row r="1599" spans="5:5">
      <c r="E1599"/>
    </row>
    <row r="1600" spans="5:5">
      <c r="E1600"/>
    </row>
    <row r="1601" spans="5:5">
      <c r="E1601"/>
    </row>
  </sheetData>
  <mergeCells count="2">
    <mergeCell ref="P3:S3"/>
    <mergeCell ref="O3:O4"/>
  </mergeCell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8"/>
  <dimension ref="B2:J29"/>
  <sheetViews>
    <sheetView showGridLines="0" workbookViewId="0">
      <selection activeCell="H49" sqref="H49"/>
    </sheetView>
  </sheetViews>
  <sheetFormatPr defaultRowHeight="15.75"/>
  <cols>
    <col min="2" max="2" width="34.28515625" style="11" bestFit="1" customWidth="1"/>
    <col min="3" max="3" width="10.42578125" bestFit="1" customWidth="1"/>
    <col min="4" max="4" width="11.28515625" bestFit="1" customWidth="1"/>
    <col min="5" max="5" width="2" customWidth="1"/>
    <col min="6" max="6" width="10.42578125" bestFit="1" customWidth="1"/>
    <col min="7" max="7" width="11.28515625" bestFit="1" customWidth="1"/>
    <col min="8" max="8" width="2" customWidth="1"/>
    <col min="9" max="9" width="10.42578125" bestFit="1" customWidth="1"/>
    <col min="10" max="10" width="11.5703125" bestFit="1" customWidth="1"/>
    <col min="13" max="13" width="12.7109375" bestFit="1" customWidth="1"/>
    <col min="14" max="15" width="10" bestFit="1" customWidth="1"/>
    <col min="16" max="16" width="10" customWidth="1"/>
    <col min="17" max="18" width="10" bestFit="1" customWidth="1"/>
    <col min="19" max="19" width="10" customWidth="1"/>
    <col min="20" max="20" width="7" bestFit="1" customWidth="1"/>
    <col min="21" max="21" width="8" bestFit="1" customWidth="1"/>
  </cols>
  <sheetData>
    <row r="2" spans="2:10">
      <c r="B2" s="58"/>
      <c r="C2" s="119" t="s">
        <v>9</v>
      </c>
      <c r="D2" s="119"/>
      <c r="E2" s="98"/>
      <c r="F2" s="118" t="s">
        <v>86</v>
      </c>
      <c r="G2" s="118"/>
      <c r="H2" s="98"/>
      <c r="I2" s="118" t="s">
        <v>82</v>
      </c>
      <c r="J2" s="118"/>
    </row>
    <row r="3" spans="2:10">
      <c r="B3" s="91"/>
      <c r="C3" s="92" t="s">
        <v>118</v>
      </c>
      <c r="D3" s="92" t="s">
        <v>15</v>
      </c>
      <c r="E3" s="99"/>
      <c r="F3" s="92" t="s">
        <v>118</v>
      </c>
      <c r="G3" s="92" t="s">
        <v>15</v>
      </c>
      <c r="H3" s="99"/>
      <c r="I3" s="92" t="s">
        <v>118</v>
      </c>
      <c r="J3" s="92" t="s">
        <v>15</v>
      </c>
    </row>
    <row r="4" spans="2:10">
      <c r="B4" s="29"/>
      <c r="C4" s="93" t="s">
        <v>95</v>
      </c>
      <c r="D4" s="93" t="s">
        <v>96</v>
      </c>
      <c r="E4" s="100"/>
      <c r="F4" s="93" t="s">
        <v>97</v>
      </c>
      <c r="G4" s="93" t="s">
        <v>130</v>
      </c>
      <c r="H4" s="100"/>
      <c r="I4" s="93" t="s">
        <v>131</v>
      </c>
      <c r="J4" s="93" t="s">
        <v>132</v>
      </c>
    </row>
    <row r="5" spans="2:10" ht="16.5">
      <c r="B5" s="90" t="s">
        <v>157</v>
      </c>
      <c r="C5" s="18"/>
      <c r="D5" s="18"/>
      <c r="E5" s="18"/>
      <c r="F5" s="18"/>
      <c r="G5" s="18"/>
      <c r="I5" s="17"/>
      <c r="J5" s="19"/>
    </row>
    <row r="6" spans="2:10">
      <c r="B6" s="14" t="s">
        <v>28</v>
      </c>
      <c r="C6" s="18">
        <v>40.586849999999998</v>
      </c>
      <c r="D6" s="18">
        <v>42.675519999999999</v>
      </c>
      <c r="E6" s="18"/>
      <c r="F6" s="18">
        <v>16.428270000000001</v>
      </c>
      <c r="G6" s="18">
        <v>17.249230000000001</v>
      </c>
      <c r="H6" s="18"/>
      <c r="I6" s="16">
        <v>14855</v>
      </c>
      <c r="J6" s="16">
        <v>1004894</v>
      </c>
    </row>
    <row r="7" spans="2:10">
      <c r="B7" s="14" t="s">
        <v>30</v>
      </c>
      <c r="C7" s="18">
        <v>48.973990000000001</v>
      </c>
      <c r="D7" s="18">
        <v>47.62876</v>
      </c>
      <c r="E7" s="18"/>
      <c r="F7" s="18">
        <v>0.49991150000000001</v>
      </c>
      <c r="G7" s="18">
        <v>0.49943769999999998</v>
      </c>
      <c r="H7" s="18"/>
      <c r="I7" s="16">
        <v>14855</v>
      </c>
      <c r="J7" s="16">
        <v>1004894</v>
      </c>
    </row>
    <row r="8" spans="2:10">
      <c r="B8" s="14" t="s">
        <v>23</v>
      </c>
      <c r="C8" s="18">
        <v>56.769539999999999</v>
      </c>
      <c r="D8" s="18">
        <v>36.411949999999997</v>
      </c>
      <c r="E8" s="18"/>
      <c r="F8" s="18">
        <v>0.49541289999999999</v>
      </c>
      <c r="G8" s="18">
        <v>0.48118260000000002</v>
      </c>
      <c r="H8" s="18"/>
      <c r="I8" s="16">
        <v>14804</v>
      </c>
      <c r="J8" s="16">
        <v>915117</v>
      </c>
    </row>
    <row r="9" spans="2:10" ht="16.5">
      <c r="B9" s="120" t="s">
        <v>158</v>
      </c>
      <c r="C9" s="120"/>
      <c r="D9" s="120"/>
      <c r="E9" s="101"/>
      <c r="F9" s="101"/>
      <c r="G9" s="101"/>
      <c r="H9" s="101"/>
      <c r="I9" s="101"/>
      <c r="J9" s="101"/>
    </row>
    <row r="10" spans="2:10">
      <c r="B10" s="14" t="s">
        <v>21</v>
      </c>
      <c r="C10" s="18">
        <v>91.184380000000004</v>
      </c>
      <c r="D10" s="18">
        <v>92.166129999999995</v>
      </c>
      <c r="E10" s="18"/>
      <c r="F10" s="18">
        <v>0.28353139999999999</v>
      </c>
      <c r="G10" s="18">
        <v>0.2687039</v>
      </c>
      <c r="H10" s="18"/>
      <c r="I10" s="16">
        <v>14855</v>
      </c>
      <c r="J10" s="16">
        <v>1004744</v>
      </c>
    </row>
    <row r="11" spans="2:10">
      <c r="B11" s="14" t="s">
        <v>34</v>
      </c>
      <c r="C11" s="18">
        <v>38.828030000000005</v>
      </c>
      <c r="D11" s="18">
        <v>46.1051</v>
      </c>
      <c r="E11" s="18"/>
      <c r="F11" s="18">
        <v>0.48737530000000001</v>
      </c>
      <c r="G11" s="18">
        <v>0.4984809</v>
      </c>
      <c r="H11" s="18"/>
      <c r="I11" s="16">
        <v>14855</v>
      </c>
      <c r="J11" s="16">
        <v>1001672</v>
      </c>
    </row>
    <row r="12" spans="2:10">
      <c r="B12" s="14" t="s">
        <v>32</v>
      </c>
      <c r="C12" s="18">
        <v>65.139250000000004</v>
      </c>
      <c r="D12" s="18">
        <v>68.664259999999999</v>
      </c>
      <c r="E12" s="18"/>
      <c r="F12" s="18">
        <v>0.47654550000000001</v>
      </c>
      <c r="G12" s="18">
        <v>0.46385850000000001</v>
      </c>
      <c r="H12" s="18"/>
      <c r="I12" s="16">
        <v>14855</v>
      </c>
      <c r="J12" s="16">
        <v>1004718</v>
      </c>
    </row>
    <row r="13" spans="2:10">
      <c r="B13" s="14" t="s">
        <v>119</v>
      </c>
      <c r="C13" s="18">
        <v>5.7805299999999997</v>
      </c>
      <c r="D13" s="18">
        <v>4.0815299999999999</v>
      </c>
      <c r="E13" s="18"/>
      <c r="F13" s="18">
        <v>0.2333828</v>
      </c>
      <c r="G13" s="18">
        <v>0.19786229999999999</v>
      </c>
      <c r="H13" s="18"/>
      <c r="I13" s="16">
        <v>14855</v>
      </c>
      <c r="J13" s="16">
        <v>1004718</v>
      </c>
    </row>
    <row r="14" spans="2:10" ht="16.5">
      <c r="B14" s="90" t="s">
        <v>161</v>
      </c>
      <c r="C14" s="18"/>
      <c r="D14" s="18"/>
      <c r="E14" s="18"/>
      <c r="F14" s="18"/>
      <c r="G14" s="18"/>
      <c r="H14" s="18"/>
      <c r="I14" s="16"/>
      <c r="J14" s="16"/>
    </row>
    <row r="15" spans="2:10">
      <c r="B15" s="14" t="s">
        <v>26</v>
      </c>
      <c r="C15" s="18">
        <v>68.759610000000009</v>
      </c>
      <c r="D15" s="18">
        <v>63.410429999999998</v>
      </c>
      <c r="E15" s="18"/>
      <c r="F15" s="18">
        <v>0.46349030000000002</v>
      </c>
      <c r="G15" s="18">
        <v>0.48168070000000002</v>
      </c>
      <c r="H15" s="18"/>
      <c r="I15" s="16">
        <v>13799</v>
      </c>
      <c r="J15" s="16">
        <v>975726</v>
      </c>
    </row>
    <row r="16" spans="2:10">
      <c r="B16" s="14" t="s">
        <v>22</v>
      </c>
      <c r="C16" s="18">
        <v>26.368560000000002</v>
      </c>
      <c r="D16" s="18">
        <v>21.09075</v>
      </c>
      <c r="E16" s="18"/>
      <c r="F16" s="18">
        <v>0.44064979999999998</v>
      </c>
      <c r="G16" s="18">
        <v>0.40795320000000002</v>
      </c>
      <c r="H16" s="18"/>
      <c r="I16" s="16">
        <v>11612</v>
      </c>
      <c r="J16" s="16">
        <v>643350</v>
      </c>
    </row>
    <row r="17" spans="2:10">
      <c r="B17" s="14" t="s">
        <v>27</v>
      </c>
      <c r="C17" s="18">
        <v>46.547550000000001</v>
      </c>
      <c r="D17" s="18">
        <v>47.817999999999998</v>
      </c>
      <c r="E17" s="18"/>
      <c r="F17" s="18">
        <v>0.4988262</v>
      </c>
      <c r="G17" s="18">
        <v>0.49952390000000002</v>
      </c>
      <c r="H17" s="18"/>
      <c r="I17" s="16">
        <v>12747</v>
      </c>
      <c r="J17" s="16">
        <v>894003</v>
      </c>
    </row>
    <row r="18" spans="2:10">
      <c r="B18" s="14" t="s">
        <v>29</v>
      </c>
      <c r="C18" s="18">
        <v>82.755880000000005</v>
      </c>
      <c r="D18" s="18">
        <v>88.889240000000001</v>
      </c>
      <c r="E18" s="18"/>
      <c r="F18" s="18">
        <v>0.37777830000000001</v>
      </c>
      <c r="G18" s="18">
        <v>0.31426549999999998</v>
      </c>
      <c r="H18" s="18"/>
      <c r="I18" s="16">
        <v>12763</v>
      </c>
      <c r="J18" s="16">
        <v>894003</v>
      </c>
    </row>
    <row r="19" spans="2:10">
      <c r="B19" s="14" t="s">
        <v>33</v>
      </c>
      <c r="C19" s="18">
        <v>74.087950000000006</v>
      </c>
      <c r="D19" s="18">
        <v>69.63561</v>
      </c>
      <c r="E19" s="18"/>
      <c r="F19" s="18">
        <v>0.43816670000000002</v>
      </c>
      <c r="G19" s="18">
        <v>0.45983099999999999</v>
      </c>
      <c r="H19" s="18"/>
      <c r="I19" s="16">
        <v>14761</v>
      </c>
      <c r="J19" s="16">
        <v>1003306</v>
      </c>
    </row>
    <row r="20" spans="2:10">
      <c r="B20" s="14" t="s">
        <v>25</v>
      </c>
      <c r="C20" s="18">
        <v>86.90916</v>
      </c>
      <c r="D20" s="18">
        <v>91.779110000000003</v>
      </c>
      <c r="E20" s="18"/>
      <c r="F20" s="18">
        <v>0.33731339999999999</v>
      </c>
      <c r="G20" s="18">
        <v>0.2746828</v>
      </c>
      <c r="H20" s="18"/>
      <c r="I20" s="16">
        <v>12754</v>
      </c>
      <c r="J20" s="16">
        <v>896079</v>
      </c>
    </row>
    <row r="21" spans="2:10">
      <c r="B21" s="14" t="s">
        <v>31</v>
      </c>
      <c r="C21" s="18">
        <v>60.492989999999999</v>
      </c>
      <c r="D21" s="18">
        <v>56.875030000000002</v>
      </c>
      <c r="E21" s="18"/>
      <c r="F21" s="18">
        <v>0.4888864</v>
      </c>
      <c r="G21" s="18">
        <v>0.4952511</v>
      </c>
      <c r="H21" s="18"/>
      <c r="I21" s="16">
        <v>11816</v>
      </c>
      <c r="J21" s="16">
        <v>848350</v>
      </c>
    </row>
    <row r="22" spans="2:10">
      <c r="B22" s="22" t="s">
        <v>83</v>
      </c>
      <c r="C22" s="23">
        <v>40.21651</v>
      </c>
      <c r="D22" s="23">
        <v>39.473289999999999</v>
      </c>
      <c r="E22" s="23"/>
      <c r="F22" s="23">
        <v>0.49035420000000002</v>
      </c>
      <c r="G22" s="23">
        <v>0.48879349999999999</v>
      </c>
      <c r="H22" s="23"/>
      <c r="I22" s="59">
        <v>12736</v>
      </c>
      <c r="J22" s="59">
        <v>896425</v>
      </c>
    </row>
    <row r="29" spans="2:10" ht="16.5">
      <c r="B29" s="90"/>
    </row>
  </sheetData>
  <mergeCells count="4">
    <mergeCell ref="F2:G2"/>
    <mergeCell ref="C2:D2"/>
    <mergeCell ref="I2:J2"/>
    <mergeCell ref="B9:D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0"/>
  <dimension ref="B2:K23"/>
  <sheetViews>
    <sheetView showGridLines="0" workbookViewId="0">
      <selection activeCell="K4" sqref="B4:K23"/>
    </sheetView>
  </sheetViews>
  <sheetFormatPr defaultColWidth="9.140625" defaultRowHeight="15.75"/>
  <cols>
    <col min="1" max="1" width="6.140625" style="31" bestFit="1" customWidth="1"/>
    <col min="2" max="2" width="19.140625" style="31" bestFit="1" customWidth="1"/>
    <col min="3" max="11" width="8.5703125" style="33" bestFit="1" customWidth="1"/>
    <col min="12" max="12" width="12" style="31" bestFit="1" customWidth="1"/>
    <col min="13" max="31" width="6.140625" style="31" bestFit="1" customWidth="1"/>
    <col min="32" max="33" width="7.140625" style="31" bestFit="1" customWidth="1"/>
    <col min="34" max="34" width="11.28515625" style="31" bestFit="1" customWidth="1"/>
    <col min="35" max="16384" width="9.140625" style="31"/>
  </cols>
  <sheetData>
    <row r="2" spans="2:11">
      <c r="B2" s="35" t="s">
        <v>100</v>
      </c>
    </row>
    <row r="4" spans="2:11">
      <c r="B4" s="121"/>
      <c r="C4" s="122">
        <v>1997</v>
      </c>
      <c r="D4" s="122">
        <v>2001</v>
      </c>
      <c r="E4" s="122">
        <v>2002</v>
      </c>
      <c r="F4" s="122">
        <v>2007</v>
      </c>
      <c r="G4" s="122">
        <v>2009</v>
      </c>
      <c r="H4" s="122">
        <v>2010</v>
      </c>
      <c r="I4" s="122">
        <v>2011</v>
      </c>
      <c r="J4" s="122">
        <v>2013</v>
      </c>
      <c r="K4" s="122">
        <v>2015</v>
      </c>
    </row>
    <row r="5" spans="2:11">
      <c r="B5" s="32" t="s">
        <v>61</v>
      </c>
      <c r="C5" s="41">
        <v>68</v>
      </c>
      <c r="D5" s="41">
        <v>75</v>
      </c>
      <c r="E5" s="41">
        <v>75</v>
      </c>
      <c r="F5" s="41">
        <v>100</v>
      </c>
      <c r="G5" s="41">
        <v>100</v>
      </c>
      <c r="H5" s="41">
        <v>100</v>
      </c>
      <c r="I5" s="41">
        <v>100</v>
      </c>
      <c r="J5" s="41">
        <v>100</v>
      </c>
      <c r="K5" s="41">
        <v>100</v>
      </c>
    </row>
    <row r="6" spans="2:11">
      <c r="B6" s="32" t="s">
        <v>62</v>
      </c>
      <c r="C6" s="41">
        <v>32</v>
      </c>
      <c r="D6" s="41">
        <v>52</v>
      </c>
      <c r="E6" s="41">
        <v>100</v>
      </c>
      <c r="F6" s="41">
        <v>100</v>
      </c>
      <c r="G6" s="41">
        <v>100</v>
      </c>
      <c r="H6" s="41">
        <v>100</v>
      </c>
      <c r="I6" s="41">
        <v>100</v>
      </c>
      <c r="J6" s="41">
        <v>100</v>
      </c>
      <c r="K6" s="41">
        <v>100</v>
      </c>
    </row>
    <row r="7" spans="2:11">
      <c r="B7" s="32" t="s">
        <v>63</v>
      </c>
      <c r="C7" s="41">
        <v>11.58</v>
      </c>
      <c r="D7" s="41">
        <v>100</v>
      </c>
      <c r="E7" s="41">
        <v>100</v>
      </c>
      <c r="F7" s="41">
        <v>100</v>
      </c>
      <c r="G7" s="41">
        <v>100</v>
      </c>
      <c r="H7" s="41">
        <v>100</v>
      </c>
      <c r="I7" s="41">
        <v>100</v>
      </c>
      <c r="J7" s="41">
        <v>100</v>
      </c>
      <c r="K7" s="41">
        <v>100</v>
      </c>
    </row>
    <row r="8" spans="2:11">
      <c r="B8" s="32" t="s">
        <v>64</v>
      </c>
      <c r="C8" s="41">
        <v>70</v>
      </c>
      <c r="D8" s="41">
        <v>70</v>
      </c>
      <c r="E8" s="41">
        <v>70</v>
      </c>
      <c r="F8" s="41">
        <v>100</v>
      </c>
      <c r="G8" s="41">
        <v>100</v>
      </c>
      <c r="H8" s="41">
        <v>100</v>
      </c>
      <c r="I8" s="41">
        <v>100</v>
      </c>
      <c r="J8" s="41">
        <v>100</v>
      </c>
      <c r="K8" s="41">
        <v>100</v>
      </c>
    </row>
    <row r="9" spans="2:11">
      <c r="B9" s="32" t="s">
        <v>65</v>
      </c>
      <c r="C9" s="41">
        <v>25</v>
      </c>
      <c r="D9" s="41">
        <v>70.899999999999991</v>
      </c>
      <c r="E9" s="41">
        <v>50.5</v>
      </c>
      <c r="F9" s="41">
        <v>100</v>
      </c>
      <c r="G9" s="41">
        <v>99.9</v>
      </c>
      <c r="H9" s="41">
        <v>100</v>
      </c>
      <c r="I9" s="41">
        <v>100</v>
      </c>
      <c r="J9" s="41">
        <v>100</v>
      </c>
      <c r="K9" s="41">
        <v>100</v>
      </c>
    </row>
    <row r="10" spans="2:11">
      <c r="B10" s="32" t="s">
        <v>66</v>
      </c>
      <c r="C10" s="41">
        <v>100</v>
      </c>
      <c r="D10" s="41">
        <v>100</v>
      </c>
      <c r="E10" s="41">
        <v>100</v>
      </c>
      <c r="F10" s="41">
        <v>100</v>
      </c>
      <c r="G10" s="41">
        <v>100</v>
      </c>
      <c r="H10" s="41">
        <v>100</v>
      </c>
      <c r="I10" s="41">
        <v>100</v>
      </c>
      <c r="J10" s="41">
        <v>100</v>
      </c>
      <c r="K10" s="41">
        <v>100</v>
      </c>
    </row>
    <row r="11" spans="2:11">
      <c r="B11" s="32" t="s">
        <v>93</v>
      </c>
      <c r="C11" s="42" t="s">
        <v>99</v>
      </c>
      <c r="D11" s="42" t="s">
        <v>99</v>
      </c>
      <c r="E11" s="42" t="s">
        <v>99</v>
      </c>
      <c r="F11" s="41">
        <v>100</v>
      </c>
      <c r="G11" s="41">
        <v>100</v>
      </c>
      <c r="H11" s="41">
        <v>100</v>
      </c>
      <c r="I11" s="41">
        <v>100</v>
      </c>
      <c r="J11" s="41">
        <v>100</v>
      </c>
      <c r="K11" s="41">
        <v>100</v>
      </c>
    </row>
    <row r="12" spans="2:11">
      <c r="B12" s="32" t="s">
        <v>68</v>
      </c>
      <c r="C12" s="41">
        <v>96.8</v>
      </c>
      <c r="D12" s="41">
        <v>96.8</v>
      </c>
      <c r="E12" s="41">
        <v>100</v>
      </c>
      <c r="F12" s="41">
        <v>100</v>
      </c>
      <c r="G12" s="41">
        <v>100</v>
      </c>
      <c r="H12" s="41">
        <v>100</v>
      </c>
      <c r="I12" s="41">
        <v>100</v>
      </c>
      <c r="J12" s="41">
        <v>100</v>
      </c>
      <c r="K12" s="41">
        <v>100</v>
      </c>
    </row>
    <row r="13" spans="2:11">
      <c r="B13" s="32" t="s">
        <v>76</v>
      </c>
      <c r="C13" s="41">
        <v>64.5</v>
      </c>
      <c r="D13" s="41">
        <v>100</v>
      </c>
      <c r="E13" s="41">
        <v>100</v>
      </c>
      <c r="F13" s="41">
        <v>100</v>
      </c>
      <c r="G13" s="41">
        <v>100</v>
      </c>
      <c r="H13" s="41">
        <v>100</v>
      </c>
      <c r="I13" s="41">
        <v>100</v>
      </c>
      <c r="J13" s="41">
        <v>100</v>
      </c>
      <c r="K13" s="41">
        <v>100</v>
      </c>
    </row>
    <row r="14" spans="2:11">
      <c r="B14" s="32" t="s">
        <v>69</v>
      </c>
      <c r="C14" s="41">
        <v>100</v>
      </c>
      <c r="D14" s="41">
        <v>100</v>
      </c>
      <c r="E14" s="41">
        <v>100</v>
      </c>
      <c r="F14" s="41">
        <v>96.7</v>
      </c>
      <c r="G14" s="41">
        <v>100</v>
      </c>
      <c r="H14" s="41">
        <v>100</v>
      </c>
      <c r="I14" s="41">
        <v>100</v>
      </c>
      <c r="J14" s="41">
        <v>100</v>
      </c>
      <c r="K14" s="41">
        <v>100</v>
      </c>
    </row>
    <row r="15" spans="2:11">
      <c r="B15" s="32" t="s">
        <v>70</v>
      </c>
      <c r="C15" s="41">
        <v>100</v>
      </c>
      <c r="D15" s="41">
        <v>100</v>
      </c>
      <c r="E15" s="41">
        <v>100</v>
      </c>
      <c r="F15" s="41">
        <v>98.4</v>
      </c>
      <c r="G15" s="41">
        <v>100</v>
      </c>
      <c r="H15" s="41">
        <v>99</v>
      </c>
      <c r="I15" s="41">
        <v>99</v>
      </c>
      <c r="J15" s="41">
        <v>99</v>
      </c>
      <c r="K15" s="41">
        <v>99</v>
      </c>
    </row>
    <row r="16" spans="2:11">
      <c r="B16" s="32" t="s">
        <v>71</v>
      </c>
      <c r="C16" s="41">
        <v>93</v>
      </c>
      <c r="D16" s="41">
        <v>88.3</v>
      </c>
      <c r="E16" s="41">
        <v>95</v>
      </c>
      <c r="F16" s="41">
        <v>100</v>
      </c>
      <c r="G16" s="41">
        <v>100</v>
      </c>
      <c r="H16" s="41">
        <v>100</v>
      </c>
      <c r="I16" s="41">
        <v>100</v>
      </c>
      <c r="J16" s="41">
        <v>100</v>
      </c>
      <c r="K16" s="41">
        <v>100</v>
      </c>
    </row>
    <row r="17" spans="2:11">
      <c r="B17" s="32" t="s">
        <v>72</v>
      </c>
      <c r="C17" s="41">
        <v>100</v>
      </c>
      <c r="D17" s="41">
        <v>100</v>
      </c>
      <c r="E17" s="41">
        <v>100</v>
      </c>
      <c r="F17" s="41">
        <v>99.8</v>
      </c>
      <c r="G17" s="41">
        <v>100</v>
      </c>
      <c r="H17" s="41">
        <v>100</v>
      </c>
      <c r="I17" s="41">
        <v>100</v>
      </c>
      <c r="J17" s="41">
        <v>100</v>
      </c>
      <c r="K17" s="41">
        <v>100</v>
      </c>
    </row>
    <row r="18" spans="2:11">
      <c r="B18" s="32" t="s">
        <v>73</v>
      </c>
      <c r="C18" s="41">
        <v>100</v>
      </c>
      <c r="D18" s="41">
        <v>100</v>
      </c>
      <c r="E18" s="41">
        <v>100</v>
      </c>
      <c r="F18" s="41">
        <v>99.2</v>
      </c>
      <c r="G18" s="41">
        <v>99.2</v>
      </c>
      <c r="H18" s="41">
        <v>99</v>
      </c>
      <c r="I18" s="41">
        <v>99</v>
      </c>
      <c r="J18" s="41">
        <v>99</v>
      </c>
      <c r="K18" s="41">
        <v>99</v>
      </c>
    </row>
    <row r="19" spans="2:11">
      <c r="B19" s="32" t="s">
        <v>75</v>
      </c>
      <c r="C19" s="41">
        <v>46</v>
      </c>
      <c r="D19" s="41">
        <v>46</v>
      </c>
      <c r="E19" s="41">
        <v>46</v>
      </c>
      <c r="F19" s="41">
        <v>100</v>
      </c>
      <c r="G19" s="41">
        <v>100</v>
      </c>
      <c r="H19" s="41">
        <v>100</v>
      </c>
      <c r="I19" s="41">
        <v>100</v>
      </c>
      <c r="J19" s="41">
        <v>100</v>
      </c>
      <c r="K19" s="41">
        <v>100</v>
      </c>
    </row>
    <row r="20" spans="2:11">
      <c r="B20" s="32" t="s">
        <v>74</v>
      </c>
      <c r="C20" s="41">
        <v>52</v>
      </c>
      <c r="D20" s="41">
        <v>52</v>
      </c>
      <c r="E20" s="41">
        <v>100</v>
      </c>
      <c r="F20" s="41">
        <v>100</v>
      </c>
      <c r="G20" s="41">
        <v>100</v>
      </c>
      <c r="H20" s="41">
        <v>100</v>
      </c>
      <c r="I20" s="41">
        <v>100</v>
      </c>
      <c r="J20" s="41">
        <v>100</v>
      </c>
      <c r="K20" s="41">
        <v>100</v>
      </c>
    </row>
    <row r="21" spans="2:11">
      <c r="B21" s="32" t="s">
        <v>77</v>
      </c>
      <c r="C21" s="41">
        <v>80</v>
      </c>
      <c r="D21" s="41">
        <v>80</v>
      </c>
      <c r="E21" s="41">
        <v>80</v>
      </c>
      <c r="F21" s="41">
        <v>100</v>
      </c>
      <c r="G21" s="41">
        <v>100</v>
      </c>
      <c r="H21" s="41">
        <v>100</v>
      </c>
      <c r="I21" s="41">
        <v>100</v>
      </c>
      <c r="J21" s="41">
        <v>100</v>
      </c>
      <c r="K21" s="41">
        <v>100</v>
      </c>
    </row>
    <row r="22" spans="2:11">
      <c r="B22" s="32" t="s">
        <v>78</v>
      </c>
      <c r="C22" s="41">
        <v>100</v>
      </c>
      <c r="D22" s="41">
        <v>100</v>
      </c>
      <c r="E22" s="41">
        <v>100</v>
      </c>
      <c r="F22" s="41">
        <v>100</v>
      </c>
      <c r="G22" s="41">
        <v>93.2</v>
      </c>
      <c r="H22" s="41">
        <v>100</v>
      </c>
      <c r="I22" s="41">
        <v>100</v>
      </c>
      <c r="J22" s="41">
        <v>100</v>
      </c>
      <c r="K22" s="41">
        <v>100</v>
      </c>
    </row>
    <row r="23" spans="2:11">
      <c r="B23" s="34" t="s">
        <v>98</v>
      </c>
      <c r="C23" s="43">
        <v>68.333359999999999</v>
      </c>
      <c r="D23" s="43">
        <v>85.880549999999999</v>
      </c>
      <c r="E23" s="43">
        <v>90.996980000000008</v>
      </c>
      <c r="F23" s="43">
        <v>99.882561999999993</v>
      </c>
      <c r="G23" s="43">
        <v>99.986080000000001</v>
      </c>
      <c r="H23" s="43">
        <v>99.979295000000008</v>
      </c>
      <c r="I23" s="43">
        <v>99.979209999999995</v>
      </c>
      <c r="J23" s="43">
        <v>99.979050000000001</v>
      </c>
      <c r="K23" s="43">
        <v>99.979050000000001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1"/>
  <dimension ref="A1:H33"/>
  <sheetViews>
    <sheetView showGridLines="0" workbookViewId="0">
      <selection activeCell="D21" sqref="B2:D21"/>
    </sheetView>
  </sheetViews>
  <sheetFormatPr defaultColWidth="9.140625" defaultRowHeight="15.75"/>
  <cols>
    <col min="1" max="1" width="6.140625" style="38" bestFit="1" customWidth="1"/>
    <col min="2" max="2" width="11.7109375" style="36" bestFit="1" customWidth="1"/>
    <col min="3" max="3" width="28.85546875" style="39" bestFit="1" customWidth="1"/>
    <col min="4" max="4" width="23.5703125" style="40" bestFit="1" customWidth="1"/>
    <col min="5" max="11" width="6.140625" style="38" bestFit="1" customWidth="1"/>
    <col min="12" max="13" width="7.140625" style="38" bestFit="1" customWidth="1"/>
    <col min="14" max="14" width="11.28515625" style="38" bestFit="1" customWidth="1"/>
    <col min="15" max="16384" width="9.140625" style="38"/>
  </cols>
  <sheetData>
    <row r="1" spans="1:8" ht="16.5">
      <c r="A1" s="87"/>
      <c r="B1" s="79"/>
      <c r="C1" s="80"/>
      <c r="D1" s="81"/>
      <c r="E1" s="88"/>
      <c r="F1" s="88"/>
      <c r="G1" s="88"/>
      <c r="H1" s="88"/>
    </row>
    <row r="2" spans="1:8" ht="16.5">
      <c r="A2" s="88"/>
      <c r="B2" s="123" t="s">
        <v>0</v>
      </c>
      <c r="C2" s="125" t="s">
        <v>101</v>
      </c>
      <c r="D2" s="125" t="s">
        <v>156</v>
      </c>
      <c r="E2" s="88"/>
      <c r="F2" s="88"/>
      <c r="G2" s="88"/>
      <c r="H2" s="88"/>
    </row>
    <row r="3" spans="1:8" ht="16.5">
      <c r="A3" s="88"/>
      <c r="B3" s="79" t="s">
        <v>64</v>
      </c>
      <c r="C3" s="80">
        <v>1997</v>
      </c>
      <c r="D3" s="81">
        <v>1998</v>
      </c>
      <c r="E3" s="88"/>
      <c r="F3" s="88"/>
      <c r="G3" s="88"/>
      <c r="H3" s="88"/>
    </row>
    <row r="4" spans="1:8" ht="16.5">
      <c r="A4" s="88"/>
      <c r="B4" s="79" t="s">
        <v>64</v>
      </c>
      <c r="C4" s="81">
        <v>2001</v>
      </c>
      <c r="D4" s="81">
        <v>2000</v>
      </c>
      <c r="E4" s="88"/>
      <c r="F4" s="88"/>
      <c r="G4" s="88"/>
      <c r="H4" s="88"/>
    </row>
    <row r="5" spans="1:8" ht="16.5">
      <c r="A5" s="88"/>
      <c r="B5" s="79" t="s">
        <v>64</v>
      </c>
      <c r="C5" s="82">
        <v>2002</v>
      </c>
      <c r="D5" s="81">
        <v>2003</v>
      </c>
      <c r="E5" s="88"/>
      <c r="F5" s="88"/>
      <c r="G5" s="88"/>
      <c r="H5" s="88"/>
    </row>
    <row r="6" spans="1:8" ht="16.5">
      <c r="A6" s="88"/>
      <c r="B6" s="79" t="s">
        <v>64</v>
      </c>
      <c r="C6" s="82">
        <v>2007</v>
      </c>
      <c r="D6" s="81">
        <v>2006</v>
      </c>
      <c r="E6" s="88"/>
      <c r="F6" s="88"/>
      <c r="G6" s="88"/>
      <c r="H6" s="88"/>
    </row>
    <row r="7" spans="1:8" ht="16.5">
      <c r="A7" s="88"/>
      <c r="B7" s="83" t="s">
        <v>65</v>
      </c>
      <c r="C7" s="82">
        <v>2007</v>
      </c>
      <c r="D7" s="81">
        <v>2008</v>
      </c>
      <c r="E7" s="88"/>
      <c r="F7" s="88"/>
      <c r="G7" s="88"/>
      <c r="H7" s="88"/>
    </row>
    <row r="8" spans="1:8" ht="16.5">
      <c r="A8" s="88"/>
      <c r="B8" s="83" t="s">
        <v>68</v>
      </c>
      <c r="C8" s="82">
        <v>2002</v>
      </c>
      <c r="D8" s="81">
        <v>2003</v>
      </c>
      <c r="E8" s="88"/>
      <c r="F8" s="88"/>
      <c r="G8" s="88"/>
      <c r="H8" s="88"/>
    </row>
    <row r="9" spans="1:8" ht="16.5">
      <c r="A9" s="88"/>
      <c r="B9" s="79" t="s">
        <v>76</v>
      </c>
      <c r="C9" s="80">
        <v>1997</v>
      </c>
      <c r="D9" s="81">
        <v>1998</v>
      </c>
      <c r="E9" s="88"/>
      <c r="F9" s="88"/>
      <c r="G9" s="88"/>
      <c r="H9" s="88"/>
    </row>
    <row r="10" spans="1:8" ht="16.5">
      <c r="A10" s="88"/>
      <c r="B10" s="83" t="s">
        <v>69</v>
      </c>
      <c r="C10" s="82">
        <v>2001</v>
      </c>
      <c r="D10" s="81">
        <v>2000</v>
      </c>
      <c r="E10" s="88"/>
      <c r="F10" s="88"/>
      <c r="G10" s="88"/>
      <c r="H10" s="88"/>
    </row>
    <row r="11" spans="1:8" ht="16.5">
      <c r="A11" s="88"/>
      <c r="B11" s="83" t="s">
        <v>69</v>
      </c>
      <c r="C11" s="80">
        <v>2015</v>
      </c>
      <c r="D11" s="81">
        <v>2014</v>
      </c>
      <c r="E11" s="88"/>
      <c r="F11" s="88"/>
      <c r="G11" s="88"/>
      <c r="H11" s="88"/>
    </row>
    <row r="12" spans="1:8" ht="16.5">
      <c r="A12" s="88"/>
      <c r="B12" s="83" t="s">
        <v>71</v>
      </c>
      <c r="C12" s="82">
        <v>1997</v>
      </c>
      <c r="D12" s="81">
        <v>1998</v>
      </c>
      <c r="E12" s="88"/>
      <c r="F12" s="88"/>
      <c r="G12" s="88"/>
      <c r="H12" s="88"/>
    </row>
    <row r="13" spans="1:8" ht="16.5">
      <c r="A13" s="88"/>
      <c r="B13" s="83" t="s">
        <v>71</v>
      </c>
      <c r="C13" s="82">
        <v>2001</v>
      </c>
      <c r="D13" s="81">
        <v>2000</v>
      </c>
      <c r="E13" s="88"/>
      <c r="F13" s="88"/>
      <c r="G13" s="88"/>
      <c r="H13" s="88"/>
    </row>
    <row r="14" spans="1:8" ht="16.5">
      <c r="A14" s="88"/>
      <c r="B14" s="83" t="s">
        <v>71</v>
      </c>
      <c r="C14" s="82">
        <v>2007</v>
      </c>
      <c r="D14" s="81">
        <v>2006</v>
      </c>
      <c r="E14" s="88"/>
      <c r="F14" s="88"/>
      <c r="G14" s="88"/>
      <c r="H14" s="88"/>
    </row>
    <row r="15" spans="1:8" ht="16.5">
      <c r="A15" s="88"/>
      <c r="B15" s="83" t="s">
        <v>71</v>
      </c>
      <c r="C15" s="82">
        <v>2009</v>
      </c>
      <c r="D15" s="81">
        <v>2008</v>
      </c>
      <c r="E15" s="88"/>
      <c r="F15" s="88"/>
      <c r="G15" s="88"/>
      <c r="H15" s="88"/>
    </row>
    <row r="16" spans="1:8" ht="16.5">
      <c r="A16" s="88"/>
      <c r="B16" s="83" t="s">
        <v>71</v>
      </c>
      <c r="C16" s="82">
        <v>2011</v>
      </c>
      <c r="D16" s="81">
        <v>2012</v>
      </c>
      <c r="E16" s="88"/>
      <c r="F16" s="88"/>
      <c r="G16" s="88"/>
      <c r="H16" s="88"/>
    </row>
    <row r="17" spans="1:8" ht="16.5">
      <c r="A17" s="88"/>
      <c r="B17" s="83" t="s">
        <v>71</v>
      </c>
      <c r="C17" s="82">
        <v>2015</v>
      </c>
      <c r="D17" s="81">
        <v>2014</v>
      </c>
      <c r="E17" s="88"/>
      <c r="F17" s="88"/>
      <c r="G17" s="88"/>
      <c r="H17" s="88"/>
    </row>
    <row r="18" spans="1:8" ht="16.5">
      <c r="A18" s="88"/>
      <c r="B18" s="79" t="s">
        <v>72</v>
      </c>
      <c r="C18" s="80">
        <v>1997</v>
      </c>
      <c r="D18" s="81">
        <v>1998</v>
      </c>
      <c r="E18" s="88"/>
      <c r="F18" s="88"/>
      <c r="G18" s="88"/>
      <c r="H18" s="88"/>
    </row>
    <row r="19" spans="1:8" ht="16.5">
      <c r="A19" s="88"/>
      <c r="B19" s="79" t="s">
        <v>72</v>
      </c>
      <c r="C19" s="80">
        <v>2007</v>
      </c>
      <c r="D19" s="81">
        <v>2005</v>
      </c>
      <c r="E19" s="88"/>
      <c r="F19" s="88"/>
      <c r="G19" s="88"/>
      <c r="H19" s="88"/>
    </row>
    <row r="20" spans="1:8" ht="16.5">
      <c r="A20" s="88"/>
      <c r="B20" s="79" t="s">
        <v>72</v>
      </c>
      <c r="C20" s="80">
        <v>2015</v>
      </c>
      <c r="D20" s="81">
        <v>2014</v>
      </c>
      <c r="E20" s="88"/>
      <c r="F20" s="88"/>
      <c r="G20" s="88"/>
      <c r="H20" s="88"/>
    </row>
    <row r="21" spans="1:8" ht="16.5">
      <c r="A21" s="88"/>
      <c r="B21" s="84" t="s">
        <v>78</v>
      </c>
      <c r="C21" s="85">
        <v>2013</v>
      </c>
      <c r="D21" s="86">
        <v>2012</v>
      </c>
      <c r="E21" s="88"/>
      <c r="F21" s="88"/>
      <c r="G21" s="88"/>
      <c r="H21" s="88"/>
    </row>
    <row r="22" spans="1:8" ht="16.5">
      <c r="A22" s="88"/>
      <c r="B22" s="79"/>
      <c r="C22" s="80"/>
      <c r="D22" s="81"/>
      <c r="E22" s="88"/>
      <c r="F22" s="88"/>
      <c r="G22" s="88"/>
      <c r="H22" s="88"/>
    </row>
    <row r="23" spans="1:8" ht="16.5">
      <c r="A23" s="88"/>
      <c r="B23" s="79"/>
      <c r="C23" s="80"/>
      <c r="D23" s="81"/>
      <c r="E23" s="88"/>
      <c r="F23" s="88"/>
      <c r="G23" s="88"/>
      <c r="H23" s="88"/>
    </row>
    <row r="24" spans="1:8" ht="16.5">
      <c r="A24" s="88"/>
      <c r="B24" s="79"/>
      <c r="C24" s="80"/>
      <c r="D24" s="81"/>
      <c r="E24" s="88"/>
      <c r="F24" s="88"/>
      <c r="G24" s="88"/>
      <c r="H24" s="88"/>
    </row>
    <row r="25" spans="1:8" ht="16.5">
      <c r="A25" s="88"/>
      <c r="B25" s="79"/>
      <c r="C25" s="80"/>
      <c r="D25" s="81"/>
      <c r="E25" s="88"/>
      <c r="F25" s="88"/>
      <c r="G25" s="88"/>
      <c r="H25" s="88"/>
    </row>
    <row r="26" spans="1:8" ht="16.5">
      <c r="A26" s="88"/>
      <c r="B26" s="79"/>
      <c r="C26" s="80"/>
      <c r="D26" s="81"/>
      <c r="E26" s="88"/>
      <c r="F26" s="88"/>
      <c r="G26" s="88"/>
      <c r="H26" s="88"/>
    </row>
    <row r="27" spans="1:8" ht="16.5">
      <c r="A27" s="88"/>
      <c r="B27" s="79"/>
      <c r="C27" s="80"/>
      <c r="D27" s="81"/>
      <c r="E27" s="88"/>
      <c r="F27" s="88"/>
      <c r="G27" s="88"/>
      <c r="H27" s="88"/>
    </row>
    <row r="28" spans="1:8" ht="16.5">
      <c r="A28" s="88"/>
      <c r="B28" s="79"/>
      <c r="C28" s="80"/>
      <c r="D28" s="81"/>
      <c r="E28" s="88"/>
      <c r="F28" s="88"/>
      <c r="G28" s="88"/>
      <c r="H28" s="88"/>
    </row>
    <row r="29" spans="1:8" ht="24" customHeight="1">
      <c r="A29" s="88"/>
      <c r="B29" s="11"/>
      <c r="C29" s="11"/>
      <c r="D29" s="11"/>
      <c r="E29" s="88"/>
      <c r="F29" s="88"/>
      <c r="G29" s="88"/>
      <c r="H29" s="88"/>
    </row>
    <row r="30" spans="1:8" ht="24" customHeight="1">
      <c r="B30" s="3"/>
      <c r="C30" s="3"/>
      <c r="D30" s="3"/>
    </row>
    <row r="31" spans="1:8">
      <c r="B31" s="3"/>
      <c r="C31" s="3"/>
      <c r="D31" s="3"/>
    </row>
    <row r="32" spans="1:8">
      <c r="B32" s="3"/>
      <c r="C32" s="3"/>
      <c r="D32" s="3"/>
    </row>
    <row r="33" spans="2:4">
      <c r="B33" s="3"/>
      <c r="C33" s="3"/>
      <c r="D33" s="3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/>
  <dimension ref="A1:C15"/>
  <sheetViews>
    <sheetView showGridLines="0" workbookViewId="0">
      <selection activeCell="C15" sqref="B2:C15"/>
    </sheetView>
  </sheetViews>
  <sheetFormatPr defaultColWidth="9.140625" defaultRowHeight="15.75"/>
  <cols>
    <col min="1" max="1" width="6.140625" style="38" bestFit="1" customWidth="1"/>
    <col min="2" max="2" width="11.140625" style="36" bestFit="1" customWidth="1"/>
    <col min="3" max="3" width="33.140625" style="44" bestFit="1" customWidth="1"/>
    <col min="4" max="10" width="6.140625" style="38" bestFit="1" customWidth="1"/>
    <col min="11" max="12" width="7.140625" style="38" bestFit="1" customWidth="1"/>
    <col min="13" max="13" width="11.28515625" style="38" bestFit="1" customWidth="1"/>
    <col min="14" max="16384" width="9.140625" style="38"/>
  </cols>
  <sheetData>
    <row r="1" spans="1:3">
      <c r="A1" s="37"/>
    </row>
    <row r="2" spans="1:3" ht="16.5">
      <c r="B2" s="123" t="s">
        <v>0</v>
      </c>
      <c r="C2" s="124" t="s">
        <v>102</v>
      </c>
    </row>
    <row r="3" spans="1:3" ht="16.5">
      <c r="B3" s="11" t="s">
        <v>61</v>
      </c>
      <c r="C3" s="13" t="s">
        <v>107</v>
      </c>
    </row>
    <row r="4" spans="1:3" ht="16.5">
      <c r="B4" s="11" t="s">
        <v>62</v>
      </c>
      <c r="C4" s="13">
        <v>2010</v>
      </c>
    </row>
    <row r="5" spans="1:3" ht="16.5">
      <c r="B5" s="11" t="s">
        <v>63</v>
      </c>
      <c r="C5" s="13">
        <v>2010</v>
      </c>
    </row>
    <row r="6" spans="1:3" ht="16.5">
      <c r="B6" s="11" t="s">
        <v>64</v>
      </c>
      <c r="C6" s="13">
        <v>2010</v>
      </c>
    </row>
    <row r="7" spans="1:3" ht="16.5">
      <c r="B7" s="11" t="s">
        <v>65</v>
      </c>
      <c r="C7" s="13">
        <v>1997</v>
      </c>
    </row>
    <row r="8" spans="1:3" ht="16.5">
      <c r="B8" s="11" t="s">
        <v>66</v>
      </c>
      <c r="C8" s="13" t="s">
        <v>106</v>
      </c>
    </row>
    <row r="9" spans="1:3" ht="16.5">
      <c r="B9" s="11" t="s">
        <v>68</v>
      </c>
      <c r="C9" s="13" t="s">
        <v>105</v>
      </c>
    </row>
    <row r="10" spans="1:3" ht="16.5">
      <c r="B10" s="11" t="s">
        <v>69</v>
      </c>
      <c r="C10" s="13" t="s">
        <v>104</v>
      </c>
    </row>
    <row r="11" spans="1:3" ht="16.5">
      <c r="B11" s="11" t="s">
        <v>71</v>
      </c>
      <c r="C11" s="13">
        <v>2013</v>
      </c>
    </row>
    <row r="12" spans="1:3" ht="16.5">
      <c r="B12" s="28" t="s">
        <v>72</v>
      </c>
      <c r="C12" s="50" t="s">
        <v>112</v>
      </c>
    </row>
    <row r="13" spans="1:3" ht="16.5">
      <c r="B13" s="28" t="s">
        <v>73</v>
      </c>
      <c r="C13" s="50" t="s">
        <v>103</v>
      </c>
    </row>
    <row r="14" spans="1:3" ht="16.5">
      <c r="B14" s="28" t="s">
        <v>74</v>
      </c>
      <c r="C14" s="50" t="s">
        <v>111</v>
      </c>
    </row>
    <row r="15" spans="1:3" ht="16.5">
      <c r="B15" s="29" t="s">
        <v>78</v>
      </c>
      <c r="C15" s="45">
        <v>2015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4"/>
  <dimension ref="B3:T27"/>
  <sheetViews>
    <sheetView showGridLines="0" zoomScale="115" zoomScaleNormal="115" workbookViewId="0">
      <selection activeCell="C4" sqref="C4:K21"/>
    </sheetView>
  </sheetViews>
  <sheetFormatPr defaultColWidth="9.140625" defaultRowHeight="15.75"/>
  <cols>
    <col min="1" max="1" width="3.42578125" style="11" customWidth="1"/>
    <col min="2" max="2" width="16.42578125" style="11" bestFit="1" customWidth="1"/>
    <col min="3" max="5" width="5.5703125" style="11" bestFit="1" customWidth="1"/>
    <col min="6" max="6" width="5.5703125" style="11" customWidth="1"/>
    <col min="7" max="11" width="5.5703125" style="11" bestFit="1" customWidth="1"/>
    <col min="12" max="13" width="9.140625" style="11"/>
    <col min="14" max="14" width="11.28515625" style="11" bestFit="1" customWidth="1"/>
    <col min="15" max="15" width="13.7109375" style="11" bestFit="1" customWidth="1"/>
    <col min="16" max="16384" width="9.140625" style="11"/>
  </cols>
  <sheetData>
    <row r="3" spans="2:20">
      <c r="C3" s="11">
        <v>1997</v>
      </c>
      <c r="D3" s="11">
        <v>2001</v>
      </c>
      <c r="E3" s="11">
        <v>2002</v>
      </c>
      <c r="F3" s="11">
        <v>2007</v>
      </c>
      <c r="G3" s="11">
        <v>2009</v>
      </c>
      <c r="H3" s="11">
        <v>2010</v>
      </c>
      <c r="I3" s="11">
        <v>2011</v>
      </c>
      <c r="J3" s="11">
        <v>2013</v>
      </c>
      <c r="K3" s="11">
        <v>2015</v>
      </c>
      <c r="N3" s="11" t="s">
        <v>115</v>
      </c>
      <c r="O3" s="11" t="s">
        <v>114</v>
      </c>
    </row>
    <row r="4" spans="2:20">
      <c r="B4" s="75" t="s">
        <v>61</v>
      </c>
      <c r="C4" s="76">
        <v>3</v>
      </c>
      <c r="D4" s="76">
        <v>3</v>
      </c>
      <c r="E4" s="76">
        <v>3</v>
      </c>
      <c r="F4" s="52">
        <v>1</v>
      </c>
      <c r="G4" s="52">
        <v>1</v>
      </c>
      <c r="H4" s="52">
        <v>1</v>
      </c>
      <c r="I4" s="52">
        <v>1</v>
      </c>
      <c r="J4" s="52">
        <v>1</v>
      </c>
      <c r="K4" s="51">
        <v>2</v>
      </c>
      <c r="N4" s="47">
        <f>+COUNTIF(C4:K21,"1")</f>
        <v>111</v>
      </c>
      <c r="O4" s="54">
        <f>+N4/SUM($N$4:$N$6)</f>
        <v>0.68944099378881984</v>
      </c>
      <c r="P4" s="46" t="s">
        <v>110</v>
      </c>
    </row>
    <row r="5" spans="2:20">
      <c r="B5" s="75" t="s">
        <v>62</v>
      </c>
      <c r="C5" s="52">
        <v>1</v>
      </c>
      <c r="D5" s="52">
        <v>1</v>
      </c>
      <c r="E5" s="52">
        <v>1</v>
      </c>
      <c r="F5" s="52">
        <v>1</v>
      </c>
      <c r="G5" s="52">
        <v>1</v>
      </c>
      <c r="H5" s="76">
        <v>3</v>
      </c>
      <c r="I5" s="52">
        <v>1</v>
      </c>
      <c r="J5" s="52">
        <v>1</v>
      </c>
      <c r="K5" s="52">
        <v>1</v>
      </c>
      <c r="N5" s="49">
        <f>+COUNTIF(C4:K21,"2")</f>
        <v>22</v>
      </c>
      <c r="O5" s="55">
        <f t="shared" ref="O5:O6" si="0">+N5/SUM($N$4:$N$6)</f>
        <v>0.13664596273291926</v>
      </c>
      <c r="P5" s="46" t="s">
        <v>113</v>
      </c>
    </row>
    <row r="6" spans="2:20">
      <c r="B6" s="75" t="s">
        <v>63</v>
      </c>
      <c r="C6" s="52">
        <v>1</v>
      </c>
      <c r="D6" s="52">
        <v>1</v>
      </c>
      <c r="E6" s="52">
        <v>1</v>
      </c>
      <c r="F6" s="52">
        <v>1</v>
      </c>
      <c r="G6" s="52">
        <v>1</v>
      </c>
      <c r="H6" s="76">
        <v>3</v>
      </c>
      <c r="I6" s="52">
        <v>1</v>
      </c>
      <c r="J6" s="52">
        <v>1</v>
      </c>
      <c r="K6" s="52">
        <v>1</v>
      </c>
      <c r="N6" s="77">
        <f>+COUNTIF(C4:K21,"3")</f>
        <v>28</v>
      </c>
      <c r="O6" s="78">
        <f t="shared" si="0"/>
        <v>0.17391304347826086</v>
      </c>
      <c r="P6" s="46" t="s">
        <v>109</v>
      </c>
      <c r="R6" s="46"/>
      <c r="S6" s="46"/>
    </row>
    <row r="7" spans="2:20">
      <c r="B7" s="75" t="s">
        <v>64</v>
      </c>
      <c r="C7" s="51">
        <v>2</v>
      </c>
      <c r="D7" s="51">
        <v>2</v>
      </c>
      <c r="E7" s="51">
        <v>2</v>
      </c>
      <c r="F7" s="51">
        <v>2</v>
      </c>
      <c r="G7" s="52">
        <v>1</v>
      </c>
      <c r="H7" s="76">
        <v>3</v>
      </c>
      <c r="I7" s="52">
        <v>1</v>
      </c>
      <c r="J7" s="52">
        <v>1</v>
      </c>
      <c r="K7" s="52">
        <v>1</v>
      </c>
      <c r="N7" s="46">
        <f>SUM(N4:N6)</f>
        <v>161</v>
      </c>
      <c r="O7" s="2"/>
      <c r="P7" s="2"/>
      <c r="Q7" s="2"/>
      <c r="R7" s="2"/>
      <c r="S7" s="2"/>
      <c r="T7" s="2"/>
    </row>
    <row r="8" spans="2:20">
      <c r="B8" s="75" t="s">
        <v>65</v>
      </c>
      <c r="C8" s="76">
        <v>3</v>
      </c>
      <c r="D8" s="52">
        <v>1</v>
      </c>
      <c r="E8" s="52">
        <v>1</v>
      </c>
      <c r="F8" s="51">
        <v>2</v>
      </c>
      <c r="G8" s="52">
        <v>1</v>
      </c>
      <c r="H8" s="52">
        <v>1</v>
      </c>
      <c r="I8" s="52">
        <v>1</v>
      </c>
      <c r="J8" s="52">
        <v>1</v>
      </c>
      <c r="K8" s="52">
        <v>1</v>
      </c>
    </row>
    <row r="9" spans="2:20">
      <c r="B9" s="75" t="s">
        <v>66</v>
      </c>
      <c r="C9" s="76">
        <v>3</v>
      </c>
      <c r="D9" s="76">
        <v>3</v>
      </c>
      <c r="E9" s="76">
        <v>3</v>
      </c>
      <c r="F9" s="76">
        <v>3</v>
      </c>
      <c r="G9" s="76">
        <v>3</v>
      </c>
      <c r="H9" s="52">
        <v>1</v>
      </c>
      <c r="I9" s="52">
        <v>1</v>
      </c>
      <c r="J9" s="52">
        <v>1</v>
      </c>
      <c r="K9" s="52">
        <v>1</v>
      </c>
    </row>
    <row r="10" spans="2:20">
      <c r="B10" s="75" t="s">
        <v>67</v>
      </c>
      <c r="C10" s="53">
        <v>0</v>
      </c>
      <c r="D10" s="52">
        <v>1</v>
      </c>
      <c r="E10" s="52">
        <v>1</v>
      </c>
      <c r="F10" s="52">
        <v>1</v>
      </c>
      <c r="G10" s="52">
        <v>1</v>
      </c>
      <c r="H10" s="52">
        <v>1</v>
      </c>
      <c r="I10" s="52">
        <v>1</v>
      </c>
      <c r="J10" s="52">
        <v>1</v>
      </c>
      <c r="K10" s="52">
        <v>1</v>
      </c>
    </row>
    <row r="11" spans="2:20">
      <c r="B11" s="75" t="s">
        <v>68</v>
      </c>
      <c r="C11" s="76">
        <v>3</v>
      </c>
      <c r="D11" s="76">
        <v>3</v>
      </c>
      <c r="E11" s="51">
        <v>2</v>
      </c>
      <c r="F11" s="52">
        <v>1</v>
      </c>
      <c r="G11" s="52">
        <v>1</v>
      </c>
      <c r="H11" s="52">
        <v>1</v>
      </c>
      <c r="I11" s="52">
        <v>1</v>
      </c>
      <c r="J11" s="52">
        <v>1</v>
      </c>
      <c r="K11" s="52">
        <v>1</v>
      </c>
    </row>
    <row r="12" spans="2:20">
      <c r="B12" s="75" t="s">
        <v>76</v>
      </c>
      <c r="C12" s="52">
        <v>1</v>
      </c>
      <c r="D12" s="52">
        <v>1</v>
      </c>
      <c r="E12" s="52">
        <v>1</v>
      </c>
      <c r="F12" s="52">
        <v>1</v>
      </c>
      <c r="G12" s="52">
        <v>1</v>
      </c>
      <c r="H12" s="52">
        <v>1</v>
      </c>
      <c r="I12" s="52">
        <v>1</v>
      </c>
      <c r="J12" s="52">
        <v>1</v>
      </c>
      <c r="K12" s="52">
        <v>1</v>
      </c>
    </row>
    <row r="13" spans="2:20">
      <c r="B13" s="75" t="s">
        <v>69</v>
      </c>
      <c r="C13" s="51">
        <v>2</v>
      </c>
      <c r="D13" s="51">
        <v>2</v>
      </c>
      <c r="E13" s="76">
        <v>3</v>
      </c>
      <c r="F13" s="51">
        <v>2</v>
      </c>
      <c r="G13" s="76">
        <v>3</v>
      </c>
      <c r="H13" s="76">
        <v>3</v>
      </c>
      <c r="I13" s="52">
        <v>1</v>
      </c>
      <c r="J13" s="76">
        <v>3</v>
      </c>
      <c r="K13" s="51">
        <v>2</v>
      </c>
    </row>
    <row r="14" spans="2:20">
      <c r="B14" s="75" t="s">
        <v>70</v>
      </c>
      <c r="C14" s="52">
        <v>1</v>
      </c>
      <c r="D14" s="52">
        <v>1</v>
      </c>
      <c r="E14" s="52">
        <v>1</v>
      </c>
      <c r="F14" s="52">
        <v>1</v>
      </c>
      <c r="G14" s="52">
        <v>1</v>
      </c>
      <c r="H14" s="52">
        <v>1</v>
      </c>
      <c r="I14" s="52">
        <v>1</v>
      </c>
      <c r="J14" s="52">
        <v>1</v>
      </c>
      <c r="K14" s="52">
        <v>1</v>
      </c>
    </row>
    <row r="15" spans="2:20">
      <c r="B15" s="75" t="s">
        <v>71</v>
      </c>
      <c r="C15" s="51">
        <v>2</v>
      </c>
      <c r="D15" s="51">
        <v>2</v>
      </c>
      <c r="E15" s="52">
        <v>1</v>
      </c>
      <c r="F15" s="51">
        <v>2</v>
      </c>
      <c r="G15" s="51">
        <v>2</v>
      </c>
      <c r="H15" s="52">
        <v>1</v>
      </c>
      <c r="I15" s="51">
        <v>2</v>
      </c>
      <c r="J15" s="76">
        <v>3</v>
      </c>
      <c r="K15" s="51">
        <v>2</v>
      </c>
    </row>
    <row r="16" spans="2:20">
      <c r="B16" s="75" t="s">
        <v>72</v>
      </c>
      <c r="C16" s="51">
        <v>2</v>
      </c>
      <c r="D16" s="52">
        <v>1</v>
      </c>
      <c r="E16" s="76">
        <v>3</v>
      </c>
      <c r="F16" s="51">
        <v>2</v>
      </c>
      <c r="G16" s="52">
        <v>1</v>
      </c>
      <c r="H16" s="76">
        <v>3</v>
      </c>
      <c r="I16" s="76">
        <v>3</v>
      </c>
      <c r="J16" s="76">
        <v>3</v>
      </c>
      <c r="K16" s="51">
        <v>2</v>
      </c>
    </row>
    <row r="17" spans="2:11">
      <c r="B17" s="75" t="s">
        <v>73</v>
      </c>
      <c r="C17" s="76">
        <v>3</v>
      </c>
      <c r="D17" s="76">
        <v>3</v>
      </c>
      <c r="E17" s="76">
        <v>3</v>
      </c>
      <c r="F17" s="76">
        <v>3</v>
      </c>
      <c r="G17" s="52">
        <v>1</v>
      </c>
      <c r="H17" s="52">
        <v>1</v>
      </c>
      <c r="I17" s="52">
        <v>1</v>
      </c>
      <c r="J17" s="52">
        <v>1</v>
      </c>
      <c r="K17" s="52">
        <v>1</v>
      </c>
    </row>
    <row r="18" spans="2:11">
      <c r="B18" s="75" t="s">
        <v>75</v>
      </c>
      <c r="C18" s="52">
        <v>1</v>
      </c>
      <c r="D18" s="52">
        <v>1</v>
      </c>
      <c r="E18" s="52">
        <v>1</v>
      </c>
      <c r="F18" s="52">
        <v>1</v>
      </c>
      <c r="G18" s="52">
        <v>1</v>
      </c>
      <c r="H18" s="52">
        <v>1</v>
      </c>
      <c r="I18" s="52">
        <v>1</v>
      </c>
      <c r="J18" s="52">
        <v>1</v>
      </c>
      <c r="K18" s="52">
        <v>1</v>
      </c>
    </row>
    <row r="19" spans="2:11">
      <c r="B19" s="75" t="s">
        <v>74</v>
      </c>
      <c r="C19" s="51">
        <v>2</v>
      </c>
      <c r="D19" s="52">
        <v>1</v>
      </c>
      <c r="E19" s="52">
        <v>1</v>
      </c>
      <c r="F19" s="52">
        <v>1</v>
      </c>
      <c r="G19" s="52">
        <v>1</v>
      </c>
      <c r="H19" s="52">
        <v>1</v>
      </c>
      <c r="I19" s="52">
        <v>1</v>
      </c>
      <c r="J19" s="52">
        <v>1</v>
      </c>
      <c r="K19" s="52">
        <v>1</v>
      </c>
    </row>
    <row r="20" spans="2:11">
      <c r="B20" s="75" t="s">
        <v>77</v>
      </c>
      <c r="C20" s="52">
        <v>1</v>
      </c>
      <c r="D20" s="52">
        <v>1</v>
      </c>
      <c r="E20" s="52">
        <v>1</v>
      </c>
      <c r="F20" s="52">
        <v>1</v>
      </c>
      <c r="G20" s="52">
        <v>1</v>
      </c>
      <c r="H20" s="52">
        <v>1</v>
      </c>
      <c r="I20" s="52">
        <v>1</v>
      </c>
      <c r="J20" s="52">
        <v>1</v>
      </c>
      <c r="K20" s="52">
        <v>1</v>
      </c>
    </row>
    <row r="21" spans="2:11">
      <c r="B21" s="75" t="s">
        <v>78</v>
      </c>
      <c r="C21" s="52">
        <v>1</v>
      </c>
      <c r="D21" s="52">
        <v>1</v>
      </c>
      <c r="E21" s="52">
        <v>1</v>
      </c>
      <c r="F21" s="52">
        <v>1</v>
      </c>
      <c r="G21" s="52">
        <v>1</v>
      </c>
      <c r="H21" s="52">
        <v>1</v>
      </c>
      <c r="I21" s="52">
        <v>1</v>
      </c>
      <c r="J21" s="51">
        <v>2</v>
      </c>
      <c r="K21" s="76">
        <v>3</v>
      </c>
    </row>
    <row r="23" spans="2:11">
      <c r="C23" s="47"/>
      <c r="D23" s="126" t="s">
        <v>110</v>
      </c>
      <c r="E23" s="127"/>
      <c r="F23" s="127"/>
      <c r="G23" s="127"/>
      <c r="H23" s="127"/>
      <c r="I23" s="127"/>
      <c r="J23" s="127"/>
      <c r="K23" s="127"/>
    </row>
    <row r="24" spans="2:11">
      <c r="C24" s="49"/>
      <c r="D24" s="126" t="s">
        <v>117</v>
      </c>
      <c r="E24" s="127"/>
      <c r="F24" s="127"/>
      <c r="G24" s="127"/>
      <c r="H24" s="127"/>
      <c r="I24" s="127"/>
      <c r="J24" s="127"/>
      <c r="K24" s="127"/>
    </row>
    <row r="25" spans="2:11">
      <c r="C25" s="77"/>
      <c r="D25" s="126" t="s">
        <v>108</v>
      </c>
      <c r="E25" s="127"/>
      <c r="F25" s="127"/>
      <c r="G25" s="127"/>
      <c r="H25" s="127"/>
      <c r="I25" s="127"/>
      <c r="J25" s="127"/>
      <c r="K25" s="127"/>
    </row>
    <row r="26" spans="2:11">
      <c r="C26" s="48"/>
      <c r="D26" s="126" t="s">
        <v>116</v>
      </c>
      <c r="E26" s="127"/>
      <c r="F26" s="127"/>
      <c r="G26" s="127"/>
      <c r="H26" s="127"/>
      <c r="I26" s="127"/>
      <c r="J26" s="127"/>
      <c r="K26" s="127"/>
    </row>
    <row r="27" spans="2:11">
      <c r="D27" s="46"/>
    </row>
  </sheetData>
  <mergeCells count="4">
    <mergeCell ref="D23:K23"/>
    <mergeCell ref="D24:K24"/>
    <mergeCell ref="D25:K25"/>
    <mergeCell ref="D26:K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</vt:lpstr>
      <vt:lpstr>Table1</vt:lpstr>
      <vt:lpstr>TableA1</vt:lpstr>
      <vt:lpstr>TableA2</vt:lpstr>
      <vt:lpstr>TableA3</vt:lpstr>
      <vt:lpstr>TableB1</vt:lpstr>
      <vt:lpstr>TableB2</vt:lpstr>
      <vt:lpstr>TableB3</vt:lpstr>
      <vt:lpstr>TableB4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Germán Reyes</cp:lastModifiedBy>
  <dcterms:modified xsi:type="dcterms:W3CDTF">2021-05-11T19:01:03Z</dcterms:modified>
</cp:coreProperties>
</file>