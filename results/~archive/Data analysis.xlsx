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2.xml" ContentType="application/vnd.openxmlformats-officedocument.themeOverrid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heme/themeOverride3.xml" ContentType="application/vnd.openxmlformats-officedocument.themeOverride+xml"/>
  <Override PartName="/xl/drawings/drawing3.xml" ContentType="application/vnd.openxmlformats-officedocument.drawingml.chartshapes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heme/themeOverride4.xml" ContentType="application/vnd.openxmlformats-officedocument.themeOverride+xml"/>
  <Override PartName="/xl/drawings/drawing4.xml" ContentType="application/vnd.openxmlformats-officedocument.drawingml.chartshape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heme/themeOverride5.xml" ContentType="application/vnd.openxmlformats-officedocument.themeOverrid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heme/themeOverride6.xml" ContentType="application/vnd.openxmlformats-officedocument.themeOverrid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theme/themeOverride7.xml" ContentType="application/vnd.openxmlformats-officedocument.themeOverride+xml"/>
  <Override PartName="/xl/drawings/drawing6.xml" ContentType="application/vnd.openxmlformats-officedocument.drawingml.chartshapes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theme/themeOverride8.xml" ContentType="application/vnd.openxmlformats-officedocument.themeOverride+xml"/>
  <Override PartName="/xl/drawings/drawing7.xml" ContentType="application/vnd.openxmlformats-officedocument.drawingml.chartshapes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9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theme/themeOverride9.xml" ContentType="application/vnd.openxmlformats-officedocument.themeOverrid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Germán\Dropbox\Research\Fairness\04_Results\"/>
    </mc:Choice>
  </mc:AlternateContent>
  <xr:revisionPtr revIDLastSave="0" documentId="13_ncr:1_{5E902AD9-2C86-4B79-96E0-A4E06BF087EC}" xr6:coauthVersionLast="46" xr6:coauthVersionMax="46" xr10:uidLastSave="{00000000-0000-0000-0000-000000000000}"/>
  <bookViews>
    <workbookView xWindow="-120" yWindow="-120" windowWidth="38640" windowHeight="21240" tabRatio="838" activeTab="2" xr2:uid="{00000000-000D-0000-FFFF-FFFF00000000}"/>
  </bookViews>
  <sheets>
    <sheet name="Gini" sheetId="1" r:id="rId1"/>
    <sheet name="Unfair" sheetId="2" r:id="rId2"/>
    <sheet name="Relative vs. Absolute" sheetId="11" r:id="rId3"/>
    <sheet name="Variables Availability" sheetId="4" r:id="rId4"/>
    <sheet name="Statistics of the sample" sheetId="5" r:id="rId5"/>
    <sheet name="Surveys" sheetId="14" r:id="rId6"/>
    <sheet name="Country_availability" sheetId="16" r:id="rId7"/>
    <sheet name="Table Aux_1" sheetId="8" r:id="rId8"/>
    <sheet name="Not used -&gt;" sheetId="17" r:id="rId9"/>
    <sheet name="CCTs" sheetId="7" r:id="rId10"/>
    <sheet name="Convergence" sheetId="13" r:id="rId11"/>
    <sheet name="Variance" sheetId="12" r:id="rId12"/>
    <sheet name="Fairness by group" sheetId="18" r:id="rId13"/>
  </sheets>
  <definedNames>
    <definedName name="_xlnm._FilterDatabase" localSheetId="7" hidden="1">'Table Aux_1'!$C$5:$F$17</definedName>
  </definedNames>
  <calcPr calcId="191029"/>
  <pivotCaches>
    <pivotCache cacheId="31" r:id="rId1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A19" i="1" l="1"/>
  <c r="O19" i="1"/>
  <c r="AB19" i="1" s="1"/>
  <c r="AB18" i="1"/>
  <c r="AA18" i="1"/>
  <c r="AB17" i="1"/>
  <c r="AA17" i="1"/>
  <c r="AB16" i="1"/>
  <c r="AA16" i="1"/>
  <c r="AB15" i="1"/>
  <c r="D15" i="1"/>
  <c r="AA15" i="1" s="1"/>
  <c r="AB14" i="1"/>
  <c r="D14" i="1"/>
  <c r="AA14" i="1" s="1"/>
  <c r="AB13" i="1"/>
  <c r="O13" i="1"/>
  <c r="D13" i="1"/>
  <c r="AA13" i="1" s="1"/>
  <c r="AB12" i="1"/>
  <c r="AA12" i="1"/>
  <c r="O12" i="1"/>
  <c r="AB11" i="1"/>
  <c r="AA11" i="1"/>
  <c r="O10" i="1"/>
  <c r="AB10" i="1" s="1"/>
  <c r="D10" i="1"/>
  <c r="AA10" i="1" s="1"/>
  <c r="AB9" i="1"/>
  <c r="D9" i="1"/>
  <c r="AA9" i="1" s="1"/>
  <c r="AB8" i="1"/>
  <c r="AA8" i="1"/>
  <c r="AB7" i="1"/>
  <c r="D7" i="1"/>
  <c r="AA7" i="1" s="1"/>
  <c r="AB6" i="1"/>
  <c r="AA6" i="1"/>
  <c r="AB5" i="1"/>
  <c r="AA5" i="1"/>
  <c r="D5" i="1"/>
  <c r="AB4" i="1"/>
  <c r="AA4" i="1"/>
  <c r="AB3" i="1"/>
  <c r="AA3" i="1"/>
  <c r="AB2" i="1"/>
  <c r="D2" i="1"/>
  <c r="AA2" i="1" s="1"/>
</calcChain>
</file>

<file path=xl/sharedStrings.xml><?xml version="1.0" encoding="utf-8"?>
<sst xmlns="http://schemas.openxmlformats.org/spreadsheetml/2006/main" count="9907" uniqueCount="2148">
  <si>
    <t>gini_2001</t>
  </si>
  <si>
    <t>gini_2002</t>
  </si>
  <si>
    <t>gini_2007</t>
  </si>
  <si>
    <t>gini_2009</t>
  </si>
  <si>
    <t>gini_2010</t>
  </si>
  <si>
    <t>gini_2011</t>
  </si>
  <si>
    <t>gini_2013</t>
  </si>
  <si>
    <t>gini_2015</t>
  </si>
  <si>
    <t>arg</t>
  </si>
  <si>
    <t>bol</t>
  </si>
  <si>
    <t>bra</t>
  </si>
  <si>
    <t>chl</t>
  </si>
  <si>
    <t>col</t>
  </si>
  <si>
    <t>cri</t>
  </si>
  <si>
    <t>dom</t>
  </si>
  <si>
    <t>ecu</t>
  </si>
  <si>
    <t>gtm</t>
  </si>
  <si>
    <t>hnd</t>
  </si>
  <si>
    <t>mex</t>
  </si>
  <si>
    <t>nic</t>
  </si>
  <si>
    <t>pan</t>
  </si>
  <si>
    <t>per</t>
  </si>
  <si>
    <t>pry</t>
  </si>
  <si>
    <t>slv</t>
  </si>
  <si>
    <t>ury</t>
  </si>
  <si>
    <t>ven</t>
  </si>
  <si>
    <t>45 line</t>
  </si>
  <si>
    <t>Gini 2002</t>
  </si>
  <si>
    <t>Gini 2013</t>
  </si>
  <si>
    <t>Argentina</t>
  </si>
  <si>
    <t>Bolivia</t>
  </si>
  <si>
    <t>Brazil</t>
  </si>
  <si>
    <t>Chile</t>
  </si>
  <si>
    <t>Colombia</t>
  </si>
  <si>
    <t>Costa Rica</t>
  </si>
  <si>
    <t>Dominican Republic</t>
  </si>
  <si>
    <t>Ecuador</t>
  </si>
  <si>
    <t>Guatemala</t>
  </si>
  <si>
    <t>Honduras</t>
  </si>
  <si>
    <t>Mexico</t>
  </si>
  <si>
    <t>Nicaragua</t>
  </si>
  <si>
    <t>Panama</t>
  </si>
  <si>
    <t>Peru</t>
  </si>
  <si>
    <t>Paraguay</t>
  </si>
  <si>
    <t>El Salvador</t>
  </si>
  <si>
    <t>Uruguay</t>
  </si>
  <si>
    <t>Venezuela</t>
  </si>
  <si>
    <t>gini_2003</t>
  </si>
  <si>
    <t>gini_2004</t>
  </si>
  <si>
    <t>gini_2005</t>
  </si>
  <si>
    <t>gini_2006</t>
  </si>
  <si>
    <t>gini_2008</t>
  </si>
  <si>
    <t>gini_2012</t>
  </si>
  <si>
    <t>gini_2014</t>
  </si>
  <si>
    <t>unfair_1997</t>
  </si>
  <si>
    <t>unfair_2001</t>
  </si>
  <si>
    <t>unfair_2002</t>
  </si>
  <si>
    <t>unfair_2007</t>
  </si>
  <si>
    <t>unfair_2009</t>
  </si>
  <si>
    <t>unfair_2010</t>
  </si>
  <si>
    <t>unfair_2011</t>
  </si>
  <si>
    <t>unfair_2013</t>
  </si>
  <si>
    <t>unfair_2015</t>
  </si>
  <si>
    <t>Real Ecuador 2013</t>
  </si>
  <si>
    <t>gini_2000</t>
  </si>
  <si>
    <t>fair</t>
  </si>
  <si>
    <t>distribucion_justa</t>
  </si>
  <si>
    <t>CCT</t>
  </si>
  <si>
    <t>Very Unfair</t>
  </si>
  <si>
    <t>Very Fair</t>
  </si>
  <si>
    <t>Fair</t>
  </si>
  <si>
    <t>Unfair or Very Unfair</t>
  </si>
  <si>
    <t>Only Unfair</t>
  </si>
  <si>
    <t>Variance</t>
  </si>
  <si>
    <t>Theil index, GE(1)</t>
  </si>
  <si>
    <t>Ratio 90/10</t>
  </si>
  <si>
    <t>Ratio 75/25</t>
  </si>
  <si>
    <t>Mean log deviation, GE(0)</t>
  </si>
  <si>
    <t>Kolm, K(1)</t>
  </si>
  <si>
    <t>Gini coefficient LEL</t>
  </si>
  <si>
    <t>Gini coefficient (no zero income)</t>
  </si>
  <si>
    <t>Generalized entropy, GE(2)</t>
  </si>
  <si>
    <t>Coefficient Variation</t>
  </si>
  <si>
    <t>Atkinson, A(1)</t>
  </si>
  <si>
    <t>Atkinson, A(0.5)</t>
  </si>
  <si>
    <t>Absolute Gini</t>
  </si>
  <si>
    <t>Average of the SE</t>
  </si>
  <si>
    <t>Correlation of the average indicators</t>
  </si>
  <si>
    <t>Pooled data</t>
  </si>
  <si>
    <t>Standard error of the correlation between unfair or very unfair and inequality indicators</t>
  </si>
  <si>
    <t>Bootstrap</t>
  </si>
  <si>
    <t>Regression</t>
  </si>
  <si>
    <t>Gini coefficient</t>
  </si>
  <si>
    <t>Average of the correlations</t>
  </si>
  <si>
    <t>Correlation between unfair or very unfair and inequality indicators</t>
  </si>
  <si>
    <t>% Very Unfair</t>
  </si>
  <si>
    <t>Country</t>
  </si>
  <si>
    <t>Perception</t>
  </si>
  <si>
    <t>Objective</t>
  </si>
  <si>
    <t>Correlation</t>
  </si>
  <si>
    <t>P_Value</t>
  </si>
  <si>
    <t>Standard_Error_Reg</t>
  </si>
  <si>
    <t>Standard_Error_Boot</t>
  </si>
  <si>
    <t>Interpolation</t>
  </si>
  <si>
    <t>Not Interpolating</t>
  </si>
  <si>
    <t>% Only Unfair</t>
  </si>
  <si>
    <t>% Unfair or Very Unfair</t>
  </si>
  <si>
    <t>pool</t>
  </si>
  <si>
    <t>lac</t>
  </si>
  <si>
    <t>Average of Standard_Error_Boot</t>
  </si>
  <si>
    <t>(Multiple Items)</t>
  </si>
  <si>
    <t>Average of Correlation</t>
  </si>
  <si>
    <t>One final point to note is that As the share of the population believing in an unfair distribution increased, beliefs became more heterogeneous. To see this, in figure 7 we show the volatile of perceptions over the last decade, as measured by the coefficient of variation. The intuition is straightforward. At the begging of the 2000's there was a relative consensus that income distribution was unfair. As income inequality fell, there began to be more disagreement and beliefs became more volatile</t>
  </si>
  <si>
    <t>14</t>
  </si>
  <si>
    <t>13</t>
  </si>
  <si>
    <t>12</t>
  </si>
  <si>
    <t>11</t>
  </si>
  <si>
    <t>10</t>
  </si>
  <si>
    <t>09</t>
  </si>
  <si>
    <t>08</t>
  </si>
  <si>
    <t>07</t>
  </si>
  <si>
    <t>06</t>
  </si>
  <si>
    <t>05</t>
  </si>
  <si>
    <t>04</t>
  </si>
  <si>
    <t>03</t>
  </si>
  <si>
    <t>02</t>
  </si>
  <si>
    <t>01</t>
  </si>
  <si>
    <t>00</t>
  </si>
  <si>
    <t>99</t>
  </si>
  <si>
    <t>98</t>
  </si>
  <si>
    <t>very_fair</t>
  </si>
  <si>
    <t>very_unfair</t>
  </si>
  <si>
    <t>unfair_all</t>
  </si>
  <si>
    <t>unfair</t>
  </si>
  <si>
    <t>p90</t>
  </si>
  <si>
    <t>p75</t>
  </si>
  <si>
    <t>p50</t>
  </si>
  <si>
    <t>p25</t>
  </si>
  <si>
    <t>p10</t>
  </si>
  <si>
    <t>Urban- Montevideo and Interior &gt;5000 inhabitants</t>
  </si>
  <si>
    <t>ECH</t>
  </si>
  <si>
    <t>Encuesta Continua de Hogares</t>
  </si>
  <si>
    <t>National</t>
  </si>
  <si>
    <t>ENAHO</t>
  </si>
  <si>
    <t>Encuesta Nacional de Hogares</t>
  </si>
  <si>
    <t>EPH</t>
  </si>
  <si>
    <t>Encuesta Permanente de Hogares</t>
  </si>
  <si>
    <t>EH</t>
  </si>
  <si>
    <t>Encuesta de Hogares</t>
  </si>
  <si>
    <t>EMNV</t>
  </si>
  <si>
    <t>Encuesta Nacional de Hogares Sobre Medición de Niveles de Vida</t>
  </si>
  <si>
    <t>ENIGH</t>
  </si>
  <si>
    <t>Encuesta Nacional de Ingresos y Gastos de los Hogares</t>
  </si>
  <si>
    <t>EPHPM</t>
  </si>
  <si>
    <t>Encuesta Permanente de Hogares de Propósitos Mútiples</t>
  </si>
  <si>
    <t>ENCOVI</t>
  </si>
  <si>
    <t>Encuesta Nacional de Condiciones de Vida</t>
  </si>
  <si>
    <t>EHPM</t>
  </si>
  <si>
    <t>Encuesta de Hogares de Propósitos Mútiples</t>
  </si>
  <si>
    <t>ENEMDU</t>
  </si>
  <si>
    <t>Encuesta de Empleo, Desempleo, y Subempleo</t>
  </si>
  <si>
    <t>ENFT</t>
  </si>
  <si>
    <t>Encuesta Nacional de Fuerza de Trabajo</t>
  </si>
  <si>
    <t>Dominican R.</t>
  </si>
  <si>
    <t>GEIH</t>
  </si>
  <si>
    <t>Gran Encuesta Integrada de Hogares</t>
  </si>
  <si>
    <t>CASEN</t>
  </si>
  <si>
    <t>Encuesta de Caracterización Socioeconómica Nacional</t>
  </si>
  <si>
    <t>PNAD</t>
  </si>
  <si>
    <t>Pesquisa Nacional por Amostrade Domicilios</t>
  </si>
  <si>
    <t>Encuesta Continua de Hogares - MECOVI</t>
  </si>
  <si>
    <t>Urban-31 Cities</t>
  </si>
  <si>
    <t>EPH-C</t>
  </si>
  <si>
    <t>Encuesta Permanente de Hogares- Continua</t>
  </si>
  <si>
    <t>Coverage</t>
  </si>
  <si>
    <t>Circa 2012</t>
  </si>
  <si>
    <t>Circa 2000</t>
  </si>
  <si>
    <t>Acronym</t>
  </si>
  <si>
    <t>Survey</t>
  </si>
  <si>
    <t>Replaced with a circa year</t>
  </si>
  <si>
    <t>Datos disponibles y razonablemente comparables</t>
  </si>
  <si>
    <t>No hay datos</t>
  </si>
  <si>
    <t>Datos disponibles y comparables</t>
  </si>
  <si>
    <t>Datos disponibles pero no comparables</t>
  </si>
  <si>
    <t xml:space="preserve"> </t>
  </si>
  <si>
    <t>SEDLAC</t>
  </si>
  <si>
    <t>Latinobarómetro</t>
  </si>
  <si>
    <t>Year</t>
  </si>
  <si>
    <t>1997</t>
  </si>
  <si>
    <t>2001</t>
  </si>
  <si>
    <t>2002</t>
  </si>
  <si>
    <t>2007</t>
  </si>
  <si>
    <t>2009</t>
  </si>
  <si>
    <t>2010</t>
  </si>
  <si>
    <t>2011</t>
  </si>
  <si>
    <t>2013</t>
  </si>
  <si>
    <t>2015</t>
  </si>
  <si>
    <t>all</t>
  </si>
  <si>
    <t>Category</t>
  </si>
  <si>
    <t>All</t>
  </si>
  <si>
    <t>Education level</t>
  </si>
  <si>
    <t>Age group</t>
  </si>
  <si>
    <t>Gender</t>
  </si>
  <si>
    <t>Civil Status</t>
  </si>
  <si>
    <t>Religion</t>
  </si>
  <si>
    <t>Type of employment</t>
  </si>
  <si>
    <t>Country</t>
  </si>
  <si>
    <t>All</t>
  </si>
  <si>
    <t>Education level</t>
  </si>
  <si>
    <t>Age group</t>
  </si>
  <si>
    <t>Gender</t>
  </si>
  <si>
    <t>Civil Status</t>
  </si>
  <si>
    <t>Religion</t>
  </si>
  <si>
    <t>Type of employment</t>
  </si>
  <si>
    <t>Country</t>
  </si>
  <si>
    <t>All</t>
  </si>
  <si>
    <t>Education level</t>
  </si>
  <si>
    <t>Age group</t>
  </si>
  <si>
    <t>Gender</t>
  </si>
  <si>
    <t>Civil Status</t>
  </si>
  <si>
    <t>Religion</t>
  </si>
  <si>
    <t>Type of employment</t>
  </si>
  <si>
    <t>Country</t>
  </si>
  <si>
    <t>All</t>
  </si>
  <si>
    <t>Education level</t>
  </si>
  <si>
    <t>Age group</t>
  </si>
  <si>
    <t>Gender</t>
  </si>
  <si>
    <t>Civil Status</t>
  </si>
  <si>
    <t>Religion</t>
  </si>
  <si>
    <t>Type of employment</t>
  </si>
  <si>
    <t>Country</t>
  </si>
  <si>
    <t>All</t>
  </si>
  <si>
    <t>Education level</t>
  </si>
  <si>
    <t>Age group</t>
  </si>
  <si>
    <t>Gender</t>
  </si>
  <si>
    <t>Civil Status</t>
  </si>
  <si>
    <t>Religion</t>
  </si>
  <si>
    <t>Type of employment</t>
  </si>
  <si>
    <t>Country</t>
  </si>
  <si>
    <t>All</t>
  </si>
  <si>
    <t>Education level</t>
  </si>
  <si>
    <t>Age group</t>
  </si>
  <si>
    <t>Gender</t>
  </si>
  <si>
    <t>Civil Status</t>
  </si>
  <si>
    <t>Religion</t>
  </si>
  <si>
    <t>Type of employment</t>
  </si>
  <si>
    <t>Country</t>
  </si>
  <si>
    <t>All</t>
  </si>
  <si>
    <t>Education level</t>
  </si>
  <si>
    <t>Age group</t>
  </si>
  <si>
    <t>Gender</t>
  </si>
  <si>
    <t>Civil Status</t>
  </si>
  <si>
    <t>Religion</t>
  </si>
  <si>
    <t>Type of employment</t>
  </si>
  <si>
    <t>Country</t>
  </si>
  <si>
    <t>All</t>
  </si>
  <si>
    <t>Education level</t>
  </si>
  <si>
    <t>Age group</t>
  </si>
  <si>
    <t>Gender</t>
  </si>
  <si>
    <t>Civil Status</t>
  </si>
  <si>
    <t>Religion</t>
  </si>
  <si>
    <t>Type of employment</t>
  </si>
  <si>
    <t>Country</t>
  </si>
  <si>
    <t>All</t>
  </si>
  <si>
    <t>Education level</t>
  </si>
  <si>
    <t>Age group</t>
  </si>
  <si>
    <t>Gender</t>
  </si>
  <si>
    <t>Civil Status</t>
  </si>
  <si>
    <t>Religion</t>
  </si>
  <si>
    <t>Type of employment</t>
  </si>
  <si>
    <t>Country</t>
  </si>
  <si>
    <t>All</t>
  </si>
  <si>
    <t>Education level</t>
  </si>
  <si>
    <t>Age group</t>
  </si>
  <si>
    <t>Gender</t>
  </si>
  <si>
    <t>Civil Status</t>
  </si>
  <si>
    <t>Religion</t>
  </si>
  <si>
    <t>Type of employment</t>
  </si>
  <si>
    <t>Country</t>
  </si>
  <si>
    <t>All</t>
  </si>
  <si>
    <t>Education level</t>
  </si>
  <si>
    <t>Age group</t>
  </si>
  <si>
    <t>Gender</t>
  </si>
  <si>
    <t>Civil Status</t>
  </si>
  <si>
    <t>Religion</t>
  </si>
  <si>
    <t>Type of employment</t>
  </si>
  <si>
    <t>Country</t>
  </si>
  <si>
    <t>All</t>
  </si>
  <si>
    <t>Education level</t>
  </si>
  <si>
    <t>Age group</t>
  </si>
  <si>
    <t>Gender</t>
  </si>
  <si>
    <t>Civil Status</t>
  </si>
  <si>
    <t>Religion</t>
  </si>
  <si>
    <t>Type of employment</t>
  </si>
  <si>
    <t>Country</t>
  </si>
  <si>
    <t>All</t>
  </si>
  <si>
    <t>Education level</t>
  </si>
  <si>
    <t>Age group</t>
  </si>
  <si>
    <t>Gender</t>
  </si>
  <si>
    <t>Civil Status</t>
  </si>
  <si>
    <t>Religion</t>
  </si>
  <si>
    <t>Type of employment</t>
  </si>
  <si>
    <t>Country</t>
  </si>
  <si>
    <t>All</t>
  </si>
  <si>
    <t>Education level</t>
  </si>
  <si>
    <t>Age group</t>
  </si>
  <si>
    <t>Gender</t>
  </si>
  <si>
    <t>Civil Status</t>
  </si>
  <si>
    <t>Religion</t>
  </si>
  <si>
    <t>Type of employment</t>
  </si>
  <si>
    <t>Country</t>
  </si>
  <si>
    <t>All</t>
  </si>
  <si>
    <t>Education level</t>
  </si>
  <si>
    <t>Age group</t>
  </si>
  <si>
    <t>Gender</t>
  </si>
  <si>
    <t>Civil Status</t>
  </si>
  <si>
    <t>Religion</t>
  </si>
  <si>
    <t>Type of employment</t>
  </si>
  <si>
    <t>Country</t>
  </si>
  <si>
    <t>All</t>
  </si>
  <si>
    <t>Education level</t>
  </si>
  <si>
    <t>Age group</t>
  </si>
  <si>
    <t>Gender</t>
  </si>
  <si>
    <t>Civil Status</t>
  </si>
  <si>
    <t>Religion</t>
  </si>
  <si>
    <t>Type of employment</t>
  </si>
  <si>
    <t>Country</t>
  </si>
  <si>
    <t>All</t>
  </si>
  <si>
    <t>Education level</t>
  </si>
  <si>
    <t>Age group</t>
  </si>
  <si>
    <t>Gender</t>
  </si>
  <si>
    <t>Civil Status</t>
  </si>
  <si>
    <t>Religion</t>
  </si>
  <si>
    <t>Type of employment</t>
  </si>
  <si>
    <t>Country</t>
  </si>
  <si>
    <t>All</t>
  </si>
  <si>
    <t>Education level</t>
  </si>
  <si>
    <t>Age group</t>
  </si>
  <si>
    <t>Gender</t>
  </si>
  <si>
    <t>Civil Status</t>
  </si>
  <si>
    <t>Religion</t>
  </si>
  <si>
    <t>Type of employment</t>
  </si>
  <si>
    <t>Country</t>
  </si>
  <si>
    <t>All</t>
  </si>
  <si>
    <t>Education level</t>
  </si>
  <si>
    <t>Age group</t>
  </si>
  <si>
    <t>Gender</t>
  </si>
  <si>
    <t>Civil Status</t>
  </si>
  <si>
    <t>Religion</t>
  </si>
  <si>
    <t>Type of employment</t>
  </si>
  <si>
    <t>Country</t>
  </si>
  <si>
    <t>All</t>
  </si>
  <si>
    <t>Education level</t>
  </si>
  <si>
    <t>Age group</t>
  </si>
  <si>
    <t>Gender</t>
  </si>
  <si>
    <t>Civil Status</t>
  </si>
  <si>
    <t>Religion</t>
  </si>
  <si>
    <t>Type of employment</t>
  </si>
  <si>
    <t>Country</t>
  </si>
  <si>
    <t>All</t>
  </si>
  <si>
    <t>Education level</t>
  </si>
  <si>
    <t>Age group</t>
  </si>
  <si>
    <t>Gender</t>
  </si>
  <si>
    <t>Civil Status</t>
  </si>
  <si>
    <t>Religion</t>
  </si>
  <si>
    <t>Type of employment</t>
  </si>
  <si>
    <t>Country</t>
  </si>
  <si>
    <t>All</t>
  </si>
  <si>
    <t>Education level</t>
  </si>
  <si>
    <t>Age group</t>
  </si>
  <si>
    <t>Gender</t>
  </si>
  <si>
    <t>Civil Status</t>
  </si>
  <si>
    <t>Religion</t>
  </si>
  <si>
    <t>Type of employment</t>
  </si>
  <si>
    <t>Country</t>
  </si>
  <si>
    <t>All</t>
  </si>
  <si>
    <t>Education level</t>
  </si>
  <si>
    <t>Age group</t>
  </si>
  <si>
    <t>Gender</t>
  </si>
  <si>
    <t>Civil Status</t>
  </si>
  <si>
    <t>Religion</t>
  </si>
  <si>
    <t>Type of employment</t>
  </si>
  <si>
    <t>Country</t>
  </si>
  <si>
    <t>All</t>
  </si>
  <si>
    <t>Education level</t>
  </si>
  <si>
    <t>Age group</t>
  </si>
  <si>
    <t>Gender</t>
  </si>
  <si>
    <t>Civil Status</t>
  </si>
  <si>
    <t>Religion</t>
  </si>
  <si>
    <t>Type of employment</t>
  </si>
  <si>
    <t>Country</t>
  </si>
  <si>
    <t>All</t>
  </si>
  <si>
    <t>Education level</t>
  </si>
  <si>
    <t>Age group</t>
  </si>
  <si>
    <t>Gender</t>
  </si>
  <si>
    <t>Civil Status</t>
  </si>
  <si>
    <t>Religion</t>
  </si>
  <si>
    <t>Type of employment</t>
  </si>
  <si>
    <t>Country</t>
  </si>
  <si>
    <t>All</t>
  </si>
  <si>
    <t>Education level</t>
  </si>
  <si>
    <t>Age group</t>
  </si>
  <si>
    <t>Gender</t>
  </si>
  <si>
    <t>Civil Status</t>
  </si>
  <si>
    <t>Religion</t>
  </si>
  <si>
    <t>Type of employment</t>
  </si>
  <si>
    <t>Country</t>
  </si>
  <si>
    <t>All</t>
  </si>
  <si>
    <t>Education level</t>
  </si>
  <si>
    <t>Age group</t>
  </si>
  <si>
    <t>Gender</t>
  </si>
  <si>
    <t>Civil Status</t>
  </si>
  <si>
    <t>Religion</t>
  </si>
  <si>
    <t>Type of employment</t>
  </si>
  <si>
    <t>Country</t>
  </si>
  <si>
    <t>All</t>
  </si>
  <si>
    <t>Education level</t>
  </si>
  <si>
    <t>Age group</t>
  </si>
  <si>
    <t>Gender</t>
  </si>
  <si>
    <t>Civil Status</t>
  </si>
  <si>
    <t>Religion</t>
  </si>
  <si>
    <t>Type of employment</t>
  </si>
  <si>
    <t>Country</t>
  </si>
  <si>
    <t>All</t>
  </si>
  <si>
    <t>Education level</t>
  </si>
  <si>
    <t>Age group</t>
  </si>
  <si>
    <t>Gender</t>
  </si>
  <si>
    <t>Civil Status</t>
  </si>
  <si>
    <t>Religion</t>
  </si>
  <si>
    <t>Type of employment</t>
  </si>
  <si>
    <t>Country</t>
  </si>
  <si>
    <t>All</t>
  </si>
  <si>
    <t>Education level</t>
  </si>
  <si>
    <t>Age group</t>
  </si>
  <si>
    <t>Gender</t>
  </si>
  <si>
    <t>Civil Status</t>
  </si>
  <si>
    <t>Religion</t>
  </si>
  <si>
    <t>Type of employment</t>
  </si>
  <si>
    <t>Country</t>
  </si>
  <si>
    <t>All</t>
  </si>
  <si>
    <t>Education level</t>
  </si>
  <si>
    <t>Age group</t>
  </si>
  <si>
    <t>Gender</t>
  </si>
  <si>
    <t>Civil Status</t>
  </si>
  <si>
    <t>Religion</t>
  </si>
  <si>
    <t>Type of employment</t>
  </si>
  <si>
    <t>Country</t>
  </si>
  <si>
    <t>All</t>
  </si>
  <si>
    <t>Education level</t>
  </si>
  <si>
    <t>Age group</t>
  </si>
  <si>
    <t>Gender</t>
  </si>
  <si>
    <t>Civil Status</t>
  </si>
  <si>
    <t>Religion</t>
  </si>
  <si>
    <t>Type of employment</t>
  </si>
  <si>
    <t>Country</t>
  </si>
  <si>
    <t>All</t>
  </si>
  <si>
    <t>Education level</t>
  </si>
  <si>
    <t>Age group</t>
  </si>
  <si>
    <t>Gender</t>
  </si>
  <si>
    <t>Civil Status</t>
  </si>
  <si>
    <t>Religion</t>
  </si>
  <si>
    <t>Type of employment</t>
  </si>
  <si>
    <t>Country</t>
  </si>
  <si>
    <t>All</t>
  </si>
  <si>
    <t>Education level</t>
  </si>
  <si>
    <t>Age group</t>
  </si>
  <si>
    <t>Gender</t>
  </si>
  <si>
    <t>Civil Status</t>
  </si>
  <si>
    <t>Religion</t>
  </si>
  <si>
    <t>Type of employment</t>
  </si>
  <si>
    <t>Country</t>
  </si>
  <si>
    <t>All</t>
  </si>
  <si>
    <t>Education level</t>
  </si>
  <si>
    <t>Age group</t>
  </si>
  <si>
    <t>Gender</t>
  </si>
  <si>
    <t>Civil Status</t>
  </si>
  <si>
    <t>Religion</t>
  </si>
  <si>
    <t>Type of employment</t>
  </si>
  <si>
    <t>Country</t>
  </si>
  <si>
    <t>All</t>
  </si>
  <si>
    <t>Education level</t>
  </si>
  <si>
    <t>Age group</t>
  </si>
  <si>
    <t>Gender</t>
  </si>
  <si>
    <t>Civil Status</t>
  </si>
  <si>
    <t>Religion</t>
  </si>
  <si>
    <t>Type of employment</t>
  </si>
  <si>
    <t>Country</t>
  </si>
  <si>
    <t>All</t>
  </si>
  <si>
    <t>Education level</t>
  </si>
  <si>
    <t>Age group</t>
  </si>
  <si>
    <t>Gender</t>
  </si>
  <si>
    <t>Civil Status</t>
  </si>
  <si>
    <t>Religion</t>
  </si>
  <si>
    <t>Type of employment</t>
  </si>
  <si>
    <t>Country</t>
  </si>
  <si>
    <t>All</t>
  </si>
  <si>
    <t>Education level</t>
  </si>
  <si>
    <t>Age group</t>
  </si>
  <si>
    <t>Gender</t>
  </si>
  <si>
    <t>Civil Status</t>
  </si>
  <si>
    <t>Religion</t>
  </si>
  <si>
    <t>Type of employment</t>
  </si>
  <si>
    <t>Country</t>
  </si>
  <si>
    <t>All</t>
  </si>
  <si>
    <t>Education level</t>
  </si>
  <si>
    <t>Age group</t>
  </si>
  <si>
    <t>Gender</t>
  </si>
  <si>
    <t>Civil Status</t>
  </si>
  <si>
    <t>Religion</t>
  </si>
  <si>
    <t>Type of employment</t>
  </si>
  <si>
    <t>Country</t>
  </si>
  <si>
    <t>All</t>
  </si>
  <si>
    <t>Education level</t>
  </si>
  <si>
    <t>Age group</t>
  </si>
  <si>
    <t>Gender</t>
  </si>
  <si>
    <t>Civil Status</t>
  </si>
  <si>
    <t>Religion</t>
  </si>
  <si>
    <t>Type of employment</t>
  </si>
  <si>
    <t>Country</t>
  </si>
  <si>
    <t>Level</t>
  </si>
  <si>
    <t>All</t>
  </si>
  <si>
    <t>Less than Primary</t>
  </si>
  <si>
    <t>Complete Primary</t>
  </si>
  <si>
    <t>Complete Secondary</t>
  </si>
  <si>
    <t>Complete Tertiary</t>
  </si>
  <si>
    <t>15-24</t>
  </si>
  <si>
    <t>25-40</t>
  </si>
  <si>
    <t>41-64</t>
  </si>
  <si>
    <t>65+</t>
  </si>
  <si>
    <t>Female</t>
  </si>
  <si>
    <t>Male</t>
  </si>
  <si>
    <t>Not married</t>
  </si>
  <si>
    <t>Married</t>
  </si>
  <si>
    <t>Not catholic</t>
  </si>
  <si>
    <t>Catholic</t>
  </si>
  <si>
    <t>Employer</t>
  </si>
  <si>
    <t>Employee</t>
  </si>
  <si>
    <t>Self-employed</t>
  </si>
  <si>
    <t>Unemployed</t>
  </si>
  <si>
    <t>Argentina</t>
  </si>
  <si>
    <t>Bolivia</t>
  </si>
  <si>
    <t>Brazil</t>
  </si>
  <si>
    <t>Chile</t>
  </si>
  <si>
    <t>Colombia</t>
  </si>
  <si>
    <t>Costa Rica</t>
  </si>
  <si>
    <t>Dominican Rep.</t>
  </si>
  <si>
    <t>Ecuador</t>
  </si>
  <si>
    <t>Guatemala</t>
  </si>
  <si>
    <t>Honduras</t>
  </si>
  <si>
    <t>Mexico</t>
  </si>
  <si>
    <t>Nicaragua</t>
  </si>
  <si>
    <t>Panama</t>
  </si>
  <si>
    <t>Peru</t>
  </si>
  <si>
    <t>Paraguay</t>
  </si>
  <si>
    <t>El Salvador</t>
  </si>
  <si>
    <t>Uruguay</t>
  </si>
  <si>
    <t>Venezuela</t>
  </si>
  <si>
    <t>All</t>
  </si>
  <si>
    <t>Less than Primary</t>
  </si>
  <si>
    <t>Complete Primary</t>
  </si>
  <si>
    <t>Complete Secondary</t>
  </si>
  <si>
    <t>Complete Tertiary</t>
  </si>
  <si>
    <t>15-24</t>
  </si>
  <si>
    <t>25-40</t>
  </si>
  <si>
    <t>41-64</t>
  </si>
  <si>
    <t>65+</t>
  </si>
  <si>
    <t>Female</t>
  </si>
  <si>
    <t>Male</t>
  </si>
  <si>
    <t>Not married</t>
  </si>
  <si>
    <t>Married</t>
  </si>
  <si>
    <t>Not catholic</t>
  </si>
  <si>
    <t>Catholic</t>
  </si>
  <si>
    <t>Employer</t>
  </si>
  <si>
    <t>Employee</t>
  </si>
  <si>
    <t>Self-employed</t>
  </si>
  <si>
    <t>Unemployed</t>
  </si>
  <si>
    <t>Argentina</t>
  </si>
  <si>
    <t>Bolivia</t>
  </si>
  <si>
    <t>Brazil</t>
  </si>
  <si>
    <t>Chile</t>
  </si>
  <si>
    <t>Colombia</t>
  </si>
  <si>
    <t>Costa Rica</t>
  </si>
  <si>
    <t>Dominican Rep.</t>
  </si>
  <si>
    <t>Ecuador</t>
  </si>
  <si>
    <t>Guatemala</t>
  </si>
  <si>
    <t>Honduras</t>
  </si>
  <si>
    <t>Mexico</t>
  </si>
  <si>
    <t>Nicaragua</t>
  </si>
  <si>
    <t>Panama</t>
  </si>
  <si>
    <t>Peru</t>
  </si>
  <si>
    <t>Paraguay</t>
  </si>
  <si>
    <t>El Salvador</t>
  </si>
  <si>
    <t>Uruguay</t>
  </si>
  <si>
    <t>Venezuela</t>
  </si>
  <si>
    <t>All</t>
  </si>
  <si>
    <t>Less than Primary</t>
  </si>
  <si>
    <t>Complete Primary</t>
  </si>
  <si>
    <t>Complete Secondary</t>
  </si>
  <si>
    <t>Complete Tertiary</t>
  </si>
  <si>
    <t>15-24</t>
  </si>
  <si>
    <t>25-40</t>
  </si>
  <si>
    <t>41-64</t>
  </si>
  <si>
    <t>65+</t>
  </si>
  <si>
    <t>Female</t>
  </si>
  <si>
    <t>Male</t>
  </si>
  <si>
    <t>Not married</t>
  </si>
  <si>
    <t>Married</t>
  </si>
  <si>
    <t>Not catholic</t>
  </si>
  <si>
    <t>Catholic</t>
  </si>
  <si>
    <t>Employer</t>
  </si>
  <si>
    <t>Employee</t>
  </si>
  <si>
    <t>Self-employed</t>
  </si>
  <si>
    <t>Unemployed</t>
  </si>
  <si>
    <t>Argentina</t>
  </si>
  <si>
    <t>Bolivia</t>
  </si>
  <si>
    <t>Brazil</t>
  </si>
  <si>
    <t>Chile</t>
  </si>
  <si>
    <t>Colombia</t>
  </si>
  <si>
    <t>Costa Rica</t>
  </si>
  <si>
    <t>Dominican Rep.</t>
  </si>
  <si>
    <t>Ecuador</t>
  </si>
  <si>
    <t>Guatemala</t>
  </si>
  <si>
    <t>Honduras</t>
  </si>
  <si>
    <t>Mexico</t>
  </si>
  <si>
    <t>Nicaragua</t>
  </si>
  <si>
    <t>Panama</t>
  </si>
  <si>
    <t>Peru</t>
  </si>
  <si>
    <t>Paraguay</t>
  </si>
  <si>
    <t>El Salvador</t>
  </si>
  <si>
    <t>Uruguay</t>
  </si>
  <si>
    <t>Venezuela</t>
  </si>
  <si>
    <t>All</t>
  </si>
  <si>
    <t>Less than Primary</t>
  </si>
  <si>
    <t>Complete Primary</t>
  </si>
  <si>
    <t>Complete Secondary</t>
  </si>
  <si>
    <t>Complete Tertiary</t>
  </si>
  <si>
    <t>15-24</t>
  </si>
  <si>
    <t>25-40</t>
  </si>
  <si>
    <t>41-64</t>
  </si>
  <si>
    <t>65+</t>
  </si>
  <si>
    <t>Female</t>
  </si>
  <si>
    <t>Male</t>
  </si>
  <si>
    <t>Not married</t>
  </si>
  <si>
    <t>Married</t>
  </si>
  <si>
    <t>Not catholic</t>
  </si>
  <si>
    <t>Catholic</t>
  </si>
  <si>
    <t>Employer</t>
  </si>
  <si>
    <t>Employee</t>
  </si>
  <si>
    <t>Self-employed</t>
  </si>
  <si>
    <t>Unemployed</t>
  </si>
  <si>
    <t>Argentina</t>
  </si>
  <si>
    <t>Bolivia</t>
  </si>
  <si>
    <t>Brazil</t>
  </si>
  <si>
    <t>Chile</t>
  </si>
  <si>
    <t>Colombia</t>
  </si>
  <si>
    <t>Costa Rica</t>
  </si>
  <si>
    <t>Dominican Rep.</t>
  </si>
  <si>
    <t>Ecuador</t>
  </si>
  <si>
    <t>Guatemala</t>
  </si>
  <si>
    <t>Honduras</t>
  </si>
  <si>
    <t>Mexico</t>
  </si>
  <si>
    <t>Nicaragua</t>
  </si>
  <si>
    <t>Panama</t>
  </si>
  <si>
    <t>Peru</t>
  </si>
  <si>
    <t>Paraguay</t>
  </si>
  <si>
    <t>El Salvador</t>
  </si>
  <si>
    <t>Uruguay</t>
  </si>
  <si>
    <t>Venezuela</t>
  </si>
  <si>
    <t>All</t>
  </si>
  <si>
    <t>Less than Primary</t>
  </si>
  <si>
    <t>Complete Primary</t>
  </si>
  <si>
    <t>Complete Secondary</t>
  </si>
  <si>
    <t>Complete Tertiary</t>
  </si>
  <si>
    <t>15-24</t>
  </si>
  <si>
    <t>25-40</t>
  </si>
  <si>
    <t>41-64</t>
  </si>
  <si>
    <t>65+</t>
  </si>
  <si>
    <t>Female</t>
  </si>
  <si>
    <t>Male</t>
  </si>
  <si>
    <t>Not married</t>
  </si>
  <si>
    <t>Married</t>
  </si>
  <si>
    <t>Not catholic</t>
  </si>
  <si>
    <t>Catholic</t>
  </si>
  <si>
    <t>Employer</t>
  </si>
  <si>
    <t>Employee</t>
  </si>
  <si>
    <t>Self-employed</t>
  </si>
  <si>
    <t>Unemployed</t>
  </si>
  <si>
    <t>Argentina</t>
  </si>
  <si>
    <t>Bolivia</t>
  </si>
  <si>
    <t>Brazil</t>
  </si>
  <si>
    <t>Chile</t>
  </si>
  <si>
    <t>Colombia</t>
  </si>
  <si>
    <t>Costa Rica</t>
  </si>
  <si>
    <t>Dominican Rep.</t>
  </si>
  <si>
    <t>Ecuador</t>
  </si>
  <si>
    <t>Guatemala</t>
  </si>
  <si>
    <t>Honduras</t>
  </si>
  <si>
    <t>Mexico</t>
  </si>
  <si>
    <t>Nicaragua</t>
  </si>
  <si>
    <t>Panama</t>
  </si>
  <si>
    <t>Peru</t>
  </si>
  <si>
    <t>Paraguay</t>
  </si>
  <si>
    <t>El Salvador</t>
  </si>
  <si>
    <t>Uruguay</t>
  </si>
  <si>
    <t>Venezuela</t>
  </si>
  <si>
    <t>All</t>
  </si>
  <si>
    <t>Less than Primary</t>
  </si>
  <si>
    <t>Complete Primary</t>
  </si>
  <si>
    <t>Complete Secondary</t>
  </si>
  <si>
    <t>Complete Tertiary</t>
  </si>
  <si>
    <t>15-24</t>
  </si>
  <si>
    <t>25-40</t>
  </si>
  <si>
    <t>41-64</t>
  </si>
  <si>
    <t>65+</t>
  </si>
  <si>
    <t>Female</t>
  </si>
  <si>
    <t>Male</t>
  </si>
  <si>
    <t>Not married</t>
  </si>
  <si>
    <t>Married</t>
  </si>
  <si>
    <t>Not catholic</t>
  </si>
  <si>
    <t>Catholic</t>
  </si>
  <si>
    <t>Employer</t>
  </si>
  <si>
    <t>Employee</t>
  </si>
  <si>
    <t>Self-employed</t>
  </si>
  <si>
    <t>Unemployed</t>
  </si>
  <si>
    <t>Argentina</t>
  </si>
  <si>
    <t>Bolivia</t>
  </si>
  <si>
    <t>Brazil</t>
  </si>
  <si>
    <t>Chile</t>
  </si>
  <si>
    <t>Colombia</t>
  </si>
  <si>
    <t>Costa Rica</t>
  </si>
  <si>
    <t>Dominican Rep.</t>
  </si>
  <si>
    <t>Ecuador</t>
  </si>
  <si>
    <t>Guatemala</t>
  </si>
  <si>
    <t>Honduras</t>
  </si>
  <si>
    <t>Mexico</t>
  </si>
  <si>
    <t>Nicaragua</t>
  </si>
  <si>
    <t>Panama</t>
  </si>
  <si>
    <t>Peru</t>
  </si>
  <si>
    <t>Paraguay</t>
  </si>
  <si>
    <t>El Salvador</t>
  </si>
  <si>
    <t>Uruguay</t>
  </si>
  <si>
    <t>Venezuela</t>
  </si>
  <si>
    <t>All</t>
  </si>
  <si>
    <t>Less than Primary</t>
  </si>
  <si>
    <t>Complete Primary</t>
  </si>
  <si>
    <t>Complete Secondary</t>
  </si>
  <si>
    <t>Complete Tertiary</t>
  </si>
  <si>
    <t>15-24</t>
  </si>
  <si>
    <t>25-40</t>
  </si>
  <si>
    <t>41-64</t>
  </si>
  <si>
    <t>65+</t>
  </si>
  <si>
    <t>Female</t>
  </si>
  <si>
    <t>Male</t>
  </si>
  <si>
    <t>Not married</t>
  </si>
  <si>
    <t>Married</t>
  </si>
  <si>
    <t>Not catholic</t>
  </si>
  <si>
    <t>Catholic</t>
  </si>
  <si>
    <t>Employer</t>
  </si>
  <si>
    <t>Employee</t>
  </si>
  <si>
    <t>Self-employed</t>
  </si>
  <si>
    <t>Unemployed</t>
  </si>
  <si>
    <t>Argentina</t>
  </si>
  <si>
    <t>Bolivia</t>
  </si>
  <si>
    <t>Brazil</t>
  </si>
  <si>
    <t>Chile</t>
  </si>
  <si>
    <t>Colombia</t>
  </si>
  <si>
    <t>Costa Rica</t>
  </si>
  <si>
    <t>Dominican Rep.</t>
  </si>
  <si>
    <t>Ecuador</t>
  </si>
  <si>
    <t>Guatemala</t>
  </si>
  <si>
    <t>Honduras</t>
  </si>
  <si>
    <t>Mexico</t>
  </si>
  <si>
    <t>Nicaragua</t>
  </si>
  <si>
    <t>Panama</t>
  </si>
  <si>
    <t>Peru</t>
  </si>
  <si>
    <t>Paraguay</t>
  </si>
  <si>
    <t>El Salvador</t>
  </si>
  <si>
    <t>Uruguay</t>
  </si>
  <si>
    <t>Venezuela</t>
  </si>
  <si>
    <t>All</t>
  </si>
  <si>
    <t>Less than Primary</t>
  </si>
  <si>
    <t>Complete Primary</t>
  </si>
  <si>
    <t>Complete Secondary</t>
  </si>
  <si>
    <t>Complete Tertiary</t>
  </si>
  <si>
    <t>15-24</t>
  </si>
  <si>
    <t>25-40</t>
  </si>
  <si>
    <t>41-64</t>
  </si>
  <si>
    <t>65+</t>
  </si>
  <si>
    <t>Female</t>
  </si>
  <si>
    <t>Male</t>
  </si>
  <si>
    <t>Not married</t>
  </si>
  <si>
    <t>Married</t>
  </si>
  <si>
    <t>Not catholic</t>
  </si>
  <si>
    <t>Catholic</t>
  </si>
  <si>
    <t>Employer</t>
  </si>
  <si>
    <t>Employee</t>
  </si>
  <si>
    <t>Self-employed</t>
  </si>
  <si>
    <t>Unemployed</t>
  </si>
  <si>
    <t>Argentina</t>
  </si>
  <si>
    <t>Bolivia</t>
  </si>
  <si>
    <t>Brazil</t>
  </si>
  <si>
    <t>Chile</t>
  </si>
  <si>
    <t>Colombia</t>
  </si>
  <si>
    <t>Costa Rica</t>
  </si>
  <si>
    <t>Dominican Rep.</t>
  </si>
  <si>
    <t>Ecuador</t>
  </si>
  <si>
    <t>Guatemala</t>
  </si>
  <si>
    <t>Honduras</t>
  </si>
  <si>
    <t>Mexico</t>
  </si>
  <si>
    <t>Nicaragua</t>
  </si>
  <si>
    <t>Panama</t>
  </si>
  <si>
    <t>Peru</t>
  </si>
  <si>
    <t>Paraguay</t>
  </si>
  <si>
    <t>El Salvador</t>
  </si>
  <si>
    <t>Uruguay</t>
  </si>
  <si>
    <t>Venezuela</t>
  </si>
  <si>
    <t>All</t>
  </si>
  <si>
    <t>Less than Primary</t>
  </si>
  <si>
    <t>Complete Primary</t>
  </si>
  <si>
    <t>Complete Secondary</t>
  </si>
  <si>
    <t>Complete Tertiary</t>
  </si>
  <si>
    <t>15-24</t>
  </si>
  <si>
    <t>25-40</t>
  </si>
  <si>
    <t>41-64</t>
  </si>
  <si>
    <t>65+</t>
  </si>
  <si>
    <t>Female</t>
  </si>
  <si>
    <t>Male</t>
  </si>
  <si>
    <t>Not married</t>
  </si>
  <si>
    <t>Married</t>
  </si>
  <si>
    <t>Not catholic</t>
  </si>
  <si>
    <t>Catholic</t>
  </si>
  <si>
    <t>Employer</t>
  </si>
  <si>
    <t>Employee</t>
  </si>
  <si>
    <t>Self-employed</t>
  </si>
  <si>
    <t>Unemployed</t>
  </si>
  <si>
    <t>Argentina</t>
  </si>
  <si>
    <t>Bolivia</t>
  </si>
  <si>
    <t>Brazil</t>
  </si>
  <si>
    <t>Chile</t>
  </si>
  <si>
    <t>Colombia</t>
  </si>
  <si>
    <t>Costa Rica</t>
  </si>
  <si>
    <t>Dominican Rep.</t>
  </si>
  <si>
    <t>Ecuador</t>
  </si>
  <si>
    <t>Guatemala</t>
  </si>
  <si>
    <t>Honduras</t>
  </si>
  <si>
    <t>Mexico</t>
  </si>
  <si>
    <t>Nicaragua</t>
  </si>
  <si>
    <t>Panama</t>
  </si>
  <si>
    <t>Peru</t>
  </si>
  <si>
    <t>Paraguay</t>
  </si>
  <si>
    <t>El Salvador</t>
  </si>
  <si>
    <t>Uruguay</t>
  </si>
  <si>
    <t>Venezuela</t>
  </si>
  <si>
    <t>All</t>
  </si>
  <si>
    <t>Less than Primary</t>
  </si>
  <si>
    <t>Complete Primary</t>
  </si>
  <si>
    <t>Complete Secondary</t>
  </si>
  <si>
    <t>Complete Tertiary</t>
  </si>
  <si>
    <t>15-24</t>
  </si>
  <si>
    <t>25-40</t>
  </si>
  <si>
    <t>41-64</t>
  </si>
  <si>
    <t>65+</t>
  </si>
  <si>
    <t>Female</t>
  </si>
  <si>
    <t>Male</t>
  </si>
  <si>
    <t>Not married</t>
  </si>
  <si>
    <t>Married</t>
  </si>
  <si>
    <t>Not catholic</t>
  </si>
  <si>
    <t>Catholic</t>
  </si>
  <si>
    <t>Employer</t>
  </si>
  <si>
    <t>Employee</t>
  </si>
  <si>
    <t>Self-employed</t>
  </si>
  <si>
    <t>Unemployed</t>
  </si>
  <si>
    <t>Argentina</t>
  </si>
  <si>
    <t>Bolivia</t>
  </si>
  <si>
    <t>Brazil</t>
  </si>
  <si>
    <t>Chile</t>
  </si>
  <si>
    <t>Colombia</t>
  </si>
  <si>
    <t>Costa Rica</t>
  </si>
  <si>
    <t>Dominican Rep.</t>
  </si>
  <si>
    <t>Ecuador</t>
  </si>
  <si>
    <t>Guatemala</t>
  </si>
  <si>
    <t>Honduras</t>
  </si>
  <si>
    <t>Mexico</t>
  </si>
  <si>
    <t>Nicaragua</t>
  </si>
  <si>
    <t>Panama</t>
  </si>
  <si>
    <t>Peru</t>
  </si>
  <si>
    <t>Paraguay</t>
  </si>
  <si>
    <t>El Salvador</t>
  </si>
  <si>
    <t>Uruguay</t>
  </si>
  <si>
    <t>Venezuela</t>
  </si>
  <si>
    <t>All</t>
  </si>
  <si>
    <t>Less than Primary</t>
  </si>
  <si>
    <t>Complete Primary</t>
  </si>
  <si>
    <t>Complete Secondary</t>
  </si>
  <si>
    <t>Complete Tertiary</t>
  </si>
  <si>
    <t>15-24</t>
  </si>
  <si>
    <t>25-40</t>
  </si>
  <si>
    <t>41-64</t>
  </si>
  <si>
    <t>65+</t>
  </si>
  <si>
    <t>Female</t>
  </si>
  <si>
    <t>Male</t>
  </si>
  <si>
    <t>Not married</t>
  </si>
  <si>
    <t>Married</t>
  </si>
  <si>
    <t>Not catholic</t>
  </si>
  <si>
    <t>Catholic</t>
  </si>
  <si>
    <t>Employer</t>
  </si>
  <si>
    <t>Employee</t>
  </si>
  <si>
    <t>Self-employed</t>
  </si>
  <si>
    <t>Unemployed</t>
  </si>
  <si>
    <t>Argentina</t>
  </si>
  <si>
    <t>Bolivia</t>
  </si>
  <si>
    <t>Brazil</t>
  </si>
  <si>
    <t>Chile</t>
  </si>
  <si>
    <t>Colombia</t>
  </si>
  <si>
    <t>Costa Rica</t>
  </si>
  <si>
    <t>Dominican Rep.</t>
  </si>
  <si>
    <t>Ecuador</t>
  </si>
  <si>
    <t>Guatemala</t>
  </si>
  <si>
    <t>Honduras</t>
  </si>
  <si>
    <t>Mexico</t>
  </si>
  <si>
    <t>Nicaragua</t>
  </si>
  <si>
    <t>Panama</t>
  </si>
  <si>
    <t>Peru</t>
  </si>
  <si>
    <t>Paraguay</t>
  </si>
  <si>
    <t>El Salvador</t>
  </si>
  <si>
    <t>Uruguay</t>
  </si>
  <si>
    <t>Venezuela</t>
  </si>
  <si>
    <t>All</t>
  </si>
  <si>
    <t>Less than Primary</t>
  </si>
  <si>
    <t>Complete Primary</t>
  </si>
  <si>
    <t>Complete Secondary</t>
  </si>
  <si>
    <t>Complete Tertiary</t>
  </si>
  <si>
    <t>15-24</t>
  </si>
  <si>
    <t>25-40</t>
  </si>
  <si>
    <t>41-64</t>
  </si>
  <si>
    <t>65+</t>
  </si>
  <si>
    <t>Female</t>
  </si>
  <si>
    <t>Male</t>
  </si>
  <si>
    <t>Not married</t>
  </si>
  <si>
    <t>Married</t>
  </si>
  <si>
    <t>Not catholic</t>
  </si>
  <si>
    <t>Catholic</t>
  </si>
  <si>
    <t>Employer</t>
  </si>
  <si>
    <t>Employee</t>
  </si>
  <si>
    <t>Self-employed</t>
  </si>
  <si>
    <t>Unemployed</t>
  </si>
  <si>
    <t>Argentina</t>
  </si>
  <si>
    <t>Bolivia</t>
  </si>
  <si>
    <t>Brazil</t>
  </si>
  <si>
    <t>Chile</t>
  </si>
  <si>
    <t>Colombia</t>
  </si>
  <si>
    <t>Costa Rica</t>
  </si>
  <si>
    <t>Dominican Rep.</t>
  </si>
  <si>
    <t>Ecuador</t>
  </si>
  <si>
    <t>Guatemala</t>
  </si>
  <si>
    <t>Honduras</t>
  </si>
  <si>
    <t>Mexico</t>
  </si>
  <si>
    <t>Nicaragua</t>
  </si>
  <si>
    <t>Panama</t>
  </si>
  <si>
    <t>Peru</t>
  </si>
  <si>
    <t>Paraguay</t>
  </si>
  <si>
    <t>El Salvador</t>
  </si>
  <si>
    <t>Uruguay</t>
  </si>
  <si>
    <t>Venezuela</t>
  </si>
  <si>
    <t>All</t>
  </si>
  <si>
    <t>Less than Primary</t>
  </si>
  <si>
    <t>Complete Primary</t>
  </si>
  <si>
    <t>Complete Secondary</t>
  </si>
  <si>
    <t>Complete Tertiary</t>
  </si>
  <si>
    <t>15-24</t>
  </si>
  <si>
    <t>25-40</t>
  </si>
  <si>
    <t>41-64</t>
  </si>
  <si>
    <t>65+</t>
  </si>
  <si>
    <t>Female</t>
  </si>
  <si>
    <t>Male</t>
  </si>
  <si>
    <t>Not married</t>
  </si>
  <si>
    <t>Married</t>
  </si>
  <si>
    <t>Not catholic</t>
  </si>
  <si>
    <t>Catholic</t>
  </si>
  <si>
    <t>Employer</t>
  </si>
  <si>
    <t>Employee</t>
  </si>
  <si>
    <t>Self-employed</t>
  </si>
  <si>
    <t>Unemployed</t>
  </si>
  <si>
    <t>Argentina</t>
  </si>
  <si>
    <t>Bolivia</t>
  </si>
  <si>
    <t>Brazil</t>
  </si>
  <si>
    <t>Chile</t>
  </si>
  <si>
    <t>Colombia</t>
  </si>
  <si>
    <t>Costa Rica</t>
  </si>
  <si>
    <t>Dominican Rep.</t>
  </si>
  <si>
    <t>Ecuador</t>
  </si>
  <si>
    <t>Guatemala</t>
  </si>
  <si>
    <t>Honduras</t>
  </si>
  <si>
    <t>Mexico</t>
  </si>
  <si>
    <t>Nicaragua</t>
  </si>
  <si>
    <t>Panama</t>
  </si>
  <si>
    <t>Peru</t>
  </si>
  <si>
    <t>Paraguay</t>
  </si>
  <si>
    <t>El Salvador</t>
  </si>
  <si>
    <t>Uruguay</t>
  </si>
  <si>
    <t>Venezuela</t>
  </si>
  <si>
    <t>All</t>
  </si>
  <si>
    <t>Less than Primary</t>
  </si>
  <si>
    <t>Complete Primary</t>
  </si>
  <si>
    <t>Complete Secondary</t>
  </si>
  <si>
    <t>Complete Tertiary</t>
  </si>
  <si>
    <t>15-24</t>
  </si>
  <si>
    <t>25-40</t>
  </si>
  <si>
    <t>41-64</t>
  </si>
  <si>
    <t>65+</t>
  </si>
  <si>
    <t>Female</t>
  </si>
  <si>
    <t>Male</t>
  </si>
  <si>
    <t>Not married</t>
  </si>
  <si>
    <t>Married</t>
  </si>
  <si>
    <t>Not catholic</t>
  </si>
  <si>
    <t>Catholic</t>
  </si>
  <si>
    <t>Employer</t>
  </si>
  <si>
    <t>Employee</t>
  </si>
  <si>
    <t>Self-employed</t>
  </si>
  <si>
    <t>Unemployed</t>
  </si>
  <si>
    <t>Argentina</t>
  </si>
  <si>
    <t>Bolivia</t>
  </si>
  <si>
    <t>Brazil</t>
  </si>
  <si>
    <t>Chile</t>
  </si>
  <si>
    <t>Colombia</t>
  </si>
  <si>
    <t>Costa Rica</t>
  </si>
  <si>
    <t>Dominican Rep.</t>
  </si>
  <si>
    <t>Ecuador</t>
  </si>
  <si>
    <t>Guatemala</t>
  </si>
  <si>
    <t>Honduras</t>
  </si>
  <si>
    <t>Mexico</t>
  </si>
  <si>
    <t>Nicaragua</t>
  </si>
  <si>
    <t>Panama</t>
  </si>
  <si>
    <t>Peru</t>
  </si>
  <si>
    <t>Paraguay</t>
  </si>
  <si>
    <t>El Salvador</t>
  </si>
  <si>
    <t>Uruguay</t>
  </si>
  <si>
    <t>Venezuela</t>
  </si>
  <si>
    <t>All</t>
  </si>
  <si>
    <t>Less than Primary</t>
  </si>
  <si>
    <t>Complete Primary</t>
  </si>
  <si>
    <t>Complete Secondary</t>
  </si>
  <si>
    <t>Complete Tertiary</t>
  </si>
  <si>
    <t>15-24</t>
  </si>
  <si>
    <t>25-40</t>
  </si>
  <si>
    <t>41-64</t>
  </si>
  <si>
    <t>65+</t>
  </si>
  <si>
    <t>Female</t>
  </si>
  <si>
    <t>Male</t>
  </si>
  <si>
    <t>Not married</t>
  </si>
  <si>
    <t>Married</t>
  </si>
  <si>
    <t>Not catholic</t>
  </si>
  <si>
    <t>Catholic</t>
  </si>
  <si>
    <t>Employer</t>
  </si>
  <si>
    <t>Employee</t>
  </si>
  <si>
    <t>Self-employed</t>
  </si>
  <si>
    <t>Unemployed</t>
  </si>
  <si>
    <t>Argentina</t>
  </si>
  <si>
    <t>Bolivia</t>
  </si>
  <si>
    <t>Brazil</t>
  </si>
  <si>
    <t>Chile</t>
  </si>
  <si>
    <t>Colombia</t>
  </si>
  <si>
    <t>Costa Rica</t>
  </si>
  <si>
    <t>Dominican Rep.</t>
  </si>
  <si>
    <t>Ecuador</t>
  </si>
  <si>
    <t>Guatemala</t>
  </si>
  <si>
    <t>Honduras</t>
  </si>
  <si>
    <t>Mexico</t>
  </si>
  <si>
    <t>Nicaragua</t>
  </si>
  <si>
    <t>Panama</t>
  </si>
  <si>
    <t>Peru</t>
  </si>
  <si>
    <t>Paraguay</t>
  </si>
  <si>
    <t>El Salvador</t>
  </si>
  <si>
    <t>Uruguay</t>
  </si>
  <si>
    <t>Venezuela</t>
  </si>
  <si>
    <t>All</t>
  </si>
  <si>
    <t>Less than Primary</t>
  </si>
  <si>
    <t>Complete Primary</t>
  </si>
  <si>
    <t>Complete Secondary</t>
  </si>
  <si>
    <t>Complete Tertiary</t>
  </si>
  <si>
    <t>15-24</t>
  </si>
  <si>
    <t>25-40</t>
  </si>
  <si>
    <t>41-64</t>
  </si>
  <si>
    <t>65+</t>
  </si>
  <si>
    <t>Female</t>
  </si>
  <si>
    <t>Male</t>
  </si>
  <si>
    <t>Not married</t>
  </si>
  <si>
    <t>Married</t>
  </si>
  <si>
    <t>Not catholic</t>
  </si>
  <si>
    <t>Catholic</t>
  </si>
  <si>
    <t>Employer</t>
  </si>
  <si>
    <t>Employee</t>
  </si>
  <si>
    <t>Self-employed</t>
  </si>
  <si>
    <t>Unemployed</t>
  </si>
  <si>
    <t>Argentina</t>
  </si>
  <si>
    <t>Bolivia</t>
  </si>
  <si>
    <t>Brazil</t>
  </si>
  <si>
    <t>Chile</t>
  </si>
  <si>
    <t>Colombia</t>
  </si>
  <si>
    <t>Costa Rica</t>
  </si>
  <si>
    <t>Dominican Rep.</t>
  </si>
  <si>
    <t>Ecuador</t>
  </si>
  <si>
    <t>Guatemala</t>
  </si>
  <si>
    <t>Honduras</t>
  </si>
  <si>
    <t>Mexico</t>
  </si>
  <si>
    <t>Nicaragua</t>
  </si>
  <si>
    <t>Panama</t>
  </si>
  <si>
    <t>Peru</t>
  </si>
  <si>
    <t>Paraguay</t>
  </si>
  <si>
    <t>El Salvador</t>
  </si>
  <si>
    <t>Uruguay</t>
  </si>
  <si>
    <t>Venezuela</t>
  </si>
  <si>
    <t>All</t>
  </si>
  <si>
    <t>Less than Primary</t>
  </si>
  <si>
    <t>Complete Primary</t>
  </si>
  <si>
    <t>Complete Secondary</t>
  </si>
  <si>
    <t>Complete Tertiary</t>
  </si>
  <si>
    <t>15-24</t>
  </si>
  <si>
    <t>25-40</t>
  </si>
  <si>
    <t>41-64</t>
  </si>
  <si>
    <t>65+</t>
  </si>
  <si>
    <t>Female</t>
  </si>
  <si>
    <t>Male</t>
  </si>
  <si>
    <t>Not married</t>
  </si>
  <si>
    <t>Married</t>
  </si>
  <si>
    <t>Not catholic</t>
  </si>
  <si>
    <t>Catholic</t>
  </si>
  <si>
    <t>Employer</t>
  </si>
  <si>
    <t>Employee</t>
  </si>
  <si>
    <t>Self-employed</t>
  </si>
  <si>
    <t>Unemployed</t>
  </si>
  <si>
    <t>Argentina</t>
  </si>
  <si>
    <t>Bolivia</t>
  </si>
  <si>
    <t>Brazil</t>
  </si>
  <si>
    <t>Chile</t>
  </si>
  <si>
    <t>Colombia</t>
  </si>
  <si>
    <t>Costa Rica</t>
  </si>
  <si>
    <t>Dominican Rep.</t>
  </si>
  <si>
    <t>Ecuador</t>
  </si>
  <si>
    <t>Guatemala</t>
  </si>
  <si>
    <t>Honduras</t>
  </si>
  <si>
    <t>Mexico</t>
  </si>
  <si>
    <t>Nicaragua</t>
  </si>
  <si>
    <t>Panama</t>
  </si>
  <si>
    <t>Peru</t>
  </si>
  <si>
    <t>Paraguay</t>
  </si>
  <si>
    <t>El Salvador</t>
  </si>
  <si>
    <t>Uruguay</t>
  </si>
  <si>
    <t>Venezuela</t>
  </si>
  <si>
    <t>All</t>
  </si>
  <si>
    <t>Less than Primary</t>
  </si>
  <si>
    <t>Complete Primary</t>
  </si>
  <si>
    <t>Complete Secondary</t>
  </si>
  <si>
    <t>Complete Tertiary</t>
  </si>
  <si>
    <t>15-24</t>
  </si>
  <si>
    <t>25-40</t>
  </si>
  <si>
    <t>41-64</t>
  </si>
  <si>
    <t>65+</t>
  </si>
  <si>
    <t>Female</t>
  </si>
  <si>
    <t>Male</t>
  </si>
  <si>
    <t>Not married</t>
  </si>
  <si>
    <t>Married</t>
  </si>
  <si>
    <t>Not catholic</t>
  </si>
  <si>
    <t>Catholic</t>
  </si>
  <si>
    <t>Employer</t>
  </si>
  <si>
    <t>Employee</t>
  </si>
  <si>
    <t>Self-employed</t>
  </si>
  <si>
    <t>Unemployed</t>
  </si>
  <si>
    <t>Argentina</t>
  </si>
  <si>
    <t>Bolivia</t>
  </si>
  <si>
    <t>Brazil</t>
  </si>
  <si>
    <t>Chile</t>
  </si>
  <si>
    <t>Colombia</t>
  </si>
  <si>
    <t>Costa Rica</t>
  </si>
  <si>
    <t>Dominican Rep.</t>
  </si>
  <si>
    <t>Ecuador</t>
  </si>
  <si>
    <t>Guatemala</t>
  </si>
  <si>
    <t>Honduras</t>
  </si>
  <si>
    <t>Mexico</t>
  </si>
  <si>
    <t>Nicaragua</t>
  </si>
  <si>
    <t>Panama</t>
  </si>
  <si>
    <t>Peru</t>
  </si>
  <si>
    <t>Paraguay</t>
  </si>
  <si>
    <t>El Salvador</t>
  </si>
  <si>
    <t>Uruguay</t>
  </si>
  <si>
    <t>Venezuela</t>
  </si>
  <si>
    <t>All</t>
  </si>
  <si>
    <t>Less than Primary</t>
  </si>
  <si>
    <t>Complete Primary</t>
  </si>
  <si>
    <t>Complete Secondary</t>
  </si>
  <si>
    <t>Complete Tertiary</t>
  </si>
  <si>
    <t>15-24</t>
  </si>
  <si>
    <t>25-40</t>
  </si>
  <si>
    <t>41-64</t>
  </si>
  <si>
    <t>65+</t>
  </si>
  <si>
    <t>Female</t>
  </si>
  <si>
    <t>Male</t>
  </si>
  <si>
    <t>Not married</t>
  </si>
  <si>
    <t>Married</t>
  </si>
  <si>
    <t>Not catholic</t>
  </si>
  <si>
    <t>Catholic</t>
  </si>
  <si>
    <t>Employer</t>
  </si>
  <si>
    <t>Employee</t>
  </si>
  <si>
    <t>Self-employed</t>
  </si>
  <si>
    <t>Unemployed</t>
  </si>
  <si>
    <t>Argentina</t>
  </si>
  <si>
    <t>Bolivia</t>
  </si>
  <si>
    <t>Brazil</t>
  </si>
  <si>
    <t>Chile</t>
  </si>
  <si>
    <t>Colombia</t>
  </si>
  <si>
    <t>Costa Rica</t>
  </si>
  <si>
    <t>Dominican Rep.</t>
  </si>
  <si>
    <t>Ecuador</t>
  </si>
  <si>
    <t>Guatemala</t>
  </si>
  <si>
    <t>Honduras</t>
  </si>
  <si>
    <t>Mexico</t>
  </si>
  <si>
    <t>Nicaragua</t>
  </si>
  <si>
    <t>Panama</t>
  </si>
  <si>
    <t>Peru</t>
  </si>
  <si>
    <t>Paraguay</t>
  </si>
  <si>
    <t>El Salvador</t>
  </si>
  <si>
    <t>Uruguay</t>
  </si>
  <si>
    <t>Venezuela</t>
  </si>
  <si>
    <t>All</t>
  </si>
  <si>
    <t>Less than Primary</t>
  </si>
  <si>
    <t>Complete Primary</t>
  </si>
  <si>
    <t>Complete Secondary</t>
  </si>
  <si>
    <t>Complete Tertiary</t>
  </si>
  <si>
    <t>15-24</t>
  </si>
  <si>
    <t>25-40</t>
  </si>
  <si>
    <t>41-64</t>
  </si>
  <si>
    <t>65+</t>
  </si>
  <si>
    <t>Female</t>
  </si>
  <si>
    <t>Male</t>
  </si>
  <si>
    <t>Not married</t>
  </si>
  <si>
    <t>Married</t>
  </si>
  <si>
    <t>Not catholic</t>
  </si>
  <si>
    <t>Catholic</t>
  </si>
  <si>
    <t>Employer</t>
  </si>
  <si>
    <t>Employee</t>
  </si>
  <si>
    <t>Self-employed</t>
  </si>
  <si>
    <t>Unemployed</t>
  </si>
  <si>
    <t>Argentina</t>
  </si>
  <si>
    <t>Bolivia</t>
  </si>
  <si>
    <t>Brazil</t>
  </si>
  <si>
    <t>Chile</t>
  </si>
  <si>
    <t>Colombia</t>
  </si>
  <si>
    <t>Costa Rica</t>
  </si>
  <si>
    <t>Dominican Rep.</t>
  </si>
  <si>
    <t>Ecuador</t>
  </si>
  <si>
    <t>Guatemala</t>
  </si>
  <si>
    <t>Honduras</t>
  </si>
  <si>
    <t>Mexico</t>
  </si>
  <si>
    <t>Nicaragua</t>
  </si>
  <si>
    <t>Panama</t>
  </si>
  <si>
    <t>Peru</t>
  </si>
  <si>
    <t>Paraguay</t>
  </si>
  <si>
    <t>El Salvador</t>
  </si>
  <si>
    <t>Uruguay</t>
  </si>
  <si>
    <t>Venezuela</t>
  </si>
  <si>
    <t>All</t>
  </si>
  <si>
    <t>Less than Primary</t>
  </si>
  <si>
    <t>Complete Primary</t>
  </si>
  <si>
    <t>Complete Secondary</t>
  </si>
  <si>
    <t>Complete Tertiary</t>
  </si>
  <si>
    <t>15-24</t>
  </si>
  <si>
    <t>25-40</t>
  </si>
  <si>
    <t>41-64</t>
  </si>
  <si>
    <t>65+</t>
  </si>
  <si>
    <t>Female</t>
  </si>
  <si>
    <t>Male</t>
  </si>
  <si>
    <t>Not married</t>
  </si>
  <si>
    <t>Married</t>
  </si>
  <si>
    <t>Not catholic</t>
  </si>
  <si>
    <t>Catholic</t>
  </si>
  <si>
    <t>Employer</t>
  </si>
  <si>
    <t>Employee</t>
  </si>
  <si>
    <t>Self-employed</t>
  </si>
  <si>
    <t>Unemployed</t>
  </si>
  <si>
    <t>Argentina</t>
  </si>
  <si>
    <t>Bolivia</t>
  </si>
  <si>
    <t>Brazil</t>
  </si>
  <si>
    <t>Chile</t>
  </si>
  <si>
    <t>Colombia</t>
  </si>
  <si>
    <t>Costa Rica</t>
  </si>
  <si>
    <t>Dominican Rep.</t>
  </si>
  <si>
    <t>Ecuador</t>
  </si>
  <si>
    <t>Guatemala</t>
  </si>
  <si>
    <t>Honduras</t>
  </si>
  <si>
    <t>Mexico</t>
  </si>
  <si>
    <t>Nicaragua</t>
  </si>
  <si>
    <t>Panama</t>
  </si>
  <si>
    <t>Peru</t>
  </si>
  <si>
    <t>Paraguay</t>
  </si>
  <si>
    <t>El Salvador</t>
  </si>
  <si>
    <t>Uruguay</t>
  </si>
  <si>
    <t>Venezuela</t>
  </si>
  <si>
    <t>All</t>
  </si>
  <si>
    <t>Less than Primary</t>
  </si>
  <si>
    <t>Complete Primary</t>
  </si>
  <si>
    <t>Complete Secondary</t>
  </si>
  <si>
    <t>Complete Tertiary</t>
  </si>
  <si>
    <t>15-24</t>
  </si>
  <si>
    <t>25-40</t>
  </si>
  <si>
    <t>41-64</t>
  </si>
  <si>
    <t>65+</t>
  </si>
  <si>
    <t>Female</t>
  </si>
  <si>
    <t>Male</t>
  </si>
  <si>
    <t>Not married</t>
  </si>
  <si>
    <t>Married</t>
  </si>
  <si>
    <t>Not catholic</t>
  </si>
  <si>
    <t>Catholic</t>
  </si>
  <si>
    <t>Employer</t>
  </si>
  <si>
    <t>Employee</t>
  </si>
  <si>
    <t>Self-employed</t>
  </si>
  <si>
    <t>Unemployed</t>
  </si>
  <si>
    <t>Argentina</t>
  </si>
  <si>
    <t>Bolivia</t>
  </si>
  <si>
    <t>Brazil</t>
  </si>
  <si>
    <t>Chile</t>
  </si>
  <si>
    <t>Colombia</t>
  </si>
  <si>
    <t>Costa Rica</t>
  </si>
  <si>
    <t>Dominican Rep.</t>
  </si>
  <si>
    <t>Ecuador</t>
  </si>
  <si>
    <t>Guatemala</t>
  </si>
  <si>
    <t>Honduras</t>
  </si>
  <si>
    <t>Mexico</t>
  </si>
  <si>
    <t>Nicaragua</t>
  </si>
  <si>
    <t>Panama</t>
  </si>
  <si>
    <t>Peru</t>
  </si>
  <si>
    <t>Paraguay</t>
  </si>
  <si>
    <t>El Salvador</t>
  </si>
  <si>
    <t>Uruguay</t>
  </si>
  <si>
    <t>Venezuela</t>
  </si>
  <si>
    <t>All</t>
  </si>
  <si>
    <t>Less than Primary</t>
  </si>
  <si>
    <t>Complete Primary</t>
  </si>
  <si>
    <t>Complete Secondary</t>
  </si>
  <si>
    <t>Complete Tertiary</t>
  </si>
  <si>
    <t>15-24</t>
  </si>
  <si>
    <t>25-40</t>
  </si>
  <si>
    <t>41-64</t>
  </si>
  <si>
    <t>65+</t>
  </si>
  <si>
    <t>Female</t>
  </si>
  <si>
    <t>Male</t>
  </si>
  <si>
    <t>Not married</t>
  </si>
  <si>
    <t>Married</t>
  </si>
  <si>
    <t>Not catholic</t>
  </si>
  <si>
    <t>Catholic</t>
  </si>
  <si>
    <t>Employer</t>
  </si>
  <si>
    <t>Employee</t>
  </si>
  <si>
    <t>Self-employed</t>
  </si>
  <si>
    <t>Unemployed</t>
  </si>
  <si>
    <t>Argentina</t>
  </si>
  <si>
    <t>Bolivia</t>
  </si>
  <si>
    <t>Brazil</t>
  </si>
  <si>
    <t>Chile</t>
  </si>
  <si>
    <t>Colombia</t>
  </si>
  <si>
    <t>Costa Rica</t>
  </si>
  <si>
    <t>Dominican Rep.</t>
  </si>
  <si>
    <t>Ecuador</t>
  </si>
  <si>
    <t>Guatemala</t>
  </si>
  <si>
    <t>Honduras</t>
  </si>
  <si>
    <t>Mexico</t>
  </si>
  <si>
    <t>Nicaragua</t>
  </si>
  <si>
    <t>Panama</t>
  </si>
  <si>
    <t>Peru</t>
  </si>
  <si>
    <t>Paraguay</t>
  </si>
  <si>
    <t>El Salvador</t>
  </si>
  <si>
    <t>Uruguay</t>
  </si>
  <si>
    <t>Venezuela</t>
  </si>
  <si>
    <t>All</t>
  </si>
  <si>
    <t>Less than Primary</t>
  </si>
  <si>
    <t>Complete Primary</t>
  </si>
  <si>
    <t>Complete Secondary</t>
  </si>
  <si>
    <t>Complete Tertiary</t>
  </si>
  <si>
    <t>15-24</t>
  </si>
  <si>
    <t>25-40</t>
  </si>
  <si>
    <t>41-64</t>
  </si>
  <si>
    <t>65+</t>
  </si>
  <si>
    <t>Female</t>
  </si>
  <si>
    <t>Male</t>
  </si>
  <si>
    <t>Not married</t>
  </si>
  <si>
    <t>Married</t>
  </si>
  <si>
    <t>Not catholic</t>
  </si>
  <si>
    <t>Catholic</t>
  </si>
  <si>
    <t>Employer</t>
  </si>
  <si>
    <t>Employee</t>
  </si>
  <si>
    <t>Self-employed</t>
  </si>
  <si>
    <t>Unemployed</t>
  </si>
  <si>
    <t>Argentina</t>
  </si>
  <si>
    <t>Bolivia</t>
  </si>
  <si>
    <t>Brazil</t>
  </si>
  <si>
    <t>Chile</t>
  </si>
  <si>
    <t>Colombia</t>
  </si>
  <si>
    <t>Costa Rica</t>
  </si>
  <si>
    <t>Dominican Rep.</t>
  </si>
  <si>
    <t>Ecuador</t>
  </si>
  <si>
    <t>Guatemala</t>
  </si>
  <si>
    <t>Honduras</t>
  </si>
  <si>
    <t>Mexico</t>
  </si>
  <si>
    <t>Nicaragua</t>
  </si>
  <si>
    <t>Panama</t>
  </si>
  <si>
    <t>Peru</t>
  </si>
  <si>
    <t>Paraguay</t>
  </si>
  <si>
    <t>El Salvador</t>
  </si>
  <si>
    <t>Uruguay</t>
  </si>
  <si>
    <t>Venezuela</t>
  </si>
  <si>
    <t>All</t>
  </si>
  <si>
    <t>Less than Primary</t>
  </si>
  <si>
    <t>Complete Primary</t>
  </si>
  <si>
    <t>Complete Secondary</t>
  </si>
  <si>
    <t>Complete Tertiary</t>
  </si>
  <si>
    <t>15-24</t>
  </si>
  <si>
    <t>25-40</t>
  </si>
  <si>
    <t>41-64</t>
  </si>
  <si>
    <t>65+</t>
  </si>
  <si>
    <t>Female</t>
  </si>
  <si>
    <t>Male</t>
  </si>
  <si>
    <t>Not married</t>
  </si>
  <si>
    <t>Married</t>
  </si>
  <si>
    <t>Not catholic</t>
  </si>
  <si>
    <t>Catholic</t>
  </si>
  <si>
    <t>Employer</t>
  </si>
  <si>
    <t>Employee</t>
  </si>
  <si>
    <t>Self-employed</t>
  </si>
  <si>
    <t>Unemployed</t>
  </si>
  <si>
    <t>Argentina</t>
  </si>
  <si>
    <t>Bolivia</t>
  </si>
  <si>
    <t>Brazil</t>
  </si>
  <si>
    <t>Chile</t>
  </si>
  <si>
    <t>Colombia</t>
  </si>
  <si>
    <t>Costa Rica</t>
  </si>
  <si>
    <t>Dominican Rep.</t>
  </si>
  <si>
    <t>Ecuador</t>
  </si>
  <si>
    <t>Guatemala</t>
  </si>
  <si>
    <t>Honduras</t>
  </si>
  <si>
    <t>Mexico</t>
  </si>
  <si>
    <t>Nicaragua</t>
  </si>
  <si>
    <t>Panama</t>
  </si>
  <si>
    <t>Peru</t>
  </si>
  <si>
    <t>Paraguay</t>
  </si>
  <si>
    <t>El Salvador</t>
  </si>
  <si>
    <t>Uruguay</t>
  </si>
  <si>
    <t>Venezuela</t>
  </si>
  <si>
    <t>All</t>
  </si>
  <si>
    <t>Less than Primary</t>
  </si>
  <si>
    <t>Complete Primary</t>
  </si>
  <si>
    <t>Complete Secondary</t>
  </si>
  <si>
    <t>Complete Tertiary</t>
  </si>
  <si>
    <t>15-24</t>
  </si>
  <si>
    <t>25-40</t>
  </si>
  <si>
    <t>41-64</t>
  </si>
  <si>
    <t>65+</t>
  </si>
  <si>
    <t>Female</t>
  </si>
  <si>
    <t>Male</t>
  </si>
  <si>
    <t>Not married</t>
  </si>
  <si>
    <t>Married</t>
  </si>
  <si>
    <t>Not catholic</t>
  </si>
  <si>
    <t>Catholic</t>
  </si>
  <si>
    <t>Employer</t>
  </si>
  <si>
    <t>Employee</t>
  </si>
  <si>
    <t>Self-employed</t>
  </si>
  <si>
    <t>Unemployed</t>
  </si>
  <si>
    <t>Argentina</t>
  </si>
  <si>
    <t>Bolivia</t>
  </si>
  <si>
    <t>Brazil</t>
  </si>
  <si>
    <t>Chile</t>
  </si>
  <si>
    <t>Colombia</t>
  </si>
  <si>
    <t>Costa Rica</t>
  </si>
  <si>
    <t>Dominican Rep.</t>
  </si>
  <si>
    <t>Ecuador</t>
  </si>
  <si>
    <t>Guatemala</t>
  </si>
  <si>
    <t>Honduras</t>
  </si>
  <si>
    <t>Mexico</t>
  </si>
  <si>
    <t>Nicaragua</t>
  </si>
  <si>
    <t>Panama</t>
  </si>
  <si>
    <t>Peru</t>
  </si>
  <si>
    <t>Paraguay</t>
  </si>
  <si>
    <t>El Salvador</t>
  </si>
  <si>
    <t>Uruguay</t>
  </si>
  <si>
    <t>Venezuela</t>
  </si>
  <si>
    <t>All</t>
  </si>
  <si>
    <t>Less than Primary</t>
  </si>
  <si>
    <t>Complete Primary</t>
  </si>
  <si>
    <t>Complete Secondary</t>
  </si>
  <si>
    <t>Complete Tertiary</t>
  </si>
  <si>
    <t>15-24</t>
  </si>
  <si>
    <t>25-40</t>
  </si>
  <si>
    <t>41-64</t>
  </si>
  <si>
    <t>65+</t>
  </si>
  <si>
    <t>Female</t>
  </si>
  <si>
    <t>Male</t>
  </si>
  <si>
    <t>Not married</t>
  </si>
  <si>
    <t>Married</t>
  </si>
  <si>
    <t>Not catholic</t>
  </si>
  <si>
    <t>Catholic</t>
  </si>
  <si>
    <t>Employer</t>
  </si>
  <si>
    <t>Employee</t>
  </si>
  <si>
    <t>Self-employed</t>
  </si>
  <si>
    <t>Unemployed</t>
  </si>
  <si>
    <t>Argentina</t>
  </si>
  <si>
    <t>Bolivia</t>
  </si>
  <si>
    <t>Brazil</t>
  </si>
  <si>
    <t>Chile</t>
  </si>
  <si>
    <t>Colombia</t>
  </si>
  <si>
    <t>Costa Rica</t>
  </si>
  <si>
    <t>Dominican Rep.</t>
  </si>
  <si>
    <t>Ecuador</t>
  </si>
  <si>
    <t>Guatemala</t>
  </si>
  <si>
    <t>Honduras</t>
  </si>
  <si>
    <t>Mexico</t>
  </si>
  <si>
    <t>Nicaragua</t>
  </si>
  <si>
    <t>Panama</t>
  </si>
  <si>
    <t>Peru</t>
  </si>
  <si>
    <t>Paraguay</t>
  </si>
  <si>
    <t>El Salvador</t>
  </si>
  <si>
    <t>Uruguay</t>
  </si>
  <si>
    <t>Venezuela</t>
  </si>
  <si>
    <t>All</t>
  </si>
  <si>
    <t>Less than Primary</t>
  </si>
  <si>
    <t>Complete Primary</t>
  </si>
  <si>
    <t>Complete Secondary</t>
  </si>
  <si>
    <t>Complete Tertiary</t>
  </si>
  <si>
    <t>15-24</t>
  </si>
  <si>
    <t>25-40</t>
  </si>
  <si>
    <t>41-64</t>
  </si>
  <si>
    <t>65+</t>
  </si>
  <si>
    <t>Female</t>
  </si>
  <si>
    <t>Male</t>
  </si>
  <si>
    <t>Not married</t>
  </si>
  <si>
    <t>Married</t>
  </si>
  <si>
    <t>Not catholic</t>
  </si>
  <si>
    <t>Catholic</t>
  </si>
  <si>
    <t>Employer</t>
  </si>
  <si>
    <t>Employee</t>
  </si>
  <si>
    <t>Self-employed</t>
  </si>
  <si>
    <t>Unemployed</t>
  </si>
  <si>
    <t>Argentina</t>
  </si>
  <si>
    <t>Bolivia</t>
  </si>
  <si>
    <t>Brazil</t>
  </si>
  <si>
    <t>Chile</t>
  </si>
  <si>
    <t>Colombia</t>
  </si>
  <si>
    <t>Costa Rica</t>
  </si>
  <si>
    <t>Dominican Rep.</t>
  </si>
  <si>
    <t>Ecuador</t>
  </si>
  <si>
    <t>Guatemala</t>
  </si>
  <si>
    <t>Honduras</t>
  </si>
  <si>
    <t>Mexico</t>
  </si>
  <si>
    <t>Nicaragua</t>
  </si>
  <si>
    <t>Panama</t>
  </si>
  <si>
    <t>Peru</t>
  </si>
  <si>
    <t>Paraguay</t>
  </si>
  <si>
    <t>El Salvador</t>
  </si>
  <si>
    <t>Uruguay</t>
  </si>
  <si>
    <t>Venezuela</t>
  </si>
  <si>
    <t>All</t>
  </si>
  <si>
    <t>Less than Primary</t>
  </si>
  <si>
    <t>Complete Primary</t>
  </si>
  <si>
    <t>Complete Secondary</t>
  </si>
  <si>
    <t>Complete Tertiary</t>
  </si>
  <si>
    <t>15-24</t>
  </si>
  <si>
    <t>25-40</t>
  </si>
  <si>
    <t>41-64</t>
  </si>
  <si>
    <t>65+</t>
  </si>
  <si>
    <t>Female</t>
  </si>
  <si>
    <t>Male</t>
  </si>
  <si>
    <t>Not married</t>
  </si>
  <si>
    <t>Married</t>
  </si>
  <si>
    <t>Not catholic</t>
  </si>
  <si>
    <t>Catholic</t>
  </si>
  <si>
    <t>Employer</t>
  </si>
  <si>
    <t>Employee</t>
  </si>
  <si>
    <t>Self-employed</t>
  </si>
  <si>
    <t>Unemployed</t>
  </si>
  <si>
    <t>Argentina</t>
  </si>
  <si>
    <t>Bolivia</t>
  </si>
  <si>
    <t>Brazil</t>
  </si>
  <si>
    <t>Chile</t>
  </si>
  <si>
    <t>Colombia</t>
  </si>
  <si>
    <t>Costa Rica</t>
  </si>
  <si>
    <t>Dominican Rep.</t>
  </si>
  <si>
    <t>Ecuador</t>
  </si>
  <si>
    <t>Guatemala</t>
  </si>
  <si>
    <t>Honduras</t>
  </si>
  <si>
    <t>Mexico</t>
  </si>
  <si>
    <t>Nicaragua</t>
  </si>
  <si>
    <t>Panama</t>
  </si>
  <si>
    <t>Peru</t>
  </si>
  <si>
    <t>Paraguay</t>
  </si>
  <si>
    <t>El Salvador</t>
  </si>
  <si>
    <t>Uruguay</t>
  </si>
  <si>
    <t>Venezuela</t>
  </si>
  <si>
    <t>All</t>
  </si>
  <si>
    <t>Less than Primary</t>
  </si>
  <si>
    <t>Complete Primary</t>
  </si>
  <si>
    <t>Complete Secondary</t>
  </si>
  <si>
    <t>Complete Tertiary</t>
  </si>
  <si>
    <t>15-24</t>
  </si>
  <si>
    <t>25-40</t>
  </si>
  <si>
    <t>41-64</t>
  </si>
  <si>
    <t>65+</t>
  </si>
  <si>
    <t>Female</t>
  </si>
  <si>
    <t>Male</t>
  </si>
  <si>
    <t>Not married</t>
  </si>
  <si>
    <t>Married</t>
  </si>
  <si>
    <t>Not catholic</t>
  </si>
  <si>
    <t>Catholic</t>
  </si>
  <si>
    <t>Employer</t>
  </si>
  <si>
    <t>Employee</t>
  </si>
  <si>
    <t>Self-employed</t>
  </si>
  <si>
    <t>Unemployed</t>
  </si>
  <si>
    <t>Argentina</t>
  </si>
  <si>
    <t>Bolivia</t>
  </si>
  <si>
    <t>Brazil</t>
  </si>
  <si>
    <t>Chile</t>
  </si>
  <si>
    <t>Colombia</t>
  </si>
  <si>
    <t>Costa Rica</t>
  </si>
  <si>
    <t>Dominican Rep.</t>
  </si>
  <si>
    <t>Ecuador</t>
  </si>
  <si>
    <t>Guatemala</t>
  </si>
  <si>
    <t>Honduras</t>
  </si>
  <si>
    <t>Mexico</t>
  </si>
  <si>
    <t>Nicaragua</t>
  </si>
  <si>
    <t>Panama</t>
  </si>
  <si>
    <t>Peru</t>
  </si>
  <si>
    <t>Paraguay</t>
  </si>
  <si>
    <t>El Salvador</t>
  </si>
  <si>
    <t>Uruguay</t>
  </si>
  <si>
    <t>Venezuela</t>
  </si>
  <si>
    <t>All</t>
  </si>
  <si>
    <t>Less than Primary</t>
  </si>
  <si>
    <t>Complete Primary</t>
  </si>
  <si>
    <t>Complete Secondary</t>
  </si>
  <si>
    <t>Complete Tertiary</t>
  </si>
  <si>
    <t>15-24</t>
  </si>
  <si>
    <t>25-40</t>
  </si>
  <si>
    <t>41-64</t>
  </si>
  <si>
    <t>65+</t>
  </si>
  <si>
    <t>Female</t>
  </si>
  <si>
    <t>Male</t>
  </si>
  <si>
    <t>Not married</t>
  </si>
  <si>
    <t>Married</t>
  </si>
  <si>
    <t>Not catholic</t>
  </si>
  <si>
    <t>Catholic</t>
  </si>
  <si>
    <t>Employer</t>
  </si>
  <si>
    <t>Employee</t>
  </si>
  <si>
    <t>Self-employed</t>
  </si>
  <si>
    <t>Unemployed</t>
  </si>
  <si>
    <t>Argentina</t>
  </si>
  <si>
    <t>Bolivia</t>
  </si>
  <si>
    <t>Brazil</t>
  </si>
  <si>
    <t>Chile</t>
  </si>
  <si>
    <t>Colombia</t>
  </si>
  <si>
    <t>Costa Rica</t>
  </si>
  <si>
    <t>Dominican Rep.</t>
  </si>
  <si>
    <t>Ecuador</t>
  </si>
  <si>
    <t>Guatemala</t>
  </si>
  <si>
    <t>Honduras</t>
  </si>
  <si>
    <t>Mexico</t>
  </si>
  <si>
    <t>Nicaragua</t>
  </si>
  <si>
    <t>Panama</t>
  </si>
  <si>
    <t>Peru</t>
  </si>
  <si>
    <t>Paraguay</t>
  </si>
  <si>
    <t>El Salvador</t>
  </si>
  <si>
    <t>Uruguay</t>
  </si>
  <si>
    <t>Venezuela</t>
  </si>
  <si>
    <t>All</t>
  </si>
  <si>
    <t>Less than Primary</t>
  </si>
  <si>
    <t>Complete Primary</t>
  </si>
  <si>
    <t>Complete Secondary</t>
  </si>
  <si>
    <t>Complete Tertiary</t>
  </si>
  <si>
    <t>15-24</t>
  </si>
  <si>
    <t>25-40</t>
  </si>
  <si>
    <t>41-64</t>
  </si>
  <si>
    <t>65+</t>
  </si>
  <si>
    <t>Female</t>
  </si>
  <si>
    <t>Male</t>
  </si>
  <si>
    <t>Not married</t>
  </si>
  <si>
    <t>Married</t>
  </si>
  <si>
    <t>Not catholic</t>
  </si>
  <si>
    <t>Catholic</t>
  </si>
  <si>
    <t>Employer</t>
  </si>
  <si>
    <t>Employee</t>
  </si>
  <si>
    <t>Self-employed</t>
  </si>
  <si>
    <t>Unemployed</t>
  </si>
  <si>
    <t>Argentina</t>
  </si>
  <si>
    <t>Bolivia</t>
  </si>
  <si>
    <t>Brazil</t>
  </si>
  <si>
    <t>Chile</t>
  </si>
  <si>
    <t>Colombia</t>
  </si>
  <si>
    <t>Costa Rica</t>
  </si>
  <si>
    <t>Dominican Rep.</t>
  </si>
  <si>
    <t>Ecuador</t>
  </si>
  <si>
    <t>Guatemala</t>
  </si>
  <si>
    <t>Honduras</t>
  </si>
  <si>
    <t>Mexico</t>
  </si>
  <si>
    <t>Nicaragua</t>
  </si>
  <si>
    <t>Panama</t>
  </si>
  <si>
    <t>Peru</t>
  </si>
  <si>
    <t>Paraguay</t>
  </si>
  <si>
    <t>El Salvador</t>
  </si>
  <si>
    <t>Uruguay</t>
  </si>
  <si>
    <t>Venezuela</t>
  </si>
  <si>
    <t>All</t>
  </si>
  <si>
    <t>Less than Primary</t>
  </si>
  <si>
    <t>Complete Primary</t>
  </si>
  <si>
    <t>Complete Secondary</t>
  </si>
  <si>
    <t>Complete Tertiary</t>
  </si>
  <si>
    <t>15-24</t>
  </si>
  <si>
    <t>25-40</t>
  </si>
  <si>
    <t>41-64</t>
  </si>
  <si>
    <t>65+</t>
  </si>
  <si>
    <t>Female</t>
  </si>
  <si>
    <t>Male</t>
  </si>
  <si>
    <t>Not married</t>
  </si>
  <si>
    <t>Married</t>
  </si>
  <si>
    <t>Not catholic</t>
  </si>
  <si>
    <t>Catholic</t>
  </si>
  <si>
    <t>Employer</t>
  </si>
  <si>
    <t>Employee</t>
  </si>
  <si>
    <t>Self-employed</t>
  </si>
  <si>
    <t>Unemployed</t>
  </si>
  <si>
    <t>Argentina</t>
  </si>
  <si>
    <t>Bolivia</t>
  </si>
  <si>
    <t>Brazil</t>
  </si>
  <si>
    <t>Chile</t>
  </si>
  <si>
    <t>Colombia</t>
  </si>
  <si>
    <t>Costa Rica</t>
  </si>
  <si>
    <t>Dominican Rep.</t>
  </si>
  <si>
    <t>Ecuador</t>
  </si>
  <si>
    <t>Guatemala</t>
  </si>
  <si>
    <t>Honduras</t>
  </si>
  <si>
    <t>Mexico</t>
  </si>
  <si>
    <t>Nicaragua</t>
  </si>
  <si>
    <t>Panama</t>
  </si>
  <si>
    <t>Peru</t>
  </si>
  <si>
    <t>Paraguay</t>
  </si>
  <si>
    <t>El Salvador</t>
  </si>
  <si>
    <t>Uruguay</t>
  </si>
  <si>
    <t>Venezuela</t>
  </si>
  <si>
    <t>All</t>
  </si>
  <si>
    <t>Less than Primary</t>
  </si>
  <si>
    <t>Complete Primary</t>
  </si>
  <si>
    <t>Complete Secondary</t>
  </si>
  <si>
    <t>Complete Tertiary</t>
  </si>
  <si>
    <t>15-24</t>
  </si>
  <si>
    <t>25-40</t>
  </si>
  <si>
    <t>41-64</t>
  </si>
  <si>
    <t>65+</t>
  </si>
  <si>
    <t>Female</t>
  </si>
  <si>
    <t>Male</t>
  </si>
  <si>
    <t>Not married</t>
  </si>
  <si>
    <t>Married</t>
  </si>
  <si>
    <t>Not catholic</t>
  </si>
  <si>
    <t>Catholic</t>
  </si>
  <si>
    <t>Employer</t>
  </si>
  <si>
    <t>Employee</t>
  </si>
  <si>
    <t>Self-employed</t>
  </si>
  <si>
    <t>Unemployed</t>
  </si>
  <si>
    <t>Argentina</t>
  </si>
  <si>
    <t>Bolivia</t>
  </si>
  <si>
    <t>Brazil</t>
  </si>
  <si>
    <t>Chile</t>
  </si>
  <si>
    <t>Colombia</t>
  </si>
  <si>
    <t>Costa Rica</t>
  </si>
  <si>
    <t>Dominican Rep.</t>
  </si>
  <si>
    <t>Ecuador</t>
  </si>
  <si>
    <t>Guatemala</t>
  </si>
  <si>
    <t>Honduras</t>
  </si>
  <si>
    <t>Mexico</t>
  </si>
  <si>
    <t>Nicaragua</t>
  </si>
  <si>
    <t>Panama</t>
  </si>
  <si>
    <t>Peru</t>
  </si>
  <si>
    <t>Paraguay</t>
  </si>
  <si>
    <t>El Salvador</t>
  </si>
  <si>
    <t>Uruguay</t>
  </si>
  <si>
    <t>Venezuela</t>
  </si>
  <si>
    <t>All</t>
  </si>
  <si>
    <t>Less than Primary</t>
  </si>
  <si>
    <t>Complete Primary</t>
  </si>
  <si>
    <t>Complete Secondary</t>
  </si>
  <si>
    <t>Complete Tertiary</t>
  </si>
  <si>
    <t>15-24</t>
  </si>
  <si>
    <t>25-40</t>
  </si>
  <si>
    <t>41-64</t>
  </si>
  <si>
    <t>65+</t>
  </si>
  <si>
    <t>Female</t>
  </si>
  <si>
    <t>Male</t>
  </si>
  <si>
    <t>Not married</t>
  </si>
  <si>
    <t>Married</t>
  </si>
  <si>
    <t>Not catholic</t>
  </si>
  <si>
    <t>Catholic</t>
  </si>
  <si>
    <t>Employer</t>
  </si>
  <si>
    <t>Employee</t>
  </si>
  <si>
    <t>Self-employed</t>
  </si>
  <si>
    <t>Unemployed</t>
  </si>
  <si>
    <t>Argentina</t>
  </si>
  <si>
    <t>Bolivia</t>
  </si>
  <si>
    <t>Brazil</t>
  </si>
  <si>
    <t>Chile</t>
  </si>
  <si>
    <t>Colombia</t>
  </si>
  <si>
    <t>Costa Rica</t>
  </si>
  <si>
    <t>Dominican Rep.</t>
  </si>
  <si>
    <t>Ecuador</t>
  </si>
  <si>
    <t>Guatemala</t>
  </si>
  <si>
    <t>Honduras</t>
  </si>
  <si>
    <t>Mexico</t>
  </si>
  <si>
    <t>Nicaragua</t>
  </si>
  <si>
    <t>Panama</t>
  </si>
  <si>
    <t>Peru</t>
  </si>
  <si>
    <t>Paraguay</t>
  </si>
  <si>
    <t>El Salvador</t>
  </si>
  <si>
    <t>Uruguay</t>
  </si>
  <si>
    <t>Venezuela</t>
  </si>
  <si>
    <t>All</t>
  </si>
  <si>
    <t>Less than Primary</t>
  </si>
  <si>
    <t>Complete Primary</t>
  </si>
  <si>
    <t>Complete Secondary</t>
  </si>
  <si>
    <t>Complete Tertiary</t>
  </si>
  <si>
    <t>15-24</t>
  </si>
  <si>
    <t>25-40</t>
  </si>
  <si>
    <t>41-64</t>
  </si>
  <si>
    <t>65+</t>
  </si>
  <si>
    <t>Female</t>
  </si>
  <si>
    <t>Male</t>
  </si>
  <si>
    <t>Not married</t>
  </si>
  <si>
    <t>Married</t>
  </si>
  <si>
    <t>Not catholic</t>
  </si>
  <si>
    <t>Catholic</t>
  </si>
  <si>
    <t>Employer</t>
  </si>
  <si>
    <t>Employee</t>
  </si>
  <si>
    <t>Self-employed</t>
  </si>
  <si>
    <t>Unemployed</t>
  </si>
  <si>
    <t>Argentina</t>
  </si>
  <si>
    <t>Bolivia</t>
  </si>
  <si>
    <t>Brazil</t>
  </si>
  <si>
    <t>Chile</t>
  </si>
  <si>
    <t>Colombia</t>
  </si>
  <si>
    <t>Costa Rica</t>
  </si>
  <si>
    <t>Dominican Rep.</t>
  </si>
  <si>
    <t>Ecuador</t>
  </si>
  <si>
    <t>Guatemala</t>
  </si>
  <si>
    <t>Honduras</t>
  </si>
  <si>
    <t>Mexico</t>
  </si>
  <si>
    <t>Nicaragua</t>
  </si>
  <si>
    <t>Panama</t>
  </si>
  <si>
    <t>Peru</t>
  </si>
  <si>
    <t>Paraguay</t>
  </si>
  <si>
    <t>El Salvador</t>
  </si>
  <si>
    <t>Uruguay</t>
  </si>
  <si>
    <t>Venezuela</t>
  </si>
  <si>
    <t>All</t>
  </si>
  <si>
    <t>Less than Primary</t>
  </si>
  <si>
    <t>Complete Primary</t>
  </si>
  <si>
    <t>Complete Secondary</t>
  </si>
  <si>
    <t>Complete Tertiary</t>
  </si>
  <si>
    <t>15-24</t>
  </si>
  <si>
    <t>25-40</t>
  </si>
  <si>
    <t>41-64</t>
  </si>
  <si>
    <t>65+</t>
  </si>
  <si>
    <t>Female</t>
  </si>
  <si>
    <t>Male</t>
  </si>
  <si>
    <t>Not married</t>
  </si>
  <si>
    <t>Married</t>
  </si>
  <si>
    <t>Not catholic</t>
  </si>
  <si>
    <t>Catholic</t>
  </si>
  <si>
    <t>Employer</t>
  </si>
  <si>
    <t>Employee</t>
  </si>
  <si>
    <t>Self-employed</t>
  </si>
  <si>
    <t>Unemployed</t>
  </si>
  <si>
    <t>Argentina</t>
  </si>
  <si>
    <t>Bolivia</t>
  </si>
  <si>
    <t>Brazil</t>
  </si>
  <si>
    <t>Chile</t>
  </si>
  <si>
    <t>Colombia</t>
  </si>
  <si>
    <t>Costa Rica</t>
  </si>
  <si>
    <t>Dominican Rep.</t>
  </si>
  <si>
    <t>Ecuador</t>
  </si>
  <si>
    <t>Guatemala</t>
  </si>
  <si>
    <t>Honduras</t>
  </si>
  <si>
    <t>Mexico</t>
  </si>
  <si>
    <t>Nicaragua</t>
  </si>
  <si>
    <t>Panama</t>
  </si>
  <si>
    <t>Peru</t>
  </si>
  <si>
    <t>Paraguay</t>
  </si>
  <si>
    <t>El Salvador</t>
  </si>
  <si>
    <t>Uruguay</t>
  </si>
  <si>
    <t>Venezuela</t>
  </si>
  <si>
    <t>All</t>
  </si>
  <si>
    <t>Less than Primary</t>
  </si>
  <si>
    <t>Complete Primary</t>
  </si>
  <si>
    <t>Complete Secondary</t>
  </si>
  <si>
    <t>Complete Tertiary</t>
  </si>
  <si>
    <t>15-24</t>
  </si>
  <si>
    <t>25-40</t>
  </si>
  <si>
    <t>41-64</t>
  </si>
  <si>
    <t>65+</t>
  </si>
  <si>
    <t>Female</t>
  </si>
  <si>
    <t>Male</t>
  </si>
  <si>
    <t>Not married</t>
  </si>
  <si>
    <t>Married</t>
  </si>
  <si>
    <t>Not catholic</t>
  </si>
  <si>
    <t>Catholic</t>
  </si>
  <si>
    <t>Employer</t>
  </si>
  <si>
    <t>Employee</t>
  </si>
  <si>
    <t>Self-employed</t>
  </si>
  <si>
    <t>Unemployed</t>
  </si>
  <si>
    <t>Argentina</t>
  </si>
  <si>
    <t>Bolivia</t>
  </si>
  <si>
    <t>Brazil</t>
  </si>
  <si>
    <t>Chile</t>
  </si>
  <si>
    <t>Colombia</t>
  </si>
  <si>
    <t>Costa Rica</t>
  </si>
  <si>
    <t>Dominican Rep.</t>
  </si>
  <si>
    <t>Ecuador</t>
  </si>
  <si>
    <t>Guatemala</t>
  </si>
  <si>
    <t>Honduras</t>
  </si>
  <si>
    <t>Mexico</t>
  </si>
  <si>
    <t>Nicaragua</t>
  </si>
  <si>
    <t>Panama</t>
  </si>
  <si>
    <t>Peru</t>
  </si>
  <si>
    <t>Paraguay</t>
  </si>
  <si>
    <t>El Salvador</t>
  </si>
  <si>
    <t>Uruguay</t>
  </si>
  <si>
    <t>Venezuela</t>
  </si>
  <si>
    <t>All</t>
  </si>
  <si>
    <t>Less than Primary</t>
  </si>
  <si>
    <t>Complete Primary</t>
  </si>
  <si>
    <t>Complete Secondary</t>
  </si>
  <si>
    <t>Complete Tertiary</t>
  </si>
  <si>
    <t>15-24</t>
  </si>
  <si>
    <t>25-40</t>
  </si>
  <si>
    <t>41-64</t>
  </si>
  <si>
    <t>65+</t>
  </si>
  <si>
    <t>Female</t>
  </si>
  <si>
    <t>Male</t>
  </si>
  <si>
    <t>Not married</t>
  </si>
  <si>
    <t>Married</t>
  </si>
  <si>
    <t>Not catholic</t>
  </si>
  <si>
    <t>Catholic</t>
  </si>
  <si>
    <t>Employer</t>
  </si>
  <si>
    <t>Employee</t>
  </si>
  <si>
    <t>Self-employed</t>
  </si>
  <si>
    <t>Unemployed</t>
  </si>
  <si>
    <t>Argentina</t>
  </si>
  <si>
    <t>Bolivia</t>
  </si>
  <si>
    <t>Brazil</t>
  </si>
  <si>
    <t>Chile</t>
  </si>
  <si>
    <t>Colombia</t>
  </si>
  <si>
    <t>Costa Rica</t>
  </si>
  <si>
    <t>Dominican Rep.</t>
  </si>
  <si>
    <t>Ecuador</t>
  </si>
  <si>
    <t>Guatemala</t>
  </si>
  <si>
    <t>Honduras</t>
  </si>
  <si>
    <t>Mexico</t>
  </si>
  <si>
    <t>Nicaragua</t>
  </si>
  <si>
    <t>Panama</t>
  </si>
  <si>
    <t>Peru</t>
  </si>
  <si>
    <t>Paraguay</t>
  </si>
  <si>
    <t>El Salvador</t>
  </si>
  <si>
    <t>Uruguay</t>
  </si>
  <si>
    <t>Venezuela</t>
  </si>
  <si>
    <t>All</t>
  </si>
  <si>
    <t>Less than Primary</t>
  </si>
  <si>
    <t>Complete Primary</t>
  </si>
  <si>
    <t>Complete Secondary</t>
  </si>
  <si>
    <t>Complete Tertiary</t>
  </si>
  <si>
    <t>15-24</t>
  </si>
  <si>
    <t>25-40</t>
  </si>
  <si>
    <t>41-64</t>
  </si>
  <si>
    <t>65+</t>
  </si>
  <si>
    <t>Female</t>
  </si>
  <si>
    <t>Male</t>
  </si>
  <si>
    <t>Not married</t>
  </si>
  <si>
    <t>Married</t>
  </si>
  <si>
    <t>Not catholic</t>
  </si>
  <si>
    <t>Catholic</t>
  </si>
  <si>
    <t>Employer</t>
  </si>
  <si>
    <t>Employee</t>
  </si>
  <si>
    <t>Self-employed</t>
  </si>
  <si>
    <t>Unemployed</t>
  </si>
  <si>
    <t>Argentina</t>
  </si>
  <si>
    <t>Bolivia</t>
  </si>
  <si>
    <t>Brazil</t>
  </si>
  <si>
    <t>Chile</t>
  </si>
  <si>
    <t>Colombia</t>
  </si>
  <si>
    <t>Costa Rica</t>
  </si>
  <si>
    <t>Dominican Rep.</t>
  </si>
  <si>
    <t>Ecuador</t>
  </si>
  <si>
    <t>Guatemala</t>
  </si>
  <si>
    <t>Honduras</t>
  </si>
  <si>
    <t>Mexico</t>
  </si>
  <si>
    <t>Nicaragua</t>
  </si>
  <si>
    <t>Panama</t>
  </si>
  <si>
    <t>Peru</t>
  </si>
  <si>
    <t>Paraguay</t>
  </si>
  <si>
    <t>El Salvador</t>
  </si>
  <si>
    <t>Uruguay</t>
  </si>
  <si>
    <t>Venezuela</t>
  </si>
  <si>
    <t>Class</t>
  </si>
  <si>
    <t>Very unfair</t>
  </si>
  <si>
    <t>Unfair</t>
  </si>
  <si>
    <t>Fair</t>
  </si>
  <si>
    <t>Very fair</t>
  </si>
  <si>
    <t>Very unfair</t>
  </si>
  <si>
    <t>Unfair</t>
  </si>
  <si>
    <t>Fair</t>
  </si>
  <si>
    <t>Very fair</t>
  </si>
  <si>
    <t>Very unfair</t>
  </si>
  <si>
    <t>Unfair</t>
  </si>
  <si>
    <t>Fair</t>
  </si>
  <si>
    <t>Very fair</t>
  </si>
  <si>
    <t>Very unfair</t>
  </si>
  <si>
    <t>Unfair</t>
  </si>
  <si>
    <t>Fair</t>
  </si>
  <si>
    <t>Very fair</t>
  </si>
  <si>
    <t>Very unfair</t>
  </si>
  <si>
    <t>Unfair</t>
  </si>
  <si>
    <t>Fair</t>
  </si>
  <si>
    <t>Very fair</t>
  </si>
  <si>
    <t>Very unfair</t>
  </si>
  <si>
    <t>Unfair</t>
  </si>
  <si>
    <t>Fair</t>
  </si>
  <si>
    <t>Very fair</t>
  </si>
  <si>
    <t>Very unfair</t>
  </si>
  <si>
    <t>Unfair</t>
  </si>
  <si>
    <t>Fair</t>
  </si>
  <si>
    <t>Very fair</t>
  </si>
  <si>
    <t>Very unfair</t>
  </si>
  <si>
    <t>Unfair</t>
  </si>
  <si>
    <t>Fair</t>
  </si>
  <si>
    <t>Very fair</t>
  </si>
  <si>
    <t>Very unfair</t>
  </si>
  <si>
    <t>Unfair</t>
  </si>
  <si>
    <t>Fair</t>
  </si>
  <si>
    <t>Very fair</t>
  </si>
  <si>
    <t>Very unfair</t>
  </si>
  <si>
    <t>Unfair</t>
  </si>
  <si>
    <t>Fair</t>
  </si>
  <si>
    <t>Very fair</t>
  </si>
  <si>
    <t>Percent</t>
  </si>
  <si>
    <t>variable</t>
  </si>
  <si>
    <t>agua_potable</t>
  </si>
  <si>
    <t>alfabeto</t>
  </si>
  <si>
    <t>all</t>
  </si>
  <si>
    <t>auto</t>
  </si>
  <si>
    <t>casado</t>
  </si>
  <si>
    <t>catolico</t>
  </si>
  <si>
    <t>celular</t>
  </si>
  <si>
    <t>class</t>
  </si>
  <si>
    <t>cloaca</t>
  </si>
  <si>
    <t>comida</t>
  </si>
  <si>
    <t>computadora</t>
  </si>
  <si>
    <t>derecha</t>
  </si>
  <si>
    <t>desocupa</t>
  </si>
  <si>
    <t>distribucion_justa</t>
  </si>
  <si>
    <t>distrito</t>
  </si>
  <si>
    <t>edad</t>
  </si>
  <si>
    <t>edad2</t>
  </si>
  <si>
    <t>fair</t>
  </si>
  <si>
    <t>gedad</t>
  </si>
  <si>
    <t>heladera</t>
  </si>
  <si>
    <t>hombre</t>
  </si>
  <si>
    <t>id_region</t>
  </si>
  <si>
    <t>ideology</t>
  </si>
  <si>
    <t>lavarropas</t>
  </si>
  <si>
    <t>maxedu</t>
  </si>
  <si>
    <t>maxedu_padre</t>
  </si>
  <si>
    <t>miembros</t>
  </si>
  <si>
    <t>mobility_edu</t>
  </si>
  <si>
    <t>mobility_personal</t>
  </si>
  <si>
    <t>negative_outlook</t>
  </si>
  <si>
    <t>noticias</t>
  </si>
  <si>
    <t>ocupado</t>
  </si>
  <si>
    <t>pais_futuro</t>
  </si>
  <si>
    <t>pais_pasado</t>
  </si>
  <si>
    <t>pais_presente</t>
  </si>
  <si>
    <t>pea</t>
  </si>
  <si>
    <t>peor_problema</t>
  </si>
  <si>
    <t>personal_futuro</t>
  </si>
  <si>
    <t>personal_pasado</t>
  </si>
  <si>
    <t>personal_presente</t>
  </si>
  <si>
    <t>pol_boicot</t>
  </si>
  <si>
    <t>pol_disturbios</t>
  </si>
  <si>
    <t>pol_evadir</t>
  </si>
  <si>
    <t>pol_media</t>
  </si>
  <si>
    <t>pol_ocupa</t>
  </si>
  <si>
    <t>pol_peticion</t>
  </si>
  <si>
    <t>pol_piquete</t>
  </si>
  <si>
    <t>pol_protestaileg</t>
  </si>
  <si>
    <t>pol_protestaleg</t>
  </si>
  <si>
    <t>pol_redessoc</t>
  </si>
  <si>
    <t>pondera</t>
  </si>
  <si>
    <t>positive_outlook</t>
  </si>
  <si>
    <t>progreso_pais</t>
  </si>
  <si>
    <t>propieta</t>
  </si>
  <si>
    <t>protesta_democracia</t>
  </si>
  <si>
    <t>protesta_educacion</t>
  </si>
  <si>
    <t>protesta_naturaleza</t>
  </si>
  <si>
    <t>protesta_trabajo</t>
  </si>
  <si>
    <t>raza</t>
  </si>
  <si>
    <t>relab</t>
  </si>
  <si>
    <t>riqueza_justa</t>
  </si>
  <si>
    <t>secondary</t>
  </si>
  <si>
    <t>secondary_padre</t>
  </si>
  <si>
    <t>telefono</t>
  </si>
  <si>
    <t>telefono_fijo</t>
  </si>
  <si>
    <t>yr1997</t>
  </si>
  <si>
    <t>yr2001</t>
  </si>
  <si>
    <t>yr2002</t>
  </si>
  <si>
    <t>yr2007</t>
  </si>
  <si>
    <t>yr2009</t>
  </si>
  <si>
    <t>yr2010</t>
  </si>
  <si>
    <t>yr2011</t>
  </si>
  <si>
    <t>yr2013</t>
  </si>
  <si>
    <t>yr2015</t>
  </si>
  <si>
    <t>Category</t>
  </si>
  <si>
    <t>Access to services</t>
  </si>
  <si>
    <t>Asset ownership</t>
  </si>
  <si>
    <t>Education and Labor market</t>
  </si>
  <si>
    <t>Socio-demographic</t>
  </si>
  <si>
    <t>Variable</t>
  </si>
  <si>
    <t>Access to a sewage (%)</t>
  </si>
  <si>
    <t>Access to running water (%)</t>
  </si>
  <si>
    <t>Assets index</t>
  </si>
  <si>
    <t>Car (%)</t>
  </si>
  <si>
    <t>Computer (%)</t>
  </si>
  <si>
    <t>Fridge (%)</t>
  </si>
  <si>
    <t>Homeowner (%)</t>
  </si>
  <si>
    <t>Ideology (10 = right-wing)</t>
  </si>
  <si>
    <t>Landline (%)</t>
  </si>
  <si>
    <t>Mobile (%)</t>
  </si>
  <si>
    <t>Washing machine (%)</t>
  </si>
  <si>
    <t>Economically active (%)</t>
  </si>
  <si>
    <t>Literate (%)</t>
  </si>
  <si>
    <t>Parents with secondary education (%)</t>
  </si>
  <si>
    <t>Secondary education or more (%)</t>
  </si>
  <si>
    <t>Unemployed (% Labor Force)</t>
  </si>
  <si>
    <t>Age</t>
  </si>
  <si>
    <t>Catholic religion (%)</t>
  </si>
  <si>
    <t>Male (%)</t>
  </si>
  <si>
    <t>Married or civil union (%)</t>
  </si>
  <si>
    <t>Obs</t>
  </si>
  <si>
    <t>Mean</t>
  </si>
  <si>
    <t>Std_Dev</t>
  </si>
  <si>
    <t>gini_lel</t>
  </si>
  <si>
    <t>Sum of Standard_Error_Reg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</si>
</sst>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.0_);_(* \(#,##0.0\);_(* &quot;-&quot;??_);_(@_)"/>
    <numFmt numFmtId="165" formatCode="0.000"/>
    <numFmt numFmtId="166" formatCode="0.0"/>
    <numFmt numFmtId="167" formatCode="_(* #,##0_);_(* \(#,##0\);_(* &quot;-&quot;??_);_(@_)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</font>
    <font>
      <b/>
      <sz val="11"/>
      <name val="Calibri"/>
      <family val="2"/>
    </font>
    <font>
      <sz val="10"/>
      <name val="Arial"/>
      <family val="2"/>
    </font>
    <font>
      <sz val="11"/>
      <color theme="0" tint="-0.14999847407452621"/>
      <name val="Calibri"/>
      <family val="2"/>
    </font>
    <font>
      <sz val="11"/>
      <color theme="1"/>
      <name val="Bell MT"/>
      <family val="1"/>
    </font>
    <font>
      <i/>
      <sz val="11"/>
      <color theme="1"/>
      <name val="Bell MT"/>
      <family val="1"/>
    </font>
    <font>
      <sz val="11"/>
      <name val="Bell MT"/>
      <family val="1"/>
    </font>
    <font>
      <i/>
      <sz val="12"/>
      <name val="Bell MT"/>
      <family val="1"/>
    </font>
    <font>
      <sz val="12"/>
      <name val="Bell MT"/>
      <family val="1"/>
    </font>
    <font>
      <b/>
      <sz val="11"/>
      <color theme="1"/>
      <name val="Calibri"/>
      <family val="2"/>
      <scheme val="minor"/>
    </font>
    <font>
      <sz val="12"/>
      <name val="Calibri"/>
      <family val="2"/>
    </font>
    <font>
      <sz val="11"/>
      <color rgb="FFFF0000"/>
      <name val="Calibri"/>
      <family val="2"/>
    </font>
    <font>
      <sz val="11"/>
      <color theme="5"/>
      <name val="Calibri"/>
      <family val="2"/>
    </font>
    <font>
      <sz val="11"/>
      <color theme="6"/>
      <name val="Calibri"/>
      <family val="2"/>
    </font>
    <font>
      <sz val="11"/>
      <color theme="4"/>
      <name val="Calibri"/>
      <family val="2"/>
    </font>
    <font>
      <b/>
      <sz val="12"/>
      <name val="Bell MT"/>
      <family val="1"/>
    </font>
    <font>
      <sz val="11"/>
      <color theme="0" tint="-0.24994659260841701"/>
      <name val="Calibri"/>
      <family val="2"/>
    </font>
    <font>
      <sz val="12"/>
      <color theme="1"/>
      <name val="Bell MT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-0.24994659260841701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21"/>
        <bgColor indexed="64"/>
      </patternFill>
    </fill>
  </fills>
  <borders count="20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/>
      <bottom/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6" fillId="0" borderId="0"/>
    <xf numFmtId="9" fontId="6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2" fillId="0" borderId="0" applyFont="0" applyFill="0" applyBorder="0" applyAlignment="0" applyProtection="0"/>
  </cellStyleXfs>
  <cellXfs count="144">
    <xf numFmtId="0" fontId="0" fillId="0" borderId="0" xfId="0"/>
    <xf numFmtId="43" fontId="0" fillId="0" borderId="0" xfId="1" applyFont="1"/>
    <xf numFmtId="0" fontId="7" fillId="0" borderId="0" xfId="2" applyFont="1" applyAlignment="1">
      <alignment horizontal="center"/>
    </xf>
    <xf numFmtId="2" fontId="7" fillId="0" borderId="0" xfId="2" applyNumberFormat="1" applyFont="1" applyFill="1" applyAlignment="1">
      <alignment horizontal="center"/>
    </xf>
    <xf numFmtId="43" fontId="0" fillId="2" borderId="0" xfId="1" applyFont="1" applyFill="1"/>
    <xf numFmtId="165" fontId="0" fillId="0" borderId="0" xfId="1" applyNumberFormat="1" applyFont="1"/>
    <xf numFmtId="2" fontId="0" fillId="0" borderId="0" xfId="1" applyNumberFormat="1" applyFont="1"/>
    <xf numFmtId="2" fontId="2" fillId="0" borderId="0" xfId="2" applyNumberFormat="1" applyFill="1"/>
    <xf numFmtId="0" fontId="5" fillId="0" borderId="1" xfId="2" applyFont="1" applyBorder="1"/>
    <xf numFmtId="0" fontId="4" fillId="0" borderId="1" xfId="2" applyFont="1" applyFill="1" applyBorder="1"/>
    <xf numFmtId="2" fontId="2" fillId="0" borderId="2" xfId="2" applyNumberFormat="1" applyFill="1" applyBorder="1"/>
    <xf numFmtId="0" fontId="3" fillId="0" borderId="0" xfId="2" applyFont="1" applyAlignment="1">
      <alignment horizontal="left"/>
    </xf>
    <xf numFmtId="0" fontId="3" fillId="0" borderId="2" xfId="2" applyFont="1" applyBorder="1" applyAlignment="1">
      <alignment horizontal="left"/>
    </xf>
    <xf numFmtId="164" fontId="0" fillId="2" borderId="0" xfId="1" applyNumberFormat="1" applyFont="1" applyFill="1"/>
    <xf numFmtId="164" fontId="2" fillId="0" borderId="0" xfId="1" applyNumberFormat="1" applyFont="1" applyFill="1"/>
    <xf numFmtId="164" fontId="0" fillId="0" borderId="0" xfId="1" applyNumberFormat="1" applyFont="1"/>
    <xf numFmtId="0" fontId="2" fillId="0" borderId="0" xfId="2"/>
    <xf numFmtId="0" fontId="2" fillId="0" borderId="0" xfId="2" applyFill="1"/>
    <xf numFmtId="0" fontId="3" fillId="0" borderId="0" xfId="2" applyFont="1" applyFill="1"/>
    <xf numFmtId="0" fontId="7" fillId="0" borderId="0" xfId="2" applyFont="1"/>
    <xf numFmtId="0" fontId="7" fillId="0" borderId="0" xfId="2" applyFont="1" applyFill="1"/>
    <xf numFmtId="0" fontId="7" fillId="0" borderId="0" xfId="2" applyFont="1" applyAlignment="1">
      <alignment horizontal="center"/>
    </xf>
    <xf numFmtId="0" fontId="7" fillId="0" borderId="0" xfId="2" applyFont="1" applyFill="1" applyAlignment="1">
      <alignment horizontal="center"/>
    </xf>
    <xf numFmtId="2" fontId="7" fillId="0" borderId="0" xfId="2" applyNumberFormat="1" applyFont="1" applyFill="1" applyAlignment="1">
      <alignment horizontal="center"/>
    </xf>
    <xf numFmtId="0" fontId="2" fillId="0" borderId="0" xfId="2"/>
    <xf numFmtId="0" fontId="7" fillId="0" borderId="0" xfId="2" applyFont="1" applyAlignment="1">
      <alignment horizontal="center"/>
    </xf>
    <xf numFmtId="2" fontId="7" fillId="0" borderId="0" xfId="2" applyNumberFormat="1" applyFont="1" applyFill="1" applyAlignment="1">
      <alignment horizontal="center"/>
    </xf>
    <xf numFmtId="0" fontId="6" fillId="0" borderId="0" xfId="6"/>
    <xf numFmtId="43" fontId="0" fillId="0" borderId="0" xfId="13" applyFont="1"/>
    <xf numFmtId="0" fontId="1" fillId="0" borderId="0" xfId="12"/>
    <xf numFmtId="0" fontId="1" fillId="0" borderId="0" xfId="12" applyAlignment="1">
      <alignment horizontal="center" vertical="center"/>
    </xf>
    <xf numFmtId="0" fontId="8" fillId="0" borderId="0" xfId="12" applyFont="1"/>
    <xf numFmtId="0" fontId="8" fillId="0" borderId="0" xfId="12" applyFont="1" applyBorder="1"/>
    <xf numFmtId="43" fontId="8" fillId="0" borderId="2" xfId="12" applyNumberFormat="1" applyFont="1" applyBorder="1" applyAlignment="1">
      <alignment horizontal="center" vertical="center"/>
    </xf>
    <xf numFmtId="0" fontId="8" fillId="0" borderId="2" xfId="12" applyFont="1" applyBorder="1" applyAlignment="1">
      <alignment horizontal="left"/>
    </xf>
    <xf numFmtId="43" fontId="8" fillId="0" borderId="0" xfId="12" applyNumberFormat="1" applyFont="1" applyBorder="1" applyAlignment="1">
      <alignment horizontal="center" vertical="center"/>
    </xf>
    <xf numFmtId="0" fontId="8" fillId="0" borderId="0" xfId="12" applyFont="1" applyBorder="1" applyAlignment="1">
      <alignment horizontal="left"/>
    </xf>
    <xf numFmtId="0" fontId="8" fillId="0" borderId="1" xfId="12" applyFont="1" applyBorder="1" applyAlignment="1">
      <alignment horizontal="center" vertical="center" wrapText="1"/>
    </xf>
    <xf numFmtId="0" fontId="8" fillId="0" borderId="1" xfId="12" applyFont="1" applyBorder="1" applyAlignment="1">
      <alignment vertical="center"/>
    </xf>
    <xf numFmtId="0" fontId="9" fillId="0" borderId="0" xfId="12" applyFont="1" applyBorder="1"/>
    <xf numFmtId="0" fontId="8" fillId="0" borderId="0" xfId="12" applyFont="1" applyBorder="1" applyAlignment="1">
      <alignment horizontal="center" vertical="center"/>
    </xf>
    <xf numFmtId="0" fontId="8" fillId="2" borderId="3" xfId="12" applyFont="1" applyFill="1" applyBorder="1"/>
    <xf numFmtId="2" fontId="10" fillId="0" borderId="2" xfId="12" applyNumberFormat="1" applyFont="1" applyBorder="1" applyAlignment="1">
      <alignment horizontal="center" vertical="center"/>
    </xf>
    <xf numFmtId="0" fontId="10" fillId="0" borderId="2" xfId="12" applyFont="1" applyBorder="1" applyAlignment="1">
      <alignment horizontal="left"/>
    </xf>
    <xf numFmtId="2" fontId="10" fillId="0" borderId="0" xfId="12" applyNumberFormat="1" applyFont="1" applyBorder="1" applyAlignment="1">
      <alignment horizontal="center" vertical="center"/>
    </xf>
    <xf numFmtId="0" fontId="10" fillId="0" borderId="0" xfId="12" applyFont="1" applyBorder="1" applyAlignment="1">
      <alignment horizontal="left"/>
    </xf>
    <xf numFmtId="0" fontId="1" fillId="0" borderId="0" xfId="12" applyAlignment="1">
      <alignment vertical="center"/>
    </xf>
    <xf numFmtId="0" fontId="10" fillId="0" borderId="1" xfId="12" applyFont="1" applyBorder="1" applyAlignment="1">
      <alignment horizontal="center" vertical="center" wrapText="1"/>
    </xf>
    <xf numFmtId="0" fontId="10" fillId="0" borderId="1" xfId="12" applyFont="1" applyBorder="1" applyAlignment="1">
      <alignment vertical="center"/>
    </xf>
    <xf numFmtId="0" fontId="8" fillId="0" borderId="0" xfId="12" applyFont="1" applyAlignment="1">
      <alignment vertical="center"/>
    </xf>
    <xf numFmtId="0" fontId="10" fillId="0" borderId="0" xfId="12" applyFont="1" applyBorder="1" applyAlignment="1">
      <alignment horizontal="center" vertical="center"/>
    </xf>
    <xf numFmtId="0" fontId="11" fillId="0" borderId="0" xfId="12" applyFont="1" applyBorder="1"/>
    <xf numFmtId="0" fontId="12" fillId="0" borderId="0" xfId="6" applyFont="1"/>
    <xf numFmtId="0" fontId="6" fillId="0" borderId="0" xfId="6" applyAlignment="1">
      <alignment horizontal="right"/>
    </xf>
    <xf numFmtId="0" fontId="12" fillId="0" borderId="0" xfId="6" applyFont="1" applyAlignment="1">
      <alignment horizontal="right"/>
    </xf>
    <xf numFmtId="0" fontId="12" fillId="0" borderId="0" xfId="6" applyFont="1" applyFill="1"/>
    <xf numFmtId="0" fontId="12" fillId="0" borderId="0" xfId="6" applyFont="1" applyFill="1" applyAlignment="1">
      <alignment horizontal="right"/>
    </xf>
    <xf numFmtId="0" fontId="6" fillId="0" borderId="0" xfId="6" applyFill="1"/>
    <xf numFmtId="0" fontId="6" fillId="0" borderId="0" xfId="6" applyFill="1" applyAlignment="1">
      <alignment horizontal="right"/>
    </xf>
    <xf numFmtId="2" fontId="6" fillId="0" borderId="0" xfId="6" applyNumberFormat="1"/>
    <xf numFmtId="2" fontId="6" fillId="0" borderId="0" xfId="6" applyNumberFormat="1" applyFill="1"/>
    <xf numFmtId="43" fontId="6" fillId="0" borderId="0" xfId="13" applyFont="1"/>
    <xf numFmtId="0" fontId="6" fillId="0" borderId="0" xfId="6" quotePrefix="1" applyAlignment="1">
      <alignment horizontal="right"/>
    </xf>
    <xf numFmtId="0" fontId="6" fillId="0" borderId="0" xfId="6" applyFont="1" applyAlignment="1">
      <alignment horizontal="right"/>
    </xf>
    <xf numFmtId="0" fontId="1" fillId="0" borderId="0" xfId="4"/>
    <xf numFmtId="43" fontId="1" fillId="0" borderId="0" xfId="13" applyFont="1"/>
    <xf numFmtId="0" fontId="1" fillId="0" borderId="0" xfId="4" applyAlignment="1">
      <alignment horizontal="center"/>
    </xf>
    <xf numFmtId="0" fontId="1" fillId="0" borderId="0" xfId="4" quotePrefix="1" applyFont="1" applyAlignment="1">
      <alignment horizontal="center"/>
    </xf>
    <xf numFmtId="166" fontId="1" fillId="0" borderId="0" xfId="4" applyNumberFormat="1"/>
    <xf numFmtId="0" fontId="1" fillId="0" borderId="0" xfId="4" applyFont="1"/>
    <xf numFmtId="0" fontId="1" fillId="3" borderId="2" xfId="5" applyFill="1" applyBorder="1" applyAlignment="1">
      <alignment vertical="top" wrapText="1"/>
    </xf>
    <xf numFmtId="0" fontId="1" fillId="3" borderId="2" xfId="5" applyFill="1" applyBorder="1" applyAlignment="1">
      <alignment horizontal="center" vertical="top"/>
    </xf>
    <xf numFmtId="0" fontId="1" fillId="3" borderId="2" xfId="5" applyFill="1" applyBorder="1" applyAlignment="1">
      <alignment vertical="top"/>
    </xf>
    <xf numFmtId="0" fontId="1" fillId="3" borderId="0" xfId="5" applyFill="1" applyBorder="1"/>
    <xf numFmtId="0" fontId="1" fillId="3" borderId="0" xfId="5" applyFill="1" applyBorder="1" applyAlignment="1">
      <alignment horizontal="center"/>
    </xf>
    <xf numFmtId="0" fontId="0" fillId="3" borderId="0" xfId="5" applyFont="1" applyFill="1" applyBorder="1"/>
    <xf numFmtId="0" fontId="13" fillId="3" borderId="1" xfId="5" applyFont="1" applyFill="1" applyBorder="1" applyAlignment="1">
      <alignment horizontal="center" vertical="center"/>
    </xf>
    <xf numFmtId="0" fontId="13" fillId="3" borderId="1" xfId="5" applyFont="1" applyFill="1" applyBorder="1" applyAlignment="1">
      <alignment horizontal="center" vertical="center" wrapText="1"/>
    </xf>
    <xf numFmtId="0" fontId="12" fillId="0" borderId="0" xfId="2" applyFont="1"/>
    <xf numFmtId="0" fontId="14" fillId="4" borderId="5" xfId="2" applyFont="1" applyFill="1" applyBorder="1"/>
    <xf numFmtId="0" fontId="14" fillId="0" borderId="0" xfId="2" applyFont="1"/>
    <xf numFmtId="3" fontId="14" fillId="0" borderId="0" xfId="2" applyNumberFormat="1" applyFont="1"/>
    <xf numFmtId="0" fontId="15" fillId="5" borderId="5" xfId="2" applyFont="1" applyFill="1" applyBorder="1"/>
    <xf numFmtId="0" fontId="14" fillId="6" borderId="5" xfId="2" applyFont="1" applyFill="1" applyBorder="1"/>
    <xf numFmtId="3" fontId="14" fillId="7" borderId="5" xfId="2" applyNumberFormat="1" applyFont="1" applyFill="1" applyBorder="1"/>
    <xf numFmtId="3" fontId="2" fillId="0" borderId="0" xfId="2" applyNumberFormat="1" applyFont="1"/>
    <xf numFmtId="0" fontId="16" fillId="8" borderId="5" xfId="2" applyFont="1" applyFill="1" applyBorder="1"/>
    <xf numFmtId="0" fontId="17" fillId="6" borderId="6" xfId="2" applyFont="1" applyFill="1" applyBorder="1"/>
    <xf numFmtId="0" fontId="17" fillId="4" borderId="7" xfId="2" applyFont="1" applyFill="1" applyBorder="1"/>
    <xf numFmtId="3" fontId="18" fillId="7" borderId="6" xfId="2" applyNumberFormat="1" applyFont="1" applyFill="1" applyBorder="1" applyAlignment="1">
      <alignment horizontal="center"/>
    </xf>
    <xf numFmtId="3" fontId="18" fillId="7" borderId="7" xfId="2" applyNumberFormat="1" applyFont="1" applyFill="1" applyBorder="1" applyAlignment="1">
      <alignment horizontal="center"/>
    </xf>
    <xf numFmtId="3" fontId="18" fillId="7" borderId="8" xfId="2" applyNumberFormat="1" applyFont="1" applyFill="1" applyBorder="1" applyAlignment="1">
      <alignment horizontal="center"/>
    </xf>
    <xf numFmtId="3" fontId="18" fillId="7" borderId="4" xfId="2" applyNumberFormat="1" applyFont="1" applyFill="1" applyBorder="1" applyAlignment="1">
      <alignment horizontal="center"/>
    </xf>
    <xf numFmtId="3" fontId="18" fillId="7" borderId="9" xfId="2" applyNumberFormat="1" applyFont="1" applyFill="1" applyBorder="1" applyAlignment="1">
      <alignment horizontal="center"/>
    </xf>
    <xf numFmtId="3" fontId="18" fillId="7" borderId="10" xfId="2" applyNumberFormat="1" applyFont="1" applyFill="1" applyBorder="1" applyAlignment="1">
      <alignment horizontal="center"/>
    </xf>
    <xf numFmtId="3" fontId="18" fillId="7" borderId="11" xfId="2" applyNumberFormat="1" applyFont="1" applyFill="1" applyBorder="1" applyAlignment="1">
      <alignment horizontal="center"/>
    </xf>
    <xf numFmtId="0" fontId="17" fillId="6" borderId="8" xfId="2" applyFont="1" applyFill="1" applyBorder="1"/>
    <xf numFmtId="0" fontId="17" fillId="4" borderId="5" xfId="2" applyFont="1" applyFill="1" applyBorder="1"/>
    <xf numFmtId="3" fontId="18" fillId="7" borderId="5" xfId="2" applyNumberFormat="1" applyFont="1" applyFill="1" applyBorder="1" applyAlignment="1">
      <alignment horizontal="center"/>
    </xf>
    <xf numFmtId="3" fontId="18" fillId="7" borderId="12" xfId="2" applyNumberFormat="1" applyFont="1" applyFill="1" applyBorder="1" applyAlignment="1">
      <alignment horizontal="center"/>
    </xf>
    <xf numFmtId="3" fontId="18" fillId="7" borderId="13" xfId="2" applyNumberFormat="1" applyFont="1" applyFill="1" applyBorder="1" applyAlignment="1">
      <alignment horizontal="center"/>
    </xf>
    <xf numFmtId="3" fontId="18" fillId="7" borderId="14" xfId="2" applyNumberFormat="1" applyFont="1" applyFill="1" applyBorder="1" applyAlignment="1">
      <alignment horizontal="center"/>
    </xf>
    <xf numFmtId="0" fontId="17" fillId="6" borderId="5" xfId="2" applyFont="1" applyFill="1" applyBorder="1"/>
    <xf numFmtId="0" fontId="2" fillId="4" borderId="7" xfId="2" applyFont="1" applyFill="1" applyBorder="1"/>
    <xf numFmtId="0" fontId="2" fillId="6" borderId="5" xfId="2" applyFont="1" applyFill="1" applyBorder="1"/>
    <xf numFmtId="0" fontId="17" fillId="6" borderId="13" xfId="2" applyFont="1" applyFill="1" applyBorder="1"/>
    <xf numFmtId="0" fontId="16" fillId="5" borderId="5" xfId="2" applyFont="1" applyFill="1" applyBorder="1"/>
    <xf numFmtId="0" fontId="17" fillId="6" borderId="14" xfId="2" applyFont="1" applyFill="1" applyBorder="1"/>
    <xf numFmtId="0" fontId="16" fillId="5" borderId="7" xfId="2" applyFont="1" applyFill="1" applyBorder="1"/>
    <xf numFmtId="0" fontId="16" fillId="8" borderId="14" xfId="2" applyFont="1" applyFill="1" applyBorder="1"/>
    <xf numFmtId="0" fontId="16" fillId="8" borderId="7" xfId="2" applyFont="1" applyFill="1" applyBorder="1"/>
    <xf numFmtId="0" fontId="16" fillId="8" borderId="8" xfId="2" applyFont="1" applyFill="1" applyBorder="1"/>
    <xf numFmtId="0" fontId="16" fillId="8" borderId="13" xfId="2" applyFont="1" applyFill="1" applyBorder="1"/>
    <xf numFmtId="0" fontId="16" fillId="8" borderId="4" xfId="2" applyFont="1" applyFill="1" applyBorder="1"/>
    <xf numFmtId="0" fontId="17" fillId="6" borderId="7" xfId="2" applyFont="1" applyFill="1" applyBorder="1"/>
    <xf numFmtId="0" fontId="17" fillId="6" borderId="12" xfId="2" applyFont="1" applyFill="1" applyBorder="1"/>
    <xf numFmtId="0" fontId="17" fillId="4" borderId="4" xfId="2" applyFont="1" applyFill="1" applyBorder="1"/>
    <xf numFmtId="0" fontId="15" fillId="5" borderId="14" xfId="2" applyFont="1" applyFill="1" applyBorder="1"/>
    <xf numFmtId="0" fontId="2" fillId="4" borderId="5" xfId="2" applyFont="1" applyFill="1" applyBorder="1"/>
    <xf numFmtId="0" fontId="17" fillId="4" borderId="8" xfId="2" applyFont="1" applyFill="1" applyBorder="1"/>
    <xf numFmtId="0" fontId="16" fillId="5" borderId="14" xfId="2" applyFont="1" applyFill="1" applyBorder="1"/>
    <xf numFmtId="0" fontId="16" fillId="5" borderId="13" xfId="2" applyFont="1" applyFill="1" applyBorder="1"/>
    <xf numFmtId="0" fontId="16" fillId="8" borderId="12" xfId="2" applyFont="1" applyFill="1" applyBorder="1"/>
    <xf numFmtId="0" fontId="16" fillId="4" borderId="4" xfId="2" applyFont="1" applyFill="1" applyBorder="1"/>
    <xf numFmtId="0" fontId="16" fillId="4" borderId="5" xfId="2" applyFont="1" applyFill="1" applyBorder="1"/>
    <xf numFmtId="0" fontId="15" fillId="5" borderId="7" xfId="2" applyFont="1" applyFill="1" applyBorder="1"/>
    <xf numFmtId="0" fontId="2" fillId="9" borderId="15" xfId="2" applyFill="1" applyBorder="1"/>
    <xf numFmtId="0" fontId="2" fillId="9" borderId="16" xfId="2" applyFill="1" applyBorder="1"/>
    <xf numFmtId="0" fontId="2" fillId="9" borderId="17" xfId="2" applyFill="1" applyBorder="1"/>
    <xf numFmtId="0" fontId="2" fillId="9" borderId="18" xfId="2" applyFill="1" applyBorder="1"/>
    <xf numFmtId="0" fontId="19" fillId="0" borderId="0" xfId="2" applyFont="1"/>
    <xf numFmtId="3" fontId="2" fillId="0" borderId="0" xfId="2" applyNumberFormat="1"/>
    <xf numFmtId="3" fontId="2" fillId="7" borderId="5" xfId="2" applyNumberFormat="1" applyFill="1" applyBorder="1"/>
    <xf numFmtId="0" fontId="2" fillId="6" borderId="5" xfId="2" applyFill="1" applyBorder="1"/>
    <xf numFmtId="0" fontId="20" fillId="6" borderId="5" xfId="2" applyFont="1" applyFill="1" applyBorder="1"/>
    <xf numFmtId="0" fontId="10" fillId="0" borderId="0" xfId="2" applyFont="1"/>
    <xf numFmtId="0" fontId="2" fillId="0" borderId="0" xfId="2" applyAlignment="1">
      <alignment horizontal="right"/>
    </xf>
    <xf numFmtId="167" fontId="6" fillId="0" borderId="0" xfId="1" applyNumberFormat="1" applyFont="1"/>
    <xf numFmtId="1" fontId="0" fillId="0" borderId="19" xfId="0" applyNumberFormat="1" applyBorder="1"/>
    <xf numFmtId="0" fontId="12" fillId="0" borderId="0" xfId="2" applyFont="1" applyAlignment="1">
      <alignment horizontal="left" wrapText="1"/>
    </xf>
    <xf numFmtId="0" fontId="21" fillId="0" borderId="0" xfId="0" pivotButton="1" applyFont="1"/>
    <xf numFmtId="0" fontId="21" fillId="0" borderId="0" xfId="0" applyFont="1"/>
    <xf numFmtId="0" fontId="21" fillId="0" borderId="0" xfId="0" applyFont="1" applyAlignment="1">
      <alignment horizontal="left"/>
    </xf>
    <xf numFmtId="43" fontId="21" fillId="0" borderId="0" xfId="0" applyNumberFormat="1" applyFont="1"/>
  </cellXfs>
  <cellStyles count="14">
    <cellStyle name="Comma" xfId="1" builtinId="3"/>
    <cellStyle name="Comma 2" xfId="11" xr:uid="{00000000-0005-0000-0000-000001000000}"/>
    <cellStyle name="Comma 3" xfId="3" xr:uid="{00000000-0005-0000-0000-000002000000}"/>
    <cellStyle name="Comma 4" xfId="13" xr:uid="{00000000-0005-0000-0000-000003000000}"/>
    <cellStyle name="Normal" xfId="0" builtinId="0"/>
    <cellStyle name="Normal 2" xfId="4" xr:uid="{00000000-0005-0000-0000-000005000000}"/>
    <cellStyle name="Normal 3" xfId="6" xr:uid="{00000000-0005-0000-0000-000006000000}"/>
    <cellStyle name="Normal 4" xfId="9" xr:uid="{00000000-0005-0000-0000-000007000000}"/>
    <cellStyle name="Normal 5" xfId="12" xr:uid="{00000000-0005-0000-0000-000008000000}"/>
    <cellStyle name="Normal 5 2" xfId="5" xr:uid="{00000000-0005-0000-0000-000009000000}"/>
    <cellStyle name="Normal 6" xfId="2" xr:uid="{00000000-0005-0000-0000-00000A000000}"/>
    <cellStyle name="Percent 2" xfId="7" xr:uid="{00000000-0005-0000-0000-00000B000000}"/>
    <cellStyle name="Percent 3" xfId="10" xr:uid="{00000000-0005-0000-0000-00000C000000}"/>
    <cellStyle name="Percent 4" xfId="8" xr:uid="{00000000-0005-0000-0000-00000D000000}"/>
  </cellStyles>
  <dxfs count="243">
    <dxf>
      <numFmt numFmtId="35" formatCode="_(* #,##0.00_);_(* \(#,##0.00\);_(* &quot;-&quot;??_);_(@_)"/>
    </dxf>
    <dxf>
      <font>
        <name val="Bell MT"/>
        <scheme val="none"/>
      </font>
    </dxf>
    <dxf>
      <font>
        <name val="Bell MT"/>
        <scheme val="none"/>
      </font>
    </dxf>
    <dxf>
      <font>
        <name val="Bell MT"/>
        <scheme val="none"/>
      </font>
    </dxf>
    <dxf>
      <font>
        <name val="Bell MT"/>
        <scheme val="none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numFmt numFmtId="35" formatCode="_(* #,##0.00_);_(* \(#,##0.00\);_(* &quot;-&quot;??_);_(@_)"/>
    </dxf>
    <dxf>
      <font>
        <name val="Bell MT"/>
        <scheme val="none"/>
      </font>
    </dxf>
    <dxf>
      <font>
        <name val="Bell MT"/>
        <scheme val="none"/>
      </font>
    </dxf>
    <dxf>
      <font>
        <name val="Bell MT"/>
        <scheme val="none"/>
      </font>
    </dxf>
    <dxf>
      <font>
        <name val="Bell MT"/>
        <scheme val="none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numFmt numFmtId="35" formatCode="_(* #,##0.00_);_(* \(#,##0.00\);_(* &quot;-&quot;??_);_(@_)"/>
    </dxf>
    <dxf>
      <font>
        <name val="Bell MT"/>
        <scheme val="none"/>
      </font>
    </dxf>
    <dxf>
      <font>
        <name val="Bell MT"/>
        <scheme val="none"/>
      </font>
    </dxf>
    <dxf>
      <font>
        <name val="Bell MT"/>
        <scheme val="none"/>
      </font>
    </dxf>
    <dxf>
      <font>
        <name val="Bell MT"/>
        <scheme val="none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numFmt numFmtId="35" formatCode="_(* #,##0.00_);_(* \(#,##0.00\);_(* &quot;-&quot;??_);_(@_)"/>
    </dxf>
    <dxf>
      <font>
        <name val="Bell MT"/>
        <scheme val="none"/>
      </font>
    </dxf>
    <dxf>
      <font>
        <name val="Bell MT"/>
        <scheme val="none"/>
      </font>
    </dxf>
    <dxf>
      <font>
        <name val="Bell MT"/>
        <scheme val="none"/>
      </font>
    </dxf>
    <dxf>
      <font>
        <name val="Bell MT"/>
        <scheme val="none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numFmt numFmtId="35" formatCode="_(* #,##0.00_);_(* \(#,##0.00\);_(* &quot;-&quot;??_);_(@_)"/>
    </dxf>
    <dxf>
      <font>
        <name val="Bell MT"/>
        <scheme val="none"/>
      </font>
    </dxf>
    <dxf>
      <font>
        <name val="Bell MT"/>
        <scheme val="none"/>
      </font>
    </dxf>
    <dxf>
      <font>
        <name val="Bell MT"/>
        <scheme val="none"/>
      </font>
    </dxf>
    <dxf>
      <font>
        <name val="Bell MT"/>
        <scheme val="none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numFmt numFmtId="35" formatCode="_(* #,##0.00_);_(* \(#,##0.00\);_(* &quot;-&quot;??_);_(@_)"/>
    </dxf>
    <dxf>
      <font>
        <name val="Bell MT"/>
        <scheme val="none"/>
      </font>
    </dxf>
    <dxf>
      <font>
        <name val="Bell MT"/>
        <scheme val="none"/>
      </font>
    </dxf>
    <dxf>
      <font>
        <name val="Bell MT"/>
        <scheme val="none"/>
      </font>
    </dxf>
    <dxf>
      <font>
        <name val="Bell MT"/>
        <scheme val="none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numFmt numFmtId="35" formatCode="_(* #,##0.00_);_(* \(#,##0.00\);_(* &quot;-&quot;??_);_(@_)"/>
    </dxf>
    <dxf>
      <font>
        <name val="Bell MT"/>
        <scheme val="none"/>
      </font>
    </dxf>
    <dxf>
      <font>
        <name val="Bell MT"/>
        <scheme val="none"/>
      </font>
    </dxf>
    <dxf>
      <font>
        <name val="Bell MT"/>
        <scheme val="none"/>
      </font>
    </dxf>
    <dxf>
      <font>
        <name val="Bell MT"/>
        <scheme val="none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numFmt numFmtId="35" formatCode="_(* #,##0.00_);_(* \(#,##0.00\);_(* &quot;-&quot;??_);_(@_)"/>
    </dxf>
    <dxf>
      <font>
        <name val="Bell MT"/>
        <scheme val="none"/>
      </font>
    </dxf>
    <dxf>
      <font>
        <name val="Bell MT"/>
        <scheme val="none"/>
      </font>
    </dxf>
    <dxf>
      <font>
        <name val="Bell MT"/>
        <scheme val="none"/>
      </font>
    </dxf>
    <dxf>
      <font>
        <name val="Bell MT"/>
        <scheme val="none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numFmt numFmtId="35" formatCode="_(* #,##0.00_);_(* \(#,##0.00\);_(* &quot;-&quot;??_);_(@_)"/>
    </dxf>
    <dxf>
      <font>
        <name val="Bell MT"/>
        <scheme val="none"/>
      </font>
    </dxf>
    <dxf>
      <font>
        <name val="Bell MT"/>
        <scheme val="none"/>
      </font>
    </dxf>
    <dxf>
      <font>
        <name val="Bell MT"/>
        <scheme val="none"/>
      </font>
    </dxf>
    <dxf>
      <font>
        <name val="Bell MT"/>
        <scheme val="none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numFmt numFmtId="35" formatCode="_(* #,##0.00_);_(* \(#,##0.00\);_(* &quot;-&quot;??_);_(@_)"/>
    </dxf>
    <dxf>
      <font>
        <name val="Bell MT"/>
        <scheme val="none"/>
      </font>
    </dxf>
    <dxf>
      <font>
        <name val="Bell MT"/>
        <scheme val="none"/>
      </font>
    </dxf>
    <dxf>
      <font>
        <name val="Bell MT"/>
        <scheme val="none"/>
      </font>
    </dxf>
    <dxf>
      <font>
        <name val="Bell MT"/>
        <scheme val="none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numFmt numFmtId="35" formatCode="_(* #,##0.00_);_(* \(#,##0.00\);_(* &quot;-&quot;??_);_(@_)"/>
    </dxf>
    <dxf>
      <font>
        <name val="Bell MT"/>
        <scheme val="none"/>
      </font>
    </dxf>
    <dxf>
      <font>
        <name val="Bell MT"/>
        <scheme val="none"/>
      </font>
    </dxf>
    <dxf>
      <font>
        <name val="Bell MT"/>
        <scheme val="none"/>
      </font>
    </dxf>
    <dxf>
      <font>
        <name val="Bell MT"/>
        <scheme val="none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numFmt numFmtId="35" formatCode="_(* #,##0.00_);_(* \(#,##0.00\);_(* &quot;-&quot;??_);_(@_)"/>
    </dxf>
    <dxf>
      <font>
        <name val="Bell MT"/>
        <scheme val="none"/>
      </font>
    </dxf>
    <dxf>
      <font>
        <name val="Bell MT"/>
        <scheme val="none"/>
      </font>
    </dxf>
    <dxf>
      <font>
        <name val="Bell MT"/>
        <scheme val="none"/>
      </font>
    </dxf>
    <dxf>
      <font>
        <name val="Bell MT"/>
        <scheme val="none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numFmt numFmtId="35" formatCode="_(* #,##0.00_);_(* \(#,##0.00\);_(* &quot;-&quot;??_);_(@_)"/>
    </dxf>
    <dxf>
      <font>
        <name val="Bell MT"/>
        <scheme val="none"/>
      </font>
    </dxf>
    <dxf>
      <font>
        <name val="Bell MT"/>
        <scheme val="none"/>
      </font>
    </dxf>
    <dxf>
      <font>
        <name val="Bell MT"/>
        <scheme val="none"/>
      </font>
    </dxf>
    <dxf>
      <font>
        <name val="Bell MT"/>
        <scheme val="none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numFmt numFmtId="35" formatCode="_(* #,##0.00_);_(* \(#,##0.00\);_(* &quot;-&quot;??_);_(@_)"/>
    </dxf>
    <dxf>
      <font>
        <name val="Bell MT"/>
        <scheme val="none"/>
      </font>
    </dxf>
    <dxf>
      <font>
        <name val="Bell MT"/>
        <scheme val="none"/>
      </font>
    </dxf>
    <dxf>
      <font>
        <name val="Bell MT"/>
        <scheme val="none"/>
      </font>
    </dxf>
    <dxf>
      <font>
        <name val="Bell MT"/>
        <scheme val="none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numFmt numFmtId="35" formatCode="_(* #,##0.00_);_(* \(#,##0.00\);_(* &quot;-&quot;??_);_(@_)"/>
    </dxf>
    <dxf>
      <font>
        <name val="Bell MT"/>
        <scheme val="none"/>
      </font>
    </dxf>
    <dxf>
      <font>
        <name val="Bell MT"/>
        <scheme val="none"/>
      </font>
    </dxf>
    <dxf>
      <font>
        <name val="Bell MT"/>
        <scheme val="none"/>
      </font>
    </dxf>
    <dxf>
      <font>
        <name val="Bell MT"/>
        <scheme val="none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numFmt numFmtId="35" formatCode="_(* #,##0.00_);_(* \(#,##0.00\);_(* &quot;-&quot;??_);_(@_)"/>
    </dxf>
    <dxf>
      <font>
        <name val="Bell MT"/>
        <scheme val="none"/>
      </font>
    </dxf>
    <dxf>
      <font>
        <name val="Bell MT"/>
        <scheme val="none"/>
      </font>
    </dxf>
    <dxf>
      <font>
        <name val="Bell MT"/>
        <scheme val="none"/>
      </font>
    </dxf>
    <dxf>
      <font>
        <name val="Bell MT"/>
        <scheme val="none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numFmt numFmtId="35" formatCode="_(* #,##0.00_);_(* \(#,##0.00\);_(* &quot;-&quot;??_);_(@_)"/>
    </dxf>
    <dxf>
      <font>
        <name val="Bell MT"/>
        <scheme val="none"/>
      </font>
    </dxf>
    <dxf>
      <font>
        <name val="Bell MT"/>
        <scheme val="none"/>
      </font>
    </dxf>
    <dxf>
      <font>
        <name val="Bell MT"/>
        <scheme val="none"/>
      </font>
    </dxf>
    <dxf>
      <font>
        <name val="Bell MT"/>
        <scheme val="none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numFmt numFmtId="35" formatCode="_(* #,##0.00_);_(* \(#,##0.00\);_(* &quot;-&quot;??_);_(@_)"/>
    </dxf>
    <dxf>
      <font>
        <name val="Bell MT"/>
        <scheme val="none"/>
      </font>
    </dxf>
    <dxf>
      <font>
        <name val="Bell MT"/>
        <scheme val="none"/>
      </font>
    </dxf>
    <dxf>
      <font>
        <name val="Bell MT"/>
        <scheme val="none"/>
      </font>
    </dxf>
    <dxf>
      <font>
        <name val="Bell MT"/>
        <scheme val="none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numFmt numFmtId="35" formatCode="_(* #,##0.00_);_(* \(#,##0.00\);_(* &quot;-&quot;??_);_(@_)"/>
    </dxf>
    <dxf>
      <font>
        <name val="Bell MT"/>
        <scheme val="none"/>
      </font>
    </dxf>
    <dxf>
      <font>
        <name val="Bell MT"/>
        <scheme val="none"/>
      </font>
    </dxf>
    <dxf>
      <font>
        <name val="Bell MT"/>
        <scheme val="none"/>
      </font>
    </dxf>
    <dxf>
      <font>
        <name val="Bell MT"/>
        <scheme val="none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numFmt numFmtId="35" formatCode="_(* #,##0.00_);_(* \(#,##0.00\);_(* &quot;-&quot;??_);_(@_)"/>
    </dxf>
    <dxf>
      <font>
        <name val="Bell MT"/>
        <scheme val="none"/>
      </font>
    </dxf>
    <dxf>
      <font>
        <name val="Bell MT"/>
        <scheme val="none"/>
      </font>
    </dxf>
    <dxf>
      <font>
        <name val="Bell MT"/>
        <scheme val="none"/>
      </font>
    </dxf>
    <dxf>
      <font>
        <name val="Bell MT"/>
        <scheme val="none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numFmt numFmtId="35" formatCode="_(* #,##0.00_);_(* \(#,##0.00\);_(* &quot;-&quot;??_);_(@_)"/>
    </dxf>
    <dxf>
      <font>
        <name val="Bell MT"/>
        <scheme val="none"/>
      </font>
    </dxf>
    <dxf>
      <font>
        <name val="Bell MT"/>
        <scheme val="none"/>
      </font>
    </dxf>
    <dxf>
      <font>
        <name val="Bell MT"/>
        <scheme val="none"/>
      </font>
    </dxf>
    <dxf>
      <font>
        <name val="Bell MT"/>
        <scheme val="none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numFmt numFmtId="35" formatCode="_(* #,##0.00_);_(* \(#,##0.00\);_(* &quot;-&quot;??_);_(@_)"/>
    </dxf>
    <dxf>
      <font>
        <name val="Bell MT"/>
        <scheme val="none"/>
      </font>
    </dxf>
    <dxf>
      <font>
        <name val="Bell MT"/>
        <scheme val="none"/>
      </font>
    </dxf>
    <dxf>
      <font>
        <name val="Bell MT"/>
        <scheme val="none"/>
      </font>
    </dxf>
    <dxf>
      <font>
        <name val="Bell MT"/>
        <scheme val="none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name val="Bell MT"/>
        <scheme val="none"/>
      </font>
    </dxf>
    <dxf>
      <font>
        <name val="Bell MT"/>
        <scheme val="none"/>
      </font>
    </dxf>
    <dxf>
      <font>
        <name val="Bell MT"/>
        <scheme val="none"/>
      </font>
    </dxf>
    <dxf>
      <font>
        <name val="Bell MT"/>
        <scheme val="none"/>
      </font>
    </dxf>
    <dxf>
      <numFmt numFmtId="35" formatCode="_(* #,##0.00_);_(* \(#,##0.00\);_(* &quot;-&quot;??_);_(@_)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name val="Bell MT"/>
        <scheme val="none"/>
      </font>
    </dxf>
    <dxf>
      <font>
        <name val="Bell MT"/>
        <scheme val="none"/>
      </font>
    </dxf>
    <dxf>
      <font>
        <name val="Bell MT"/>
        <scheme val="none"/>
      </font>
    </dxf>
    <dxf>
      <font>
        <name val="Bell MT"/>
        <scheme val="none"/>
      </font>
    </dxf>
    <dxf>
      <numFmt numFmtId="35" formatCode="_(* #,##0.00_);_(* \(#,##0.00\);_(* &quot;-&quot;??_);_(@_)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name val="Bell MT"/>
        <scheme val="none"/>
      </font>
    </dxf>
    <dxf>
      <font>
        <name val="Bell MT"/>
        <scheme val="none"/>
      </font>
    </dxf>
    <dxf>
      <font>
        <name val="Bell MT"/>
        <scheme val="none"/>
      </font>
    </dxf>
    <dxf>
      <font>
        <name val="Bell MT"/>
        <scheme val="none"/>
      </font>
    </dxf>
    <dxf>
      <numFmt numFmtId="35" formatCode="_(* #,##0.00_);_(* \(#,##0.00\);_(* &quot;-&quot;??_);_(@_)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name val="Bell MT"/>
        <scheme val="none"/>
      </font>
    </dxf>
    <dxf>
      <font>
        <name val="Bell MT"/>
        <scheme val="none"/>
      </font>
    </dxf>
    <dxf>
      <font>
        <name val="Bell MT"/>
        <scheme val="none"/>
      </font>
    </dxf>
    <dxf>
      <font>
        <name val="Bell MT"/>
        <scheme val="none"/>
      </font>
    </dxf>
    <dxf>
      <numFmt numFmtId="35" formatCode="_(* #,##0.00_);_(* \(#,##0.00\);_(* &quot;-&quot;??_);_(@_)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name val="Bell MT"/>
        <scheme val="none"/>
      </font>
    </dxf>
    <dxf>
      <font>
        <name val="Bell MT"/>
        <scheme val="none"/>
      </font>
    </dxf>
    <dxf>
      <font>
        <name val="Bell MT"/>
        <scheme val="none"/>
      </font>
    </dxf>
    <dxf>
      <font>
        <name val="Bell MT"/>
        <scheme val="none"/>
      </font>
    </dxf>
    <dxf>
      <numFmt numFmtId="35" formatCode="_(* #,##0.00_);_(* \(#,##0.00\);_(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3.xml"/><Relationship Id="rId1" Type="http://schemas.microsoft.com/office/2011/relationships/chartStyle" Target="style3.xml"/><Relationship Id="rId4" Type="http://schemas.openxmlformats.org/officeDocument/2006/relationships/chartUserShapes" Target="../drawings/drawing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.xml"/><Relationship Id="rId2" Type="http://schemas.microsoft.com/office/2011/relationships/chartColorStyle" Target="colors4.xml"/><Relationship Id="rId1" Type="http://schemas.microsoft.com/office/2011/relationships/chartStyle" Target="style4.xml"/><Relationship Id="rId4" Type="http://schemas.openxmlformats.org/officeDocument/2006/relationships/chartUserShapes" Target="../drawings/drawing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5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6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7.xml"/><Relationship Id="rId2" Type="http://schemas.microsoft.com/office/2011/relationships/chartColorStyle" Target="colors7.xml"/><Relationship Id="rId1" Type="http://schemas.microsoft.com/office/2011/relationships/chartStyle" Target="style7.xml"/><Relationship Id="rId4" Type="http://schemas.openxmlformats.org/officeDocument/2006/relationships/chartUserShapes" Target="../drawings/drawing6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8.xml"/><Relationship Id="rId2" Type="http://schemas.microsoft.com/office/2011/relationships/chartColorStyle" Target="colors8.xml"/><Relationship Id="rId1" Type="http://schemas.microsoft.com/office/2011/relationships/chartStyle" Target="style8.xml"/><Relationship Id="rId4" Type="http://schemas.openxmlformats.org/officeDocument/2006/relationships/chartUserShapes" Target="../drawings/drawing7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9.xml"/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638894940503978"/>
          <c:y val="2.9170822397200345E-2"/>
          <c:w val="0.84320707935223516"/>
          <c:h val="0.83858063073716693"/>
        </c:manualLayout>
      </c:layout>
      <c:scatterChart>
        <c:scatterStyle val="lineMarker"/>
        <c:varyColors val="0"/>
        <c:ser>
          <c:idx val="0"/>
          <c:order val="0"/>
          <c:tx>
            <c:strRef>
              <c:f>Gini!$D$1</c:f>
              <c:strCache>
                <c:ptCount val="1"/>
                <c:pt idx="0">
                  <c:v>gini_2002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rgbClr val="00B050"/>
              </a:solidFill>
              <a:ln w="9525">
                <a:noFill/>
              </a:ln>
              <a:effectLst/>
            </c:spPr>
          </c:marker>
          <c:dPt>
            <c:idx val="18"/>
            <c:marker>
              <c:symbol val="circle"/>
              <c:size val="8"/>
              <c:spPr>
                <a:solidFill>
                  <a:srgbClr val="00B05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0C2E-49C1-B6D3-25E3386F6BAC}"/>
              </c:ext>
            </c:extLst>
          </c:dPt>
          <c:dPt>
            <c:idx val="19"/>
            <c:marker>
              <c:symbol val="circle"/>
              <c:size val="8"/>
              <c:spPr>
                <a:solidFill>
                  <a:srgbClr val="00B05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0C2E-49C1-B6D3-25E3386F6BAC}"/>
              </c:ext>
            </c:extLst>
          </c:dPt>
          <c:dPt>
            <c:idx val="20"/>
            <c:marker>
              <c:symbol val="circle"/>
              <c:size val="8"/>
              <c:spPr>
                <a:solidFill>
                  <a:srgbClr val="00B05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0C2E-49C1-B6D3-25E3386F6BAC}"/>
              </c:ext>
            </c:extLst>
          </c:dPt>
          <c:dPt>
            <c:idx val="21"/>
            <c:marker>
              <c:symbol val="circle"/>
              <c:size val="8"/>
              <c:spPr>
                <a:solidFill>
                  <a:srgbClr val="00B05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0C2E-49C1-B6D3-25E3386F6BAC}"/>
              </c:ext>
            </c:extLst>
          </c:dPt>
          <c:dPt>
            <c:idx val="22"/>
            <c:marker>
              <c:symbol val="circle"/>
              <c:size val="8"/>
              <c:spPr>
                <a:solidFill>
                  <a:srgbClr val="00B05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0C2E-49C1-B6D3-25E3386F6BAC}"/>
              </c:ext>
            </c:extLst>
          </c:dPt>
          <c:dPt>
            <c:idx val="23"/>
            <c:marker>
              <c:symbol val="circle"/>
              <c:size val="8"/>
              <c:spPr>
                <a:solidFill>
                  <a:srgbClr val="00B05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0C2E-49C1-B6D3-25E3386F6BAC}"/>
              </c:ext>
            </c:extLst>
          </c:dPt>
          <c:xVal>
            <c:numRef>
              <c:f>Gini!$D$2:$D$19</c:f>
              <c:numCache>
                <c:formatCode>_(* #,##0.00_);_(* \(#,##0.00\);_(* "-"??_);_(@_)</c:formatCode>
                <c:ptCount val="18"/>
                <c:pt idx="0">
                  <c:v>0.50182459999999995</c:v>
                </c:pt>
                <c:pt idx="1">
                  <c:v>0.6015836</c:v>
                </c:pt>
                <c:pt idx="2">
                  <c:v>0.58619825999999997</c:v>
                </c:pt>
                <c:pt idx="3">
                  <c:v>0.51489868000000005</c:v>
                </c:pt>
                <c:pt idx="4">
                  <c:v>0.58254918</c:v>
                </c:pt>
                <c:pt idx="5">
                  <c:v>0.48096070000000002</c:v>
                </c:pt>
                <c:pt idx="6">
                  <c:v>0.50116819999999995</c:v>
                </c:pt>
                <c:pt idx="7">
                  <c:v>0.54991343000000004</c:v>
                </c:pt>
                <c:pt idx="8">
                  <c:v>0.54889489000000002</c:v>
                </c:pt>
                <c:pt idx="9">
                  <c:v>0.58779693</c:v>
                </c:pt>
                <c:pt idx="10">
                  <c:v>0.51246681000000005</c:v>
                </c:pt>
                <c:pt idx="11">
                  <c:v>0.53141592000000004</c:v>
                </c:pt>
                <c:pt idx="12">
                  <c:v>0.52632168000000001</c:v>
                </c:pt>
                <c:pt idx="13">
                  <c:v>0.51196593999999995</c:v>
                </c:pt>
                <c:pt idx="14">
                  <c:v>0.57335537000000003</c:v>
                </c:pt>
                <c:pt idx="15">
                  <c:v>0.51535317999999997</c:v>
                </c:pt>
                <c:pt idx="16">
                  <c:v>0.46655236999999999</c:v>
                </c:pt>
                <c:pt idx="17">
                  <c:v>0.4815468</c:v>
                </c:pt>
              </c:numCache>
            </c:numRef>
          </c:xVal>
          <c:yVal>
            <c:numRef>
              <c:f>Gini!$O$2:$O$19</c:f>
              <c:numCache>
                <c:formatCode>_(* #,##0.00_);_(* \(#,##0.00\);_(* "-"??_);_(@_)</c:formatCode>
                <c:ptCount val="18"/>
                <c:pt idx="0">
                  <c:v>0.4228384</c:v>
                </c:pt>
                <c:pt idx="1">
                  <c:v>0.48060333999999999</c:v>
                </c:pt>
                <c:pt idx="2">
                  <c:v>0.52873862000000005</c:v>
                </c:pt>
                <c:pt idx="3">
                  <c:v>0.47263495</c:v>
                </c:pt>
                <c:pt idx="4">
                  <c:v>0.53487819999999997</c:v>
                </c:pt>
                <c:pt idx="5">
                  <c:v>0.49175687000000001</c:v>
                </c:pt>
                <c:pt idx="6">
                  <c:v>0.47071565999999998</c:v>
                </c:pt>
                <c:pt idx="7">
                  <c:v>0.47289024000000002</c:v>
                </c:pt>
                <c:pt idx="8">
                  <c:v>0.48657003999999998</c:v>
                </c:pt>
                <c:pt idx="9">
                  <c:v>0.53671625000000001</c:v>
                </c:pt>
                <c:pt idx="10">
                  <c:v>0.49140387000000002</c:v>
                </c:pt>
                <c:pt idx="11">
                  <c:v>0.46564378000000001</c:v>
                </c:pt>
                <c:pt idx="12">
                  <c:v>0.51664858999999996</c:v>
                </c:pt>
                <c:pt idx="13">
                  <c:v>0.44726811</c:v>
                </c:pt>
                <c:pt idx="14">
                  <c:v>0.48296661000000002</c:v>
                </c:pt>
                <c:pt idx="15">
                  <c:v>0.43512373999999998</c:v>
                </c:pt>
                <c:pt idx="16">
                  <c:v>0.42083306999999998</c:v>
                </c:pt>
                <c:pt idx="17">
                  <c:v>0.40829281000000001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0C2E-49C1-B6D3-25E3386F6BAC}"/>
            </c:ext>
          </c:extLst>
        </c:ser>
        <c:ser>
          <c:idx val="1"/>
          <c:order val="1"/>
          <c:tx>
            <c:strRef>
              <c:f>Gini!$A$22</c:f>
              <c:strCache>
                <c:ptCount val="1"/>
                <c:pt idx="0">
                  <c:v>45 line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trendline>
            <c:spPr>
              <a:ln w="19050" cap="flat" cmpd="sng" algn="ctr">
                <a:solidFill>
                  <a:srgbClr val="92D050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Gini!$A$23:$A$24</c:f>
              <c:numCache>
                <c:formatCode>0.00</c:formatCode>
                <c:ptCount val="2"/>
                <c:pt idx="0">
                  <c:v>0.4</c:v>
                </c:pt>
                <c:pt idx="1">
                  <c:v>0.6</c:v>
                </c:pt>
              </c:numCache>
            </c:numRef>
          </c:xVal>
          <c:yVal>
            <c:numRef>
              <c:f>Gini!$A$23:$A$24</c:f>
              <c:numCache>
                <c:formatCode>0.00</c:formatCode>
                <c:ptCount val="2"/>
                <c:pt idx="0">
                  <c:v>0.4</c:v>
                </c:pt>
                <c:pt idx="1">
                  <c:v>0.6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0C2E-49C1-B6D3-25E3386F6B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0743544"/>
        <c:axId val="630743936"/>
      </c:scatterChart>
      <c:valAx>
        <c:axId val="630743544"/>
        <c:scaling>
          <c:orientation val="minMax"/>
          <c:max val="0.60000000000000009"/>
          <c:min val="0.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Bell MT" panose="02020503060305020303" pitchFamily="18" charset="0"/>
                    <a:ea typeface="+mn-ea"/>
                    <a:cs typeface="+mn-cs"/>
                  </a:defRPr>
                </a:pPr>
                <a:r>
                  <a:rPr lang="en-US" sz="1050"/>
                  <a:t>Gini circa 2002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ysClr val="windowText" lastClr="000000"/>
                  </a:solidFill>
                  <a:latin typeface="Bell MT" panose="02020503060305020303" pitchFamily="18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low"/>
        <c:spPr>
          <a:noFill/>
          <a:ln w="9525" cap="flat" cmpd="sng" algn="ctr">
            <a:solidFill>
              <a:sysClr val="windowText" lastClr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Bell MT" panose="02020503060305020303" pitchFamily="18" charset="0"/>
                <a:ea typeface="+mn-ea"/>
                <a:cs typeface="+mn-cs"/>
              </a:defRPr>
            </a:pPr>
            <a:endParaRPr lang="en-US"/>
          </a:p>
        </c:txPr>
        <c:crossAx val="630743936"/>
        <c:crosses val="autoZero"/>
        <c:crossBetween val="midCat"/>
        <c:majorUnit val="5.000000000000001E-2"/>
      </c:valAx>
      <c:valAx>
        <c:axId val="630743936"/>
        <c:scaling>
          <c:orientation val="minMax"/>
          <c:max val="0.60000000000000009"/>
          <c:min val="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Bell MT" panose="02020503060305020303" pitchFamily="18" charset="0"/>
                    <a:ea typeface="+mn-ea"/>
                    <a:cs typeface="+mn-cs"/>
                  </a:defRPr>
                </a:pPr>
                <a:r>
                  <a:rPr lang="en-US" sz="1050">
                    <a:solidFill>
                      <a:sysClr val="windowText" lastClr="000000"/>
                    </a:solidFill>
                  </a:rPr>
                  <a:t>Gini circa 2013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ysClr val="windowText" lastClr="000000"/>
                  </a:solidFill>
                  <a:latin typeface="Bell MT" panose="02020503060305020303" pitchFamily="18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0"/>
        <c:majorTickMark val="none"/>
        <c:minorTickMark val="none"/>
        <c:tickLblPos val="low"/>
        <c:spPr>
          <a:noFill/>
          <a:ln w="9525" cap="flat" cmpd="sng" algn="ctr">
            <a:solidFill>
              <a:sysClr val="windowText" lastClr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Bell MT" panose="02020503060305020303" pitchFamily="18" charset="0"/>
                <a:ea typeface="+mn-ea"/>
                <a:cs typeface="+mn-cs"/>
              </a:defRPr>
            </a:pPr>
            <a:endParaRPr lang="en-US"/>
          </a:p>
        </c:txPr>
        <c:crossAx val="630743544"/>
        <c:crosses val="autoZero"/>
        <c:crossBetween val="midCat"/>
        <c:majorUnit val="5.000000000000001E-2"/>
      </c:valAx>
      <c:spPr>
        <a:noFill/>
        <a:ln w="9525">
          <a:solidFill>
            <a:sysClr val="windowText" lastClr="000000"/>
          </a:solidFill>
        </a:ln>
        <a:effectLst/>
      </c:spPr>
    </c:plotArea>
    <c:plotVisOnly val="1"/>
    <c:dispBlanksAs val="span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Bell MT" panose="02020503060305020303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638894940503978"/>
          <c:y val="2.9170822397200345E-2"/>
          <c:w val="0.84320707935223516"/>
          <c:h val="0.83858063073716693"/>
        </c:manualLayout>
      </c:layout>
      <c:scatterChart>
        <c:scatterStyle val="lineMarker"/>
        <c:varyColors val="0"/>
        <c:ser>
          <c:idx val="0"/>
          <c:order val="0"/>
          <c:tx>
            <c:strRef>
              <c:f>Gini!$D$1</c:f>
              <c:strCache>
                <c:ptCount val="1"/>
                <c:pt idx="0">
                  <c:v>gini_2002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rgbClr val="00B050"/>
              </a:solidFill>
              <a:ln w="9525">
                <a:noFill/>
              </a:ln>
              <a:effectLst/>
            </c:spPr>
          </c:marker>
          <c:dPt>
            <c:idx val="18"/>
            <c:marker>
              <c:symbol val="circle"/>
              <c:size val="8"/>
              <c:spPr>
                <a:solidFill>
                  <a:srgbClr val="00B05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902C-48B8-A4EB-294D833F89ED}"/>
              </c:ext>
            </c:extLst>
          </c:dPt>
          <c:dPt>
            <c:idx val="19"/>
            <c:marker>
              <c:symbol val="circle"/>
              <c:size val="8"/>
              <c:spPr>
                <a:solidFill>
                  <a:srgbClr val="00B05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902C-48B8-A4EB-294D833F89ED}"/>
              </c:ext>
            </c:extLst>
          </c:dPt>
          <c:dPt>
            <c:idx val="20"/>
            <c:marker>
              <c:symbol val="circle"/>
              <c:size val="8"/>
              <c:spPr>
                <a:solidFill>
                  <a:srgbClr val="00B05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902C-48B8-A4EB-294D833F89ED}"/>
              </c:ext>
            </c:extLst>
          </c:dPt>
          <c:dPt>
            <c:idx val="21"/>
            <c:marker>
              <c:symbol val="circle"/>
              <c:size val="8"/>
              <c:spPr>
                <a:solidFill>
                  <a:srgbClr val="00B05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902C-48B8-A4EB-294D833F89ED}"/>
              </c:ext>
            </c:extLst>
          </c:dPt>
          <c:dPt>
            <c:idx val="22"/>
            <c:marker>
              <c:symbol val="circle"/>
              <c:size val="8"/>
              <c:spPr>
                <a:solidFill>
                  <a:srgbClr val="00B05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902C-48B8-A4EB-294D833F89ED}"/>
              </c:ext>
            </c:extLst>
          </c:dPt>
          <c:dPt>
            <c:idx val="23"/>
            <c:marker>
              <c:symbol val="circle"/>
              <c:size val="8"/>
              <c:spPr>
                <a:solidFill>
                  <a:srgbClr val="00B05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902C-48B8-A4EB-294D833F89ED}"/>
              </c:ext>
            </c:extLst>
          </c:dPt>
          <c:xVal>
            <c:numRef>
              <c:f>Gini!$D$2:$D$19</c:f>
              <c:numCache>
                <c:formatCode>_(* #,##0.00_);_(* \(#,##0.00\);_(* "-"??_);_(@_)</c:formatCode>
                <c:ptCount val="18"/>
                <c:pt idx="0">
                  <c:v>0.50182459999999995</c:v>
                </c:pt>
                <c:pt idx="1">
                  <c:v>0.6015836</c:v>
                </c:pt>
                <c:pt idx="2">
                  <c:v>0.58619825999999997</c:v>
                </c:pt>
                <c:pt idx="3">
                  <c:v>0.51489868000000005</c:v>
                </c:pt>
                <c:pt idx="4">
                  <c:v>0.58254918</c:v>
                </c:pt>
                <c:pt idx="5">
                  <c:v>0.48096070000000002</c:v>
                </c:pt>
                <c:pt idx="6">
                  <c:v>0.50116819999999995</c:v>
                </c:pt>
                <c:pt idx="7">
                  <c:v>0.54991343000000004</c:v>
                </c:pt>
                <c:pt idx="8">
                  <c:v>0.54889489000000002</c:v>
                </c:pt>
                <c:pt idx="9">
                  <c:v>0.58779693</c:v>
                </c:pt>
                <c:pt idx="10">
                  <c:v>0.51246681000000005</c:v>
                </c:pt>
                <c:pt idx="11">
                  <c:v>0.53141592000000004</c:v>
                </c:pt>
                <c:pt idx="12">
                  <c:v>0.52632168000000001</c:v>
                </c:pt>
                <c:pt idx="13">
                  <c:v>0.51196593999999995</c:v>
                </c:pt>
                <c:pt idx="14">
                  <c:v>0.57335537000000003</c:v>
                </c:pt>
                <c:pt idx="15">
                  <c:v>0.51535317999999997</c:v>
                </c:pt>
                <c:pt idx="16">
                  <c:v>0.46655236999999999</c:v>
                </c:pt>
                <c:pt idx="17">
                  <c:v>0.4815468</c:v>
                </c:pt>
              </c:numCache>
            </c:numRef>
          </c:xVal>
          <c:yVal>
            <c:numRef>
              <c:f>Gini!$Q$2:$Q$19</c:f>
              <c:numCache>
                <c:formatCode>_(* #,##0.00_);_(* \(#,##0.00\);_(* "-"??_);_(@_)</c:formatCode>
                <c:ptCount val="18"/>
                <c:pt idx="1">
                  <c:v>0.45777488</c:v>
                </c:pt>
                <c:pt idx="2">
                  <c:v>0.51350794</c:v>
                </c:pt>
                <c:pt idx="3">
                  <c:v>0.47651670000000002</c:v>
                </c:pt>
                <c:pt idx="4">
                  <c:v>0.51069376</c:v>
                </c:pt>
                <c:pt idx="5">
                  <c:v>0.48174398000000002</c:v>
                </c:pt>
                <c:pt idx="6">
                  <c:v>0.44880756999999999</c:v>
                </c:pt>
                <c:pt idx="7">
                  <c:v>0.46544669999999999</c:v>
                </c:pt>
                <c:pt idx="9">
                  <c:v>0.50096061000000003</c:v>
                </c:pt>
                <c:pt idx="12">
                  <c:v>0.50981854999999998</c:v>
                </c:pt>
                <c:pt idx="13">
                  <c:v>0.44290905000000003</c:v>
                </c:pt>
                <c:pt idx="14">
                  <c:v>0.47981648999999998</c:v>
                </c:pt>
                <c:pt idx="15">
                  <c:v>0.40752209</c:v>
                </c:pt>
                <c:pt idx="16">
                  <c:v>0.42006956000000001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902C-48B8-A4EB-294D833F89ED}"/>
            </c:ext>
          </c:extLst>
        </c:ser>
        <c:ser>
          <c:idx val="1"/>
          <c:order val="1"/>
          <c:tx>
            <c:strRef>
              <c:f>Gini!$A$22</c:f>
              <c:strCache>
                <c:ptCount val="1"/>
                <c:pt idx="0">
                  <c:v>45 line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trendline>
            <c:spPr>
              <a:ln w="19050" cap="flat" cmpd="sng" algn="ctr">
                <a:solidFill>
                  <a:srgbClr val="92D050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Gini!$A$23:$A$24</c:f>
              <c:numCache>
                <c:formatCode>0.00</c:formatCode>
                <c:ptCount val="2"/>
                <c:pt idx="0">
                  <c:v>0.4</c:v>
                </c:pt>
                <c:pt idx="1">
                  <c:v>0.6</c:v>
                </c:pt>
              </c:numCache>
            </c:numRef>
          </c:xVal>
          <c:yVal>
            <c:numRef>
              <c:f>Gini!$A$23:$A$24</c:f>
              <c:numCache>
                <c:formatCode>0.00</c:formatCode>
                <c:ptCount val="2"/>
                <c:pt idx="0">
                  <c:v>0.4</c:v>
                </c:pt>
                <c:pt idx="1">
                  <c:v>0.6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902C-48B8-A4EB-294D833F89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0744720"/>
        <c:axId val="630745112"/>
      </c:scatterChart>
      <c:valAx>
        <c:axId val="630744720"/>
        <c:scaling>
          <c:orientation val="minMax"/>
          <c:max val="0.60000000000000009"/>
          <c:min val="0.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Bell MT" panose="02020503060305020303" pitchFamily="18" charset="0"/>
                    <a:ea typeface="+mn-ea"/>
                    <a:cs typeface="+mn-cs"/>
                  </a:defRPr>
                </a:pPr>
                <a:r>
                  <a:rPr lang="en-US" sz="1050"/>
                  <a:t>Gini circa 2002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ysClr val="windowText" lastClr="000000"/>
                  </a:solidFill>
                  <a:latin typeface="Bell MT" panose="02020503060305020303" pitchFamily="18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low"/>
        <c:spPr>
          <a:noFill/>
          <a:ln w="9525" cap="flat" cmpd="sng" algn="ctr">
            <a:solidFill>
              <a:sysClr val="windowText" lastClr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Bell MT" panose="02020503060305020303" pitchFamily="18" charset="0"/>
                <a:ea typeface="+mn-ea"/>
                <a:cs typeface="+mn-cs"/>
              </a:defRPr>
            </a:pPr>
            <a:endParaRPr lang="en-US"/>
          </a:p>
        </c:txPr>
        <c:crossAx val="630745112"/>
        <c:crosses val="autoZero"/>
        <c:crossBetween val="midCat"/>
        <c:majorUnit val="5.000000000000001E-2"/>
      </c:valAx>
      <c:valAx>
        <c:axId val="630745112"/>
        <c:scaling>
          <c:orientation val="minMax"/>
          <c:max val="0.60000000000000009"/>
          <c:min val="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Bell MT" panose="02020503060305020303" pitchFamily="18" charset="0"/>
                    <a:ea typeface="+mn-ea"/>
                    <a:cs typeface="+mn-cs"/>
                  </a:defRPr>
                </a:pPr>
                <a:r>
                  <a:rPr lang="en-US" sz="1050">
                    <a:solidFill>
                      <a:sysClr val="windowText" lastClr="000000"/>
                    </a:solidFill>
                  </a:rPr>
                  <a:t>Gini circa 2013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ysClr val="windowText" lastClr="000000"/>
                  </a:solidFill>
                  <a:latin typeface="Bell MT" panose="02020503060305020303" pitchFamily="18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0"/>
        <c:majorTickMark val="none"/>
        <c:minorTickMark val="none"/>
        <c:tickLblPos val="low"/>
        <c:spPr>
          <a:noFill/>
          <a:ln w="9525" cap="flat" cmpd="sng" algn="ctr">
            <a:solidFill>
              <a:sysClr val="windowText" lastClr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Bell MT" panose="02020503060305020303" pitchFamily="18" charset="0"/>
                <a:ea typeface="+mn-ea"/>
                <a:cs typeface="+mn-cs"/>
              </a:defRPr>
            </a:pPr>
            <a:endParaRPr lang="en-US"/>
          </a:p>
        </c:txPr>
        <c:crossAx val="630744720"/>
        <c:crosses val="autoZero"/>
        <c:crossBetween val="midCat"/>
        <c:majorUnit val="5.000000000000001E-2"/>
      </c:valAx>
      <c:spPr>
        <a:noFill/>
        <a:ln w="9525">
          <a:solidFill>
            <a:sysClr val="windowText" lastClr="000000"/>
          </a:solidFill>
        </a:ln>
        <a:effectLst/>
      </c:spPr>
    </c:plotArea>
    <c:plotVisOnly val="1"/>
    <c:dispBlanksAs val="span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Bell MT" panose="02020503060305020303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1378004626892"/>
          <c:y val="2.9170822397200345E-2"/>
          <c:w val="0.84057203323892804"/>
          <c:h val="0.83858063073716693"/>
        </c:manualLayout>
      </c:layout>
      <c:scatterChart>
        <c:scatterStyle val="lineMarker"/>
        <c:varyColors val="0"/>
        <c:ser>
          <c:idx val="0"/>
          <c:order val="0"/>
          <c:tx>
            <c:strRef>
              <c:f>Unfair!$D$1</c:f>
              <c:strCache>
                <c:ptCount val="1"/>
                <c:pt idx="0">
                  <c:v>unfair_2002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6"/>
            <c:spPr>
              <a:solidFill>
                <a:srgbClr val="00B0F0"/>
              </a:solidFill>
              <a:ln w="9525">
                <a:noFill/>
              </a:ln>
              <a:effectLst/>
            </c:spPr>
          </c:marker>
          <c:dPt>
            <c:idx val="18"/>
            <c:marker>
              <c:symbol val="triangle"/>
              <c:size val="6"/>
              <c:spPr>
                <a:solidFill>
                  <a:srgbClr val="00B0F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E216-44A4-BE95-9552FBBCE98A}"/>
              </c:ext>
            </c:extLst>
          </c:dPt>
          <c:dPt>
            <c:idx val="19"/>
            <c:marker>
              <c:symbol val="triangle"/>
              <c:size val="6"/>
              <c:spPr>
                <a:solidFill>
                  <a:srgbClr val="00B0F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E216-44A4-BE95-9552FBBCE98A}"/>
              </c:ext>
            </c:extLst>
          </c:dPt>
          <c:dPt>
            <c:idx val="20"/>
            <c:marker>
              <c:symbol val="triangle"/>
              <c:size val="6"/>
              <c:spPr>
                <a:solidFill>
                  <a:srgbClr val="00B0F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E216-44A4-BE95-9552FBBCE98A}"/>
              </c:ext>
            </c:extLst>
          </c:dPt>
          <c:dPt>
            <c:idx val="21"/>
            <c:marker>
              <c:symbol val="triangle"/>
              <c:size val="6"/>
              <c:spPr>
                <a:solidFill>
                  <a:srgbClr val="00B0F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E216-44A4-BE95-9552FBBCE98A}"/>
              </c:ext>
            </c:extLst>
          </c:dPt>
          <c:dPt>
            <c:idx val="22"/>
            <c:marker>
              <c:symbol val="triangle"/>
              <c:size val="6"/>
              <c:spPr>
                <a:solidFill>
                  <a:srgbClr val="00B0F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E216-44A4-BE95-9552FBBCE98A}"/>
              </c:ext>
            </c:extLst>
          </c:dPt>
          <c:dPt>
            <c:idx val="23"/>
            <c:marker>
              <c:symbol val="triangle"/>
              <c:size val="6"/>
              <c:spPr>
                <a:solidFill>
                  <a:srgbClr val="00B0F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E216-44A4-BE95-9552FBBCE98A}"/>
              </c:ext>
            </c:extLst>
          </c:dPt>
          <c:xVal>
            <c:numRef>
              <c:f>Unfair!$D$2:$D$19</c:f>
              <c:numCache>
                <c:formatCode>_(* #,##0.0_);_(* \(#,##0.0\);_(* "-"??_);_(@_)</c:formatCode>
                <c:ptCount val="18"/>
                <c:pt idx="0">
                  <c:v>97.525989999999993</c:v>
                </c:pt>
                <c:pt idx="1">
                  <c:v>86.814019999999999</c:v>
                </c:pt>
                <c:pt idx="2">
                  <c:v>85.964910000000003</c:v>
                </c:pt>
                <c:pt idx="3">
                  <c:v>90.867090000000005</c:v>
                </c:pt>
                <c:pt idx="4">
                  <c:v>90.709680000000006</c:v>
                </c:pt>
                <c:pt idx="5">
                  <c:v>75</c:v>
                </c:pt>
                <c:pt idx="6">
                  <c:v>74.32978</c:v>
                </c:pt>
                <c:pt idx="7">
                  <c:v>88.320390000000003</c:v>
                </c:pt>
                <c:pt idx="8">
                  <c:v>87.138099999999994</c:v>
                </c:pt>
                <c:pt idx="9">
                  <c:v>81.613979999999998</c:v>
                </c:pt>
                <c:pt idx="10">
                  <c:v>92.273700000000005</c:v>
                </c:pt>
                <c:pt idx="11">
                  <c:v>78.390299999999996</c:v>
                </c:pt>
                <c:pt idx="12">
                  <c:v>91.79562</c:v>
                </c:pt>
                <c:pt idx="13">
                  <c:v>86.060919999999996</c:v>
                </c:pt>
                <c:pt idx="14">
                  <c:v>92.275170000000003</c:v>
                </c:pt>
                <c:pt idx="15">
                  <c:v>81.354699999999994</c:v>
                </c:pt>
                <c:pt idx="16">
                  <c:v>91.61054</c:v>
                </c:pt>
                <c:pt idx="17">
                  <c:v>74.600369999999998</c:v>
                </c:pt>
              </c:numCache>
            </c:numRef>
          </c:xVal>
          <c:yVal>
            <c:numRef>
              <c:f>Unfair!$I$2:$I$19</c:f>
              <c:numCache>
                <c:formatCode>_(* #,##0.0_);_(* \(#,##0.0\);_(* "-"??_);_(@_)</c:formatCode>
                <c:ptCount val="18"/>
                <c:pt idx="0">
                  <c:v>75.039439999999999</c:v>
                </c:pt>
                <c:pt idx="1">
                  <c:v>63.432839999999999</c:v>
                </c:pt>
                <c:pt idx="2">
                  <c:v>80.952380000000005</c:v>
                </c:pt>
                <c:pt idx="3">
                  <c:v>89.508210000000005</c:v>
                </c:pt>
                <c:pt idx="4">
                  <c:v>85.383899999999997</c:v>
                </c:pt>
                <c:pt idx="5">
                  <c:v>84.137190000000004</c:v>
                </c:pt>
                <c:pt idx="6">
                  <c:v>72.611469999999997</c:v>
                </c:pt>
                <c:pt idx="7">
                  <c:v>43.67841</c:v>
                </c:pt>
                <c:pt idx="8">
                  <c:v>76.253879999999995</c:v>
                </c:pt>
                <c:pt idx="9">
                  <c:v>87.051810000000003</c:v>
                </c:pt>
                <c:pt idx="10">
                  <c:v>79.964849999999998</c:v>
                </c:pt>
                <c:pt idx="11">
                  <c:v>54.9497</c:v>
                </c:pt>
                <c:pt idx="12">
                  <c:v>63.213529999999999</c:v>
                </c:pt>
                <c:pt idx="13">
                  <c:v>82.005369999999999</c:v>
                </c:pt>
                <c:pt idx="14">
                  <c:v>90.216220000000007</c:v>
                </c:pt>
                <c:pt idx="15">
                  <c:v>69.912880000000001</c:v>
                </c:pt>
                <c:pt idx="16">
                  <c:v>63.44464</c:v>
                </c:pt>
                <c:pt idx="17">
                  <c:v>55.622309999999999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216-44A4-BE95-9552FBBCE98A}"/>
            </c:ext>
          </c:extLst>
        </c:ser>
        <c:ser>
          <c:idx val="1"/>
          <c:order val="1"/>
          <c:tx>
            <c:strRef>
              <c:f>Unfair!$A$25</c:f>
              <c:strCache>
                <c:ptCount val="1"/>
                <c:pt idx="0">
                  <c:v>45 line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rgbClr val="00B0F0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Unfair!$A$26:$A$27</c:f>
              <c:numCache>
                <c:formatCode>0.00</c:formatCode>
                <c:ptCount val="2"/>
                <c:pt idx="0">
                  <c:v>30</c:v>
                </c:pt>
                <c:pt idx="1">
                  <c:v>100</c:v>
                </c:pt>
              </c:numCache>
            </c:numRef>
          </c:xVal>
          <c:yVal>
            <c:numRef>
              <c:f>Unfair!$A$26:$A$27</c:f>
              <c:numCache>
                <c:formatCode>0.00</c:formatCode>
                <c:ptCount val="2"/>
                <c:pt idx="0">
                  <c:v>30</c:v>
                </c:pt>
                <c:pt idx="1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E216-44A4-BE95-9552FBBCE9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0745896"/>
        <c:axId val="630746288"/>
      </c:scatterChart>
      <c:valAx>
        <c:axId val="630745896"/>
        <c:scaling>
          <c:orientation val="minMax"/>
          <c:max val="100"/>
          <c:min val="4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Bell MT" panose="02020503060305020303" pitchFamily="18" charset="0"/>
                    <a:ea typeface="+mn-ea"/>
                    <a:cs typeface="+mn-cs"/>
                  </a:defRPr>
                </a:pPr>
                <a:r>
                  <a:rPr lang="en-US" sz="1050"/>
                  <a:t>% Unfair or very unfair (2002)</a:t>
                </a:r>
              </a:p>
            </c:rich>
          </c:tx>
          <c:layout>
            <c:manualLayout>
              <c:xMode val="edge"/>
              <c:yMode val="edge"/>
              <c:x val="0.35778386397352502"/>
              <c:y val="0.9371209982674680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ysClr val="windowText" lastClr="000000"/>
                  </a:solidFill>
                  <a:latin typeface="Bell MT" panose="02020503060305020303" pitchFamily="18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low"/>
        <c:spPr>
          <a:noFill/>
          <a:ln w="9525" cap="flat" cmpd="sng" algn="ctr">
            <a:solidFill>
              <a:sysClr val="windowText" lastClr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Bell MT" panose="02020503060305020303" pitchFamily="18" charset="0"/>
                <a:ea typeface="+mn-ea"/>
                <a:cs typeface="+mn-cs"/>
              </a:defRPr>
            </a:pPr>
            <a:endParaRPr lang="en-US"/>
          </a:p>
        </c:txPr>
        <c:crossAx val="630746288"/>
        <c:crosses val="autoZero"/>
        <c:crossBetween val="midCat"/>
        <c:majorUnit val="20"/>
      </c:valAx>
      <c:valAx>
        <c:axId val="630746288"/>
        <c:scaling>
          <c:orientation val="minMax"/>
          <c:max val="100"/>
          <c:min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Bell MT" panose="02020503060305020303" pitchFamily="18" charset="0"/>
                    <a:ea typeface="+mn-ea"/>
                    <a:cs typeface="+mn-cs"/>
                  </a:defRPr>
                </a:pPr>
                <a:r>
                  <a:rPr lang="en-US" sz="1050"/>
                  <a:t>% Unfair or very unfair (2013)</a:t>
                </a:r>
              </a:p>
            </c:rich>
          </c:tx>
          <c:layout>
            <c:manualLayout>
              <c:xMode val="edge"/>
              <c:yMode val="edge"/>
              <c:x val="7.9051383399209481E-3"/>
              <c:y val="0.199961654088699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ysClr val="windowText" lastClr="000000"/>
                  </a:solidFill>
                  <a:latin typeface="Bell MT" panose="02020503060305020303" pitchFamily="18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low"/>
        <c:spPr>
          <a:noFill/>
          <a:ln w="9525" cap="flat" cmpd="sng" algn="ctr">
            <a:solidFill>
              <a:sysClr val="windowText" lastClr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Bell MT" panose="02020503060305020303" pitchFamily="18" charset="0"/>
                <a:ea typeface="+mn-ea"/>
                <a:cs typeface="+mn-cs"/>
              </a:defRPr>
            </a:pPr>
            <a:endParaRPr lang="en-US"/>
          </a:p>
        </c:txPr>
        <c:crossAx val="630745896"/>
        <c:crosses val="autoZero"/>
        <c:crossBetween val="midCat"/>
        <c:majorUnit val="20"/>
      </c:valAx>
      <c:spPr>
        <a:noFill/>
        <a:ln w="9525">
          <a:solidFill>
            <a:sysClr val="windowText" lastClr="000000"/>
          </a:solidFill>
        </a:ln>
        <a:effectLst/>
      </c:spPr>
    </c:plotArea>
    <c:plotVisOnly val="1"/>
    <c:dispBlanksAs val="span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Bell MT" panose="02020503060305020303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4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1378004626892"/>
          <c:y val="2.9170822397200345E-2"/>
          <c:w val="0.84057203323892804"/>
          <c:h val="0.83858063073716693"/>
        </c:manualLayout>
      </c:layout>
      <c:scatterChart>
        <c:scatterStyle val="lineMarker"/>
        <c:varyColors val="0"/>
        <c:ser>
          <c:idx val="0"/>
          <c:order val="0"/>
          <c:tx>
            <c:strRef>
              <c:f>Unfair!$D$1</c:f>
              <c:strCache>
                <c:ptCount val="1"/>
                <c:pt idx="0">
                  <c:v>unfair_2002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6"/>
            <c:spPr>
              <a:solidFill>
                <a:srgbClr val="00B0F0"/>
              </a:solidFill>
              <a:ln w="9525">
                <a:noFill/>
              </a:ln>
              <a:effectLst/>
            </c:spPr>
          </c:marker>
          <c:dPt>
            <c:idx val="18"/>
            <c:marker>
              <c:symbol val="triangle"/>
              <c:size val="6"/>
              <c:spPr>
                <a:solidFill>
                  <a:srgbClr val="00B0F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D6B7-4F3E-81B2-E40EF4F10388}"/>
              </c:ext>
            </c:extLst>
          </c:dPt>
          <c:dPt>
            <c:idx val="19"/>
            <c:marker>
              <c:symbol val="triangle"/>
              <c:size val="6"/>
              <c:spPr>
                <a:solidFill>
                  <a:srgbClr val="00B0F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D6B7-4F3E-81B2-E40EF4F10388}"/>
              </c:ext>
            </c:extLst>
          </c:dPt>
          <c:dPt>
            <c:idx val="20"/>
            <c:marker>
              <c:symbol val="triangle"/>
              <c:size val="6"/>
              <c:spPr>
                <a:solidFill>
                  <a:srgbClr val="00B0F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D6B7-4F3E-81B2-E40EF4F10388}"/>
              </c:ext>
            </c:extLst>
          </c:dPt>
          <c:dPt>
            <c:idx val="21"/>
            <c:marker>
              <c:symbol val="triangle"/>
              <c:size val="6"/>
              <c:spPr>
                <a:solidFill>
                  <a:srgbClr val="00B0F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D6B7-4F3E-81B2-E40EF4F10388}"/>
              </c:ext>
            </c:extLst>
          </c:dPt>
          <c:dPt>
            <c:idx val="22"/>
            <c:marker>
              <c:symbol val="triangle"/>
              <c:size val="6"/>
              <c:spPr>
                <a:solidFill>
                  <a:srgbClr val="00B0F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D6B7-4F3E-81B2-E40EF4F10388}"/>
              </c:ext>
            </c:extLst>
          </c:dPt>
          <c:dPt>
            <c:idx val="23"/>
            <c:marker>
              <c:symbol val="triangle"/>
              <c:size val="6"/>
              <c:spPr>
                <a:solidFill>
                  <a:srgbClr val="00B0F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D6B7-4F3E-81B2-E40EF4F10388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A131A783-42F6-4BBE-BC5F-025A6CB2C6B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D6B7-4F3E-81B2-E40EF4F10388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7095D165-BFD9-4771-B604-58A49F261CE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D6B7-4F3E-81B2-E40EF4F10388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EB21A7DB-E733-47B7-BD18-3B89B1ACE09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D6B7-4F3E-81B2-E40EF4F10388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989CA144-3B4A-43CD-82F9-88E7DDCFF2C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D6B7-4F3E-81B2-E40EF4F10388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B83A2D9E-4FB3-4BE2-A334-E8CCF45A231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D6B7-4F3E-81B2-E40EF4F10388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B316A288-5947-426D-A6EA-233807FD4FB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D6B7-4F3E-81B2-E40EF4F10388}"/>
                </c:ext>
              </c:extLst>
            </c:dLbl>
            <c:dLbl>
              <c:idx val="6"/>
              <c:layout>
                <c:manualLayout>
                  <c:x val="-1.6025641025641024E-2"/>
                  <c:y val="3.3844521068380845E-2"/>
                </c:manualLayout>
              </c:layout>
              <c:tx>
                <c:rich>
                  <a:bodyPr/>
                  <a:lstStyle/>
                  <a:p>
                    <a:fld id="{DD4649D2-E660-4876-9205-F88BC7B092E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C-D6B7-4F3E-81B2-E40EF4F10388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D7A04532-C80E-44CC-B39F-782B2B2B16C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D6B7-4F3E-81B2-E40EF4F10388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462991C0-C764-4DB9-A885-17086A0482F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D6B7-4F3E-81B2-E40EF4F10388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E12E2AD4-004B-43CE-8573-F8DDA59055F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D6B7-4F3E-81B2-E40EF4F10388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0B7A6ACA-E7DF-4A5A-B9B4-FAA757B6899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D6B7-4F3E-81B2-E40EF4F10388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68409882-AE4C-46EE-972F-DCD2632ABCC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D6B7-4F3E-81B2-E40EF4F10388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F721B35A-5895-4339-95B8-85E7F5028B4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D6B7-4F3E-81B2-E40EF4F10388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A97A34CC-CA74-48A5-AB27-0E828D44C08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D6B7-4F3E-81B2-E40EF4F10388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FD855BC8-6426-4269-8968-0E925B9718A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D6B7-4F3E-81B2-E40EF4F10388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DC921E0D-0BF4-4C36-ADE8-7481290B56E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D6B7-4F3E-81B2-E40EF4F10388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0EDEB002-4890-47AD-88ED-743C99334D4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D6B7-4F3E-81B2-E40EF4F10388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2C9FFC01-8456-481A-B558-0100DF233C4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D6B7-4F3E-81B2-E40EF4F1038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Bell MT" panose="02020503060305020303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Unfair!$D$2:$D$19</c:f>
              <c:numCache>
                <c:formatCode>_(* #,##0.0_);_(* \(#,##0.0\);_(* "-"??_);_(@_)</c:formatCode>
                <c:ptCount val="18"/>
                <c:pt idx="0">
                  <c:v>97.525989999999993</c:v>
                </c:pt>
                <c:pt idx="1">
                  <c:v>86.814019999999999</c:v>
                </c:pt>
                <c:pt idx="2">
                  <c:v>85.964910000000003</c:v>
                </c:pt>
                <c:pt idx="3">
                  <c:v>90.867090000000005</c:v>
                </c:pt>
                <c:pt idx="4">
                  <c:v>90.709680000000006</c:v>
                </c:pt>
                <c:pt idx="5">
                  <c:v>75</c:v>
                </c:pt>
                <c:pt idx="6">
                  <c:v>74.32978</c:v>
                </c:pt>
                <c:pt idx="7">
                  <c:v>88.320390000000003</c:v>
                </c:pt>
                <c:pt idx="8">
                  <c:v>87.138099999999994</c:v>
                </c:pt>
                <c:pt idx="9">
                  <c:v>81.613979999999998</c:v>
                </c:pt>
                <c:pt idx="10">
                  <c:v>92.273700000000005</c:v>
                </c:pt>
                <c:pt idx="11">
                  <c:v>78.390299999999996</c:v>
                </c:pt>
                <c:pt idx="12">
                  <c:v>91.79562</c:v>
                </c:pt>
                <c:pt idx="13">
                  <c:v>86.060919999999996</c:v>
                </c:pt>
                <c:pt idx="14">
                  <c:v>92.275170000000003</c:v>
                </c:pt>
                <c:pt idx="15">
                  <c:v>81.354699999999994</c:v>
                </c:pt>
                <c:pt idx="16">
                  <c:v>91.61054</c:v>
                </c:pt>
                <c:pt idx="17">
                  <c:v>74.600369999999998</c:v>
                </c:pt>
              </c:numCache>
            </c:numRef>
          </c:xVal>
          <c:yVal>
            <c:numRef>
              <c:f>Unfair!$J$2:$J$19</c:f>
              <c:numCache>
                <c:formatCode>_(* #,##0.0_);_(* \(#,##0.0\);_(* "-"??_);_(@_)</c:formatCode>
                <c:ptCount val="18"/>
                <c:pt idx="0">
                  <c:v>78.533159999999995</c:v>
                </c:pt>
                <c:pt idx="1">
                  <c:v>52.990659999999998</c:v>
                </c:pt>
                <c:pt idx="2">
                  <c:v>92.326530000000005</c:v>
                </c:pt>
                <c:pt idx="3">
                  <c:v>94.941569999999999</c:v>
                </c:pt>
                <c:pt idx="4">
                  <c:v>85.589370000000002</c:v>
                </c:pt>
                <c:pt idx="5">
                  <c:v>81.294970000000006</c:v>
                </c:pt>
                <c:pt idx="6">
                  <c:v>74.406750000000002</c:v>
                </c:pt>
                <c:pt idx="7">
                  <c:v>46.210039999999999</c:v>
                </c:pt>
                <c:pt idx="8">
                  <c:v>78.605419999999995</c:v>
                </c:pt>
                <c:pt idx="9">
                  <c:v>79.836330000000004</c:v>
                </c:pt>
                <c:pt idx="10">
                  <c:v>82.423209999999997</c:v>
                </c:pt>
                <c:pt idx="11">
                  <c:v>57.824069999999999</c:v>
                </c:pt>
                <c:pt idx="12">
                  <c:v>62.108559999999997</c:v>
                </c:pt>
                <c:pt idx="13">
                  <c:v>82.273949999999999</c:v>
                </c:pt>
                <c:pt idx="14">
                  <c:v>85.678319999999999</c:v>
                </c:pt>
                <c:pt idx="15">
                  <c:v>76.740939999999995</c:v>
                </c:pt>
                <c:pt idx="16">
                  <c:v>65.706810000000004</c:v>
                </c:pt>
                <c:pt idx="17">
                  <c:v>74.032679999999999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Unfair!$A$2:$A$19</c15:f>
                <c15:dlblRangeCache>
                  <c:ptCount val="18"/>
                  <c:pt idx="0">
                    <c:v>arg</c:v>
                  </c:pt>
                  <c:pt idx="1">
                    <c:v>bol</c:v>
                  </c:pt>
                  <c:pt idx="2">
                    <c:v>bra</c:v>
                  </c:pt>
                  <c:pt idx="3">
                    <c:v>chl</c:v>
                  </c:pt>
                  <c:pt idx="4">
                    <c:v>col</c:v>
                  </c:pt>
                  <c:pt idx="5">
                    <c:v>cri</c:v>
                  </c:pt>
                  <c:pt idx="6">
                    <c:v>dom</c:v>
                  </c:pt>
                  <c:pt idx="7">
                    <c:v>ecu</c:v>
                  </c:pt>
                  <c:pt idx="8">
                    <c:v>gtm</c:v>
                  </c:pt>
                  <c:pt idx="9">
                    <c:v>hnd</c:v>
                  </c:pt>
                  <c:pt idx="10">
                    <c:v>mex</c:v>
                  </c:pt>
                  <c:pt idx="11">
                    <c:v>nic</c:v>
                  </c:pt>
                  <c:pt idx="12">
                    <c:v>pan</c:v>
                  </c:pt>
                  <c:pt idx="13">
                    <c:v>per</c:v>
                  </c:pt>
                  <c:pt idx="14">
                    <c:v>pry</c:v>
                  </c:pt>
                  <c:pt idx="15">
                    <c:v>slv</c:v>
                  </c:pt>
                  <c:pt idx="16">
                    <c:v>ury</c:v>
                  </c:pt>
                  <c:pt idx="17">
                    <c:v>ven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8-D6B7-4F3E-81B2-E40EF4F10388}"/>
            </c:ext>
          </c:extLst>
        </c:ser>
        <c:ser>
          <c:idx val="1"/>
          <c:order val="1"/>
          <c:tx>
            <c:strRef>
              <c:f>Unfair!$A$25</c:f>
              <c:strCache>
                <c:ptCount val="1"/>
                <c:pt idx="0">
                  <c:v>45 line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rgbClr val="00B0F0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Unfair!$A$26:$A$27</c:f>
              <c:numCache>
                <c:formatCode>0.00</c:formatCode>
                <c:ptCount val="2"/>
                <c:pt idx="0">
                  <c:v>30</c:v>
                </c:pt>
                <c:pt idx="1">
                  <c:v>100</c:v>
                </c:pt>
              </c:numCache>
            </c:numRef>
          </c:xVal>
          <c:yVal>
            <c:numRef>
              <c:f>Unfair!$A$26:$A$27</c:f>
              <c:numCache>
                <c:formatCode>0.00</c:formatCode>
                <c:ptCount val="2"/>
                <c:pt idx="0">
                  <c:v>30</c:v>
                </c:pt>
                <c:pt idx="1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D6B7-4F3E-81B2-E40EF4F103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0747072"/>
        <c:axId val="630747464"/>
      </c:scatterChart>
      <c:valAx>
        <c:axId val="630747072"/>
        <c:scaling>
          <c:orientation val="minMax"/>
          <c:max val="100"/>
          <c:min val="4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Bell MT" panose="02020503060305020303" pitchFamily="18" charset="0"/>
                    <a:ea typeface="+mn-ea"/>
                    <a:cs typeface="+mn-cs"/>
                  </a:defRPr>
                </a:pPr>
                <a:r>
                  <a:rPr lang="en-US" sz="1050"/>
                  <a:t>% Unfair or very unfair (2002)</a:t>
                </a:r>
              </a:p>
            </c:rich>
          </c:tx>
          <c:layout>
            <c:manualLayout>
              <c:xMode val="edge"/>
              <c:yMode val="edge"/>
              <c:x val="0.35778386397352502"/>
              <c:y val="0.9371209982674680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ysClr val="windowText" lastClr="000000"/>
                  </a:solidFill>
                  <a:latin typeface="Bell MT" panose="02020503060305020303" pitchFamily="18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low"/>
        <c:spPr>
          <a:noFill/>
          <a:ln w="9525" cap="flat" cmpd="sng" algn="ctr">
            <a:solidFill>
              <a:sysClr val="windowText" lastClr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Bell MT" panose="02020503060305020303" pitchFamily="18" charset="0"/>
                <a:ea typeface="+mn-ea"/>
                <a:cs typeface="+mn-cs"/>
              </a:defRPr>
            </a:pPr>
            <a:endParaRPr lang="en-US"/>
          </a:p>
        </c:txPr>
        <c:crossAx val="630747464"/>
        <c:crosses val="autoZero"/>
        <c:crossBetween val="midCat"/>
        <c:majorUnit val="20"/>
      </c:valAx>
      <c:valAx>
        <c:axId val="630747464"/>
        <c:scaling>
          <c:orientation val="minMax"/>
          <c:max val="100"/>
          <c:min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Bell MT" panose="02020503060305020303" pitchFamily="18" charset="0"/>
                    <a:ea typeface="+mn-ea"/>
                    <a:cs typeface="+mn-cs"/>
                  </a:defRPr>
                </a:pPr>
                <a:r>
                  <a:rPr lang="en-US" sz="1050"/>
                  <a:t>% Unfair or very unfair (2015)</a:t>
                </a:r>
              </a:p>
            </c:rich>
          </c:tx>
          <c:layout>
            <c:manualLayout>
              <c:xMode val="edge"/>
              <c:yMode val="edge"/>
              <c:x val="7.9051383399209481E-3"/>
              <c:y val="0.199961654088699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ysClr val="windowText" lastClr="000000"/>
                  </a:solidFill>
                  <a:latin typeface="Bell MT" panose="02020503060305020303" pitchFamily="18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low"/>
        <c:spPr>
          <a:noFill/>
          <a:ln w="9525" cap="flat" cmpd="sng" algn="ctr">
            <a:solidFill>
              <a:sysClr val="windowText" lastClr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Bell MT" panose="02020503060305020303" pitchFamily="18" charset="0"/>
                <a:ea typeface="+mn-ea"/>
                <a:cs typeface="+mn-cs"/>
              </a:defRPr>
            </a:pPr>
            <a:endParaRPr lang="en-US"/>
          </a:p>
        </c:txPr>
        <c:crossAx val="630747072"/>
        <c:crosses val="autoZero"/>
        <c:crossBetween val="midCat"/>
        <c:majorUnit val="20"/>
      </c:valAx>
      <c:spPr>
        <a:noFill/>
        <a:ln w="9525">
          <a:solidFill>
            <a:sysClr val="windowText" lastClr="000000"/>
          </a:solidFill>
        </a:ln>
        <a:effectLst/>
      </c:spPr>
    </c:plotArea>
    <c:plotVisOnly val="1"/>
    <c:dispBlanksAs val="span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Bell MT" panose="02020503060305020303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4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Bell MT" panose="02020503060305020303" pitchFamily="18" charset="0"/>
                <a:ea typeface="+mn-ea"/>
                <a:cs typeface="+mn-cs"/>
              </a:defRPr>
            </a:pPr>
            <a:r>
              <a:rPr lang="en-US"/>
              <a:t>Unfair or Very Unfair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Bell MT" panose="02020503060305020303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009623797025372"/>
          <c:y val="0.1321117672790901"/>
          <c:w val="0.89294701443569557"/>
          <c:h val="0.76091535433070878"/>
        </c:manualLayout>
      </c:layout>
      <c:lineChart>
        <c:grouping val="standard"/>
        <c:varyColors val="0"/>
        <c:ser>
          <c:idx val="1"/>
          <c:order val="0"/>
          <c:tx>
            <c:strRef>
              <c:f>CCTs!$D$2</c:f>
              <c:strCache>
                <c:ptCount val="1"/>
                <c:pt idx="0">
                  <c:v> Unfair or Very Unfair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CCTs!$B$4:$B$12</c:f>
              <c:strCache>
                <c:ptCount val="9"/>
                <c:pt idx="0">
                  <c:v>-4</c:v>
                </c:pt>
                <c:pt idx="1">
                  <c:v>-3</c:v>
                </c:pt>
                <c:pt idx="2">
                  <c:v>-2</c:v>
                </c:pt>
                <c:pt idx="3">
                  <c:v>-1</c:v>
                </c:pt>
                <c:pt idx="4">
                  <c:v>CCT</c:v>
                </c:pt>
                <c:pt idx="5">
                  <c:v>1</c:v>
                </c:pt>
                <c:pt idx="6">
                  <c:v>2</c:v>
                </c:pt>
                <c:pt idx="7">
                  <c:v>3</c:v>
                </c:pt>
                <c:pt idx="8">
                  <c:v>4</c:v>
                </c:pt>
              </c:strCache>
            </c:strRef>
          </c:cat>
          <c:val>
            <c:numRef>
              <c:f>CCTs!$D$4:$D$12</c:f>
              <c:numCache>
                <c:formatCode>_(* #,##0.00_);_(* \(#,##0.00\);_(* "-"??_);_(@_)</c:formatCode>
                <c:ptCount val="9"/>
                <c:pt idx="0">
                  <c:v>92.510490000000004</c:v>
                </c:pt>
                <c:pt idx="1">
                  <c:v>89.962630000000004</c:v>
                </c:pt>
                <c:pt idx="2">
                  <c:v>87.896609999999995</c:v>
                </c:pt>
                <c:pt idx="3">
                  <c:v>84.211039999999997</c:v>
                </c:pt>
                <c:pt idx="4">
                  <c:v>83.187269999999998</c:v>
                </c:pt>
                <c:pt idx="5">
                  <c:v>85.270060000000001</c:v>
                </c:pt>
                <c:pt idx="6">
                  <c:v>84.831679999999992</c:v>
                </c:pt>
                <c:pt idx="7">
                  <c:v>77.911280000000005</c:v>
                </c:pt>
                <c:pt idx="8">
                  <c:v>78.777709999999999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B5E-4BF1-A0DD-7123B76186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30750600"/>
        <c:axId val="630750992"/>
      </c:lineChart>
      <c:catAx>
        <c:axId val="6307506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50000"/>
                <a:lumOff val="50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ell MT" panose="02020503060305020303" pitchFamily="18" charset="0"/>
                <a:ea typeface="+mn-ea"/>
                <a:cs typeface="+mn-cs"/>
              </a:defRPr>
            </a:pPr>
            <a:endParaRPr lang="en-US"/>
          </a:p>
        </c:txPr>
        <c:crossAx val="630750992"/>
        <c:crosses val="autoZero"/>
        <c:auto val="1"/>
        <c:lblAlgn val="ctr"/>
        <c:lblOffset val="100"/>
        <c:noMultiLvlLbl val="0"/>
      </c:catAx>
      <c:valAx>
        <c:axId val="630750992"/>
        <c:scaling>
          <c:orientation val="minMax"/>
          <c:max val="100"/>
          <c:min val="70"/>
        </c:scaling>
        <c:delete val="0"/>
        <c:axPos val="l"/>
        <c:majorGridlines>
          <c:spPr>
            <a:ln w="9525" cap="flat" cmpd="sng" algn="ctr">
              <a:solidFill>
                <a:sysClr val="window" lastClr="FFFFFF">
                  <a:lumMod val="85000"/>
                </a:sys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Bell MT" panose="02020503060305020303" pitchFamily="18" charset="0"/>
                    <a:ea typeface="+mn-ea"/>
                    <a:cs typeface="+mn-cs"/>
                  </a:defRPr>
                </a:pPr>
                <a:r>
                  <a:rPr lang="en-US"/>
                  <a:t>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Bell MT" panose="02020503060305020303" pitchFamily="18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out"/>
        <c:minorTickMark val="none"/>
        <c:tickLblPos val="nextTo"/>
        <c:spPr>
          <a:noFill/>
          <a:ln>
            <a:solidFill>
              <a:schemeClr val="tx1">
                <a:lumMod val="50000"/>
                <a:lumOff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ell MT" panose="02020503060305020303" pitchFamily="18" charset="0"/>
                <a:ea typeface="+mn-ea"/>
                <a:cs typeface="+mn-cs"/>
              </a:defRPr>
            </a:pPr>
            <a:endParaRPr lang="en-US"/>
          </a:p>
        </c:txPr>
        <c:crossAx val="6307506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Bell MT" panose="02020503060305020303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Bell MT" panose="02020503060305020303" pitchFamily="18" charset="0"/>
                <a:ea typeface="+mn-ea"/>
                <a:cs typeface="+mn-cs"/>
              </a:defRPr>
            </a:pPr>
            <a:r>
              <a:rPr lang="en-US"/>
              <a:t>Only Unfair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Bell MT" panose="02020503060305020303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009623797025372"/>
          <c:y val="0.146000656167979"/>
          <c:w val="0.89294701443569557"/>
          <c:h val="0.74702646544181972"/>
        </c:manualLayout>
      </c:layout>
      <c:lineChart>
        <c:grouping val="standard"/>
        <c:varyColors val="0"/>
        <c:ser>
          <c:idx val="1"/>
          <c:order val="0"/>
          <c:tx>
            <c:strRef>
              <c:f>CCTs!$C$2</c:f>
              <c:strCache>
                <c:ptCount val="1"/>
                <c:pt idx="0">
                  <c:v> Only Unfair </c:v>
                </c:pt>
              </c:strCache>
            </c:strRef>
          </c:tx>
          <c:spPr>
            <a:ln w="28575" cap="rnd">
              <a:solidFill>
                <a:srgbClr val="C0504D"/>
              </a:solidFill>
              <a:round/>
            </a:ln>
            <a:effectLst/>
          </c:spPr>
          <c:marker>
            <c:symbol val="none"/>
          </c:marker>
          <c:cat>
            <c:strRef>
              <c:f>CCTs!$B$4:$B$12</c:f>
              <c:strCache>
                <c:ptCount val="9"/>
                <c:pt idx="0">
                  <c:v>-4</c:v>
                </c:pt>
                <c:pt idx="1">
                  <c:v>-3</c:v>
                </c:pt>
                <c:pt idx="2">
                  <c:v>-2</c:v>
                </c:pt>
                <c:pt idx="3">
                  <c:v>-1</c:v>
                </c:pt>
                <c:pt idx="4">
                  <c:v>CCT</c:v>
                </c:pt>
                <c:pt idx="5">
                  <c:v>1</c:v>
                </c:pt>
                <c:pt idx="6">
                  <c:v>2</c:v>
                </c:pt>
                <c:pt idx="7">
                  <c:v>3</c:v>
                </c:pt>
                <c:pt idx="8">
                  <c:v>4</c:v>
                </c:pt>
              </c:strCache>
            </c:strRef>
          </c:cat>
          <c:val>
            <c:numRef>
              <c:f>CCTs!$C$4:$C$12</c:f>
              <c:numCache>
                <c:formatCode>_(* #,##0.00_);_(* \(#,##0.00\);_(* "-"??_);_(@_)</c:formatCode>
                <c:ptCount val="9"/>
                <c:pt idx="0">
                  <c:v>56.893700000000003</c:v>
                </c:pt>
                <c:pt idx="1">
                  <c:v>53.881599999999999</c:v>
                </c:pt>
                <c:pt idx="2">
                  <c:v>50.345700000000008</c:v>
                </c:pt>
                <c:pt idx="3">
                  <c:v>53.482300000000002</c:v>
                </c:pt>
                <c:pt idx="4">
                  <c:v>48.0274</c:v>
                </c:pt>
                <c:pt idx="5">
                  <c:v>51.573999999999998</c:v>
                </c:pt>
                <c:pt idx="6">
                  <c:v>54.990099999999998</c:v>
                </c:pt>
                <c:pt idx="7">
                  <c:v>52.820799999999998</c:v>
                </c:pt>
                <c:pt idx="8">
                  <c:v>52.195499999999996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50C-43BE-BA30-6C0FBC0DAD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30751776"/>
        <c:axId val="630752168"/>
      </c:lineChart>
      <c:catAx>
        <c:axId val="6307517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50000"/>
                <a:lumOff val="50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ell MT" panose="02020503060305020303" pitchFamily="18" charset="0"/>
                <a:ea typeface="+mn-ea"/>
                <a:cs typeface="+mn-cs"/>
              </a:defRPr>
            </a:pPr>
            <a:endParaRPr lang="en-US"/>
          </a:p>
        </c:txPr>
        <c:crossAx val="630752168"/>
        <c:crosses val="autoZero"/>
        <c:auto val="1"/>
        <c:lblAlgn val="ctr"/>
        <c:lblOffset val="100"/>
        <c:noMultiLvlLbl val="0"/>
      </c:catAx>
      <c:valAx>
        <c:axId val="630752168"/>
        <c:scaling>
          <c:orientation val="minMax"/>
          <c:max val="60"/>
          <c:min val="40"/>
        </c:scaling>
        <c:delete val="0"/>
        <c:axPos val="l"/>
        <c:majorGridlines>
          <c:spPr>
            <a:ln w="9525" cap="flat" cmpd="sng" algn="ctr">
              <a:solidFill>
                <a:sysClr val="window" lastClr="FFFFFF">
                  <a:lumMod val="85000"/>
                </a:sys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Bell MT" panose="02020503060305020303" pitchFamily="18" charset="0"/>
                    <a:ea typeface="+mn-ea"/>
                    <a:cs typeface="+mn-cs"/>
                  </a:defRPr>
                </a:pPr>
                <a:r>
                  <a:rPr lang="en-US"/>
                  <a:t>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Bell MT" panose="02020503060305020303" pitchFamily="18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out"/>
        <c:minorTickMark val="none"/>
        <c:tickLblPos val="nextTo"/>
        <c:spPr>
          <a:noFill/>
          <a:ln>
            <a:solidFill>
              <a:schemeClr val="tx1">
                <a:lumMod val="50000"/>
                <a:lumOff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ell MT" panose="02020503060305020303" pitchFamily="18" charset="0"/>
                <a:ea typeface="+mn-ea"/>
                <a:cs typeface="+mn-cs"/>
              </a:defRPr>
            </a:pPr>
            <a:endParaRPr lang="en-US"/>
          </a:p>
        </c:txPr>
        <c:crossAx val="630751776"/>
        <c:crosses val="autoZero"/>
        <c:crossBetween val="between"/>
        <c:majorUnit val="5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Bell MT" panose="02020503060305020303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strRef>
          <c:f>CCTs!$E$2</c:f>
          <c:strCache>
            <c:ptCount val="1"/>
            <c:pt idx="0">
              <c:v> Fair 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Bell MT" panose="02020503060305020303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009623797025372"/>
          <c:y val="0.1321117672790901"/>
          <c:w val="0.89294701443569557"/>
          <c:h val="0.76091535433070878"/>
        </c:manualLayout>
      </c:layout>
      <c:lineChart>
        <c:grouping val="standard"/>
        <c:varyColors val="0"/>
        <c:ser>
          <c:idx val="1"/>
          <c:order val="0"/>
          <c:tx>
            <c:strRef>
              <c:f>CCTs!$E$2</c:f>
              <c:strCache>
                <c:ptCount val="1"/>
                <c:pt idx="0">
                  <c:v> Fair </c:v>
                </c:pt>
              </c:strCache>
            </c:strRef>
          </c:tx>
          <c:spPr>
            <a:ln w="28575" cap="rnd">
              <a:solidFill>
                <a:srgbClr val="9BBB59"/>
              </a:solidFill>
              <a:round/>
            </a:ln>
            <a:effectLst/>
          </c:spPr>
          <c:marker>
            <c:symbol val="none"/>
          </c:marker>
          <c:cat>
            <c:strRef>
              <c:f>CCTs!$B$4:$B$12</c:f>
              <c:strCache>
                <c:ptCount val="9"/>
                <c:pt idx="0">
                  <c:v>-4</c:v>
                </c:pt>
                <c:pt idx="1">
                  <c:v>-3</c:v>
                </c:pt>
                <c:pt idx="2">
                  <c:v>-2</c:v>
                </c:pt>
                <c:pt idx="3">
                  <c:v>-1</c:v>
                </c:pt>
                <c:pt idx="4">
                  <c:v>CCT</c:v>
                </c:pt>
                <c:pt idx="5">
                  <c:v>1</c:v>
                </c:pt>
                <c:pt idx="6">
                  <c:v>2</c:v>
                </c:pt>
                <c:pt idx="7">
                  <c:v>3</c:v>
                </c:pt>
                <c:pt idx="8">
                  <c:v>4</c:v>
                </c:pt>
              </c:strCache>
            </c:strRef>
          </c:cat>
          <c:val>
            <c:numRef>
              <c:f>CCTs!$E$4:$E$12</c:f>
              <c:numCache>
                <c:formatCode>_(* #,##0.00_);_(* \(#,##0.00\);_(* "-"??_);_(@_)</c:formatCode>
                <c:ptCount val="9"/>
                <c:pt idx="0">
                  <c:v>6.1215999999999999</c:v>
                </c:pt>
                <c:pt idx="1">
                  <c:v>8.2852999999999994</c:v>
                </c:pt>
                <c:pt idx="2">
                  <c:v>9.8718000000000004</c:v>
                </c:pt>
                <c:pt idx="3">
                  <c:v>12.845400000000001</c:v>
                </c:pt>
                <c:pt idx="4">
                  <c:v>14.6013</c:v>
                </c:pt>
                <c:pt idx="5">
                  <c:v>13.062999999999999</c:v>
                </c:pt>
                <c:pt idx="6">
                  <c:v>13.170000000000002</c:v>
                </c:pt>
                <c:pt idx="7">
                  <c:v>19.8752</c:v>
                </c:pt>
                <c:pt idx="8">
                  <c:v>19.270799999999998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29-4CB7-8581-73E994FC6F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30752952"/>
        <c:axId val="569572320"/>
      </c:lineChart>
      <c:catAx>
        <c:axId val="6307529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50000"/>
                <a:lumOff val="50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ell MT" panose="02020503060305020303" pitchFamily="18" charset="0"/>
                <a:ea typeface="+mn-ea"/>
                <a:cs typeface="+mn-cs"/>
              </a:defRPr>
            </a:pPr>
            <a:endParaRPr lang="en-US"/>
          </a:p>
        </c:txPr>
        <c:crossAx val="569572320"/>
        <c:crosses val="autoZero"/>
        <c:auto val="1"/>
        <c:lblAlgn val="ctr"/>
        <c:lblOffset val="100"/>
        <c:noMultiLvlLbl val="0"/>
      </c:catAx>
      <c:valAx>
        <c:axId val="569572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ysClr val="window" lastClr="FFFFFF">
                  <a:lumMod val="85000"/>
                </a:sys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Bell MT" panose="02020503060305020303" pitchFamily="18" charset="0"/>
                    <a:ea typeface="+mn-ea"/>
                    <a:cs typeface="+mn-cs"/>
                  </a:defRPr>
                </a:pPr>
                <a:r>
                  <a:rPr lang="en-US"/>
                  <a:t>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Bell MT" panose="02020503060305020303" pitchFamily="18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out"/>
        <c:minorTickMark val="none"/>
        <c:tickLblPos val="nextTo"/>
        <c:spPr>
          <a:noFill/>
          <a:ln>
            <a:solidFill>
              <a:schemeClr val="tx1">
                <a:lumMod val="50000"/>
                <a:lumOff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ell MT" panose="02020503060305020303" pitchFamily="18" charset="0"/>
                <a:ea typeface="+mn-ea"/>
                <a:cs typeface="+mn-cs"/>
              </a:defRPr>
            </a:pPr>
            <a:endParaRPr lang="en-US"/>
          </a:p>
        </c:txPr>
        <c:crossAx val="6307529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Bell MT" panose="02020503060305020303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4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strRef>
          <c:f>CCTs!$G$2</c:f>
          <c:strCache>
            <c:ptCount val="1"/>
            <c:pt idx="0">
              <c:v> Very Unfair 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Bell MT" panose="02020503060305020303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009623797025372"/>
          <c:y val="0.1321117672790901"/>
          <c:w val="0.89294701443569557"/>
          <c:h val="0.76091535433070878"/>
        </c:manualLayout>
      </c:layout>
      <c:lineChart>
        <c:grouping val="standard"/>
        <c:varyColors val="0"/>
        <c:ser>
          <c:idx val="1"/>
          <c:order val="0"/>
          <c:tx>
            <c:strRef>
              <c:f>CCTs!$G$2</c:f>
              <c:strCache>
                <c:ptCount val="1"/>
                <c:pt idx="0">
                  <c:v> Very Unfair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CCTs!$B$4:$B$12</c:f>
              <c:strCache>
                <c:ptCount val="9"/>
                <c:pt idx="0">
                  <c:v>-4</c:v>
                </c:pt>
                <c:pt idx="1">
                  <c:v>-3</c:v>
                </c:pt>
                <c:pt idx="2">
                  <c:v>-2</c:v>
                </c:pt>
                <c:pt idx="3">
                  <c:v>-1</c:v>
                </c:pt>
                <c:pt idx="4">
                  <c:v>CCT</c:v>
                </c:pt>
                <c:pt idx="5">
                  <c:v>1</c:v>
                </c:pt>
                <c:pt idx="6">
                  <c:v>2</c:v>
                </c:pt>
                <c:pt idx="7">
                  <c:v>3</c:v>
                </c:pt>
                <c:pt idx="8">
                  <c:v>4</c:v>
                </c:pt>
              </c:strCache>
            </c:strRef>
          </c:cat>
          <c:val>
            <c:numRef>
              <c:f>CCTs!$G$4:$G$12</c:f>
              <c:numCache>
                <c:formatCode>_(* #,##0.00_);_(* \(#,##0.00\);_(* "-"??_);_(@_)</c:formatCode>
                <c:ptCount val="9"/>
                <c:pt idx="0">
                  <c:v>35.616799999999998</c:v>
                </c:pt>
                <c:pt idx="1">
                  <c:v>36.081099999999999</c:v>
                </c:pt>
                <c:pt idx="2">
                  <c:v>37.550899999999999</c:v>
                </c:pt>
                <c:pt idx="3">
                  <c:v>30.728699999999996</c:v>
                </c:pt>
                <c:pt idx="4">
                  <c:v>35.159800000000004</c:v>
                </c:pt>
                <c:pt idx="5">
                  <c:v>33.696100000000001</c:v>
                </c:pt>
                <c:pt idx="6">
                  <c:v>29.8415</c:v>
                </c:pt>
                <c:pt idx="7">
                  <c:v>25.090400000000002</c:v>
                </c:pt>
                <c:pt idx="8">
                  <c:v>26.5822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0A9-4BE8-937E-1C84DDD616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69573104"/>
        <c:axId val="569573496"/>
      </c:lineChart>
      <c:catAx>
        <c:axId val="5695731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50000"/>
                <a:lumOff val="50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ell MT" panose="02020503060305020303" pitchFamily="18" charset="0"/>
                <a:ea typeface="+mn-ea"/>
                <a:cs typeface="+mn-cs"/>
              </a:defRPr>
            </a:pPr>
            <a:endParaRPr lang="en-US"/>
          </a:p>
        </c:txPr>
        <c:crossAx val="569573496"/>
        <c:crosses val="autoZero"/>
        <c:auto val="1"/>
        <c:lblAlgn val="ctr"/>
        <c:lblOffset val="100"/>
        <c:noMultiLvlLbl val="0"/>
      </c:catAx>
      <c:valAx>
        <c:axId val="569573496"/>
        <c:scaling>
          <c:orientation val="minMax"/>
          <c:min val="20"/>
        </c:scaling>
        <c:delete val="0"/>
        <c:axPos val="l"/>
        <c:majorGridlines>
          <c:spPr>
            <a:ln w="9525" cap="flat" cmpd="sng" algn="ctr">
              <a:solidFill>
                <a:sysClr val="window" lastClr="FFFFFF">
                  <a:lumMod val="85000"/>
                </a:sys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Bell MT" panose="02020503060305020303" pitchFamily="18" charset="0"/>
                    <a:ea typeface="+mn-ea"/>
                    <a:cs typeface="+mn-cs"/>
                  </a:defRPr>
                </a:pPr>
                <a:r>
                  <a:rPr lang="en-US"/>
                  <a:t>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Bell MT" panose="02020503060305020303" pitchFamily="18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out"/>
        <c:minorTickMark val="none"/>
        <c:tickLblPos val="nextTo"/>
        <c:spPr>
          <a:noFill/>
          <a:ln>
            <a:solidFill>
              <a:schemeClr val="tx1">
                <a:lumMod val="50000"/>
                <a:lumOff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ell MT" panose="02020503060305020303" pitchFamily="18" charset="0"/>
                <a:ea typeface="+mn-ea"/>
                <a:cs typeface="+mn-cs"/>
              </a:defRPr>
            </a:pPr>
            <a:endParaRPr lang="en-US"/>
          </a:p>
        </c:txPr>
        <c:crossAx val="569573104"/>
        <c:crosses val="autoZero"/>
        <c:crossBetween val="between"/>
        <c:majorUnit val="5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Bell MT" panose="02020503060305020303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4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616469816272967"/>
          <c:y val="5.3803785890400066E-2"/>
          <c:w val="0.85270450568678913"/>
          <c:h val="0.71206354887457246"/>
        </c:manualLayout>
      </c:layout>
      <c:lineChart>
        <c:grouping val="standard"/>
        <c:varyColors val="0"/>
        <c:ser>
          <c:idx val="1"/>
          <c:order val="0"/>
          <c:tx>
            <c:strRef>
              <c:f>Convergence!$C$1</c:f>
              <c:strCache>
                <c:ptCount val="1"/>
                <c:pt idx="0">
                  <c:v>p25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Pt>
            <c:idx val="4"/>
            <c:marker>
              <c:symbol val="circle"/>
              <c:size val="5"/>
              <c:spPr>
                <a:solidFill>
                  <a:schemeClr val="accent3"/>
                </a:solidFill>
                <a:ln w="9525">
                  <a:solidFill>
                    <a:schemeClr val="accent3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3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00EB-489D-A903-9722DF764BEA}"/>
              </c:ext>
            </c:extLst>
          </c:dPt>
          <c:cat>
            <c:strRef>
              <c:f>Convergence!$A$5:$A$20</c:f>
              <c:strCache>
                <c:ptCount val="16"/>
                <c:pt idx="0">
                  <c:v>2000</c:v>
                </c:pt>
                <c:pt idx="1">
                  <c:v>01</c:v>
                </c:pt>
                <c:pt idx="2">
                  <c:v>02</c:v>
                </c:pt>
                <c:pt idx="3">
                  <c:v>03</c:v>
                </c:pt>
                <c:pt idx="4">
                  <c:v>04</c:v>
                </c:pt>
                <c:pt idx="5">
                  <c:v>05</c:v>
                </c:pt>
                <c:pt idx="6">
                  <c:v>06</c:v>
                </c:pt>
                <c:pt idx="7">
                  <c:v>07</c:v>
                </c:pt>
                <c:pt idx="8">
                  <c:v>08</c:v>
                </c:pt>
                <c:pt idx="9">
                  <c:v>09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2015</c:v>
                </c:pt>
              </c:strCache>
            </c:strRef>
          </c:cat>
          <c:val>
            <c:numRef>
              <c:f>Convergence!$C$5:$C$20</c:f>
              <c:numCache>
                <c:formatCode>0.0</c:formatCode>
                <c:ptCount val="16"/>
                <c:pt idx="0">
                  <c:v>81.019233999999997</c:v>
                </c:pt>
                <c:pt idx="1">
                  <c:v>84.591521999999998</c:v>
                </c:pt>
                <c:pt idx="2">
                  <c:v>81.337836999999993</c:v>
                </c:pt>
                <c:pt idx="3">
                  <c:v>79.951590999999993</c:v>
                </c:pt>
                <c:pt idx="4">
                  <c:v>78.565346000000005</c:v>
                </c:pt>
                <c:pt idx="5">
                  <c:v>76.378027000000003</c:v>
                </c:pt>
                <c:pt idx="6">
                  <c:v>74.113467</c:v>
                </c:pt>
                <c:pt idx="7">
                  <c:v>72.584029999999998</c:v>
                </c:pt>
                <c:pt idx="8">
                  <c:v>73.020363000000003</c:v>
                </c:pt>
                <c:pt idx="9">
                  <c:v>71.041122000000001</c:v>
                </c:pt>
                <c:pt idx="10">
                  <c:v>72.783691000000005</c:v>
                </c:pt>
                <c:pt idx="11">
                  <c:v>72.781775999999994</c:v>
                </c:pt>
                <c:pt idx="12">
                  <c:v>67.493951999999993</c:v>
                </c:pt>
                <c:pt idx="13">
                  <c:v>63.432837999999997</c:v>
                </c:pt>
                <c:pt idx="14">
                  <c:v>64.575723999999994</c:v>
                </c:pt>
                <c:pt idx="15">
                  <c:v>65.706810000000004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0EB-489D-A903-9722DF764BEA}"/>
            </c:ext>
          </c:extLst>
        </c:ser>
        <c:ser>
          <c:idx val="0"/>
          <c:order val="1"/>
          <c:tx>
            <c:strRef>
              <c:f>Convergence!$B$1</c:f>
              <c:strCache>
                <c:ptCount val="1"/>
                <c:pt idx="0">
                  <c:v>p10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4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00EB-489D-A903-9722DF764BEA}"/>
              </c:ext>
            </c:extLst>
          </c:dPt>
          <c:cat>
            <c:strRef>
              <c:f>Convergence!$A$5:$A$20</c:f>
              <c:strCache>
                <c:ptCount val="16"/>
                <c:pt idx="0">
                  <c:v>2000</c:v>
                </c:pt>
                <c:pt idx="1">
                  <c:v>01</c:v>
                </c:pt>
                <c:pt idx="2">
                  <c:v>02</c:v>
                </c:pt>
                <c:pt idx="3">
                  <c:v>03</c:v>
                </c:pt>
                <c:pt idx="4">
                  <c:v>04</c:v>
                </c:pt>
                <c:pt idx="5">
                  <c:v>05</c:v>
                </c:pt>
                <c:pt idx="6">
                  <c:v>06</c:v>
                </c:pt>
                <c:pt idx="7">
                  <c:v>07</c:v>
                </c:pt>
                <c:pt idx="8">
                  <c:v>08</c:v>
                </c:pt>
                <c:pt idx="9">
                  <c:v>09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2015</c:v>
                </c:pt>
              </c:strCache>
            </c:strRef>
          </c:cat>
          <c:val>
            <c:numRef>
              <c:f>Convergence!$B$5:$B$20</c:f>
              <c:numCache>
                <c:formatCode>0.0</c:formatCode>
                <c:ptCount val="16"/>
                <c:pt idx="0">
                  <c:v>78.796352999999996</c:v>
                </c:pt>
                <c:pt idx="1">
                  <c:v>82.724082999999993</c:v>
                </c:pt>
                <c:pt idx="2">
                  <c:v>75</c:v>
                </c:pt>
                <c:pt idx="3">
                  <c:v>74.087136999999998</c:v>
                </c:pt>
                <c:pt idx="4">
                  <c:v>73.174273999999997</c:v>
                </c:pt>
                <c:pt idx="5">
                  <c:v>72.261410999999995</c:v>
                </c:pt>
                <c:pt idx="6">
                  <c:v>71.348546999999996</c:v>
                </c:pt>
                <c:pt idx="7">
                  <c:v>68.598618000000002</c:v>
                </c:pt>
                <c:pt idx="8">
                  <c:v>66.133523999999994</c:v>
                </c:pt>
                <c:pt idx="9">
                  <c:v>66.188338999999999</c:v>
                </c:pt>
                <c:pt idx="10">
                  <c:v>65.532287999999994</c:v>
                </c:pt>
                <c:pt idx="11">
                  <c:v>66.145827999999995</c:v>
                </c:pt>
                <c:pt idx="12">
                  <c:v>61.365532000000002</c:v>
                </c:pt>
                <c:pt idx="13">
                  <c:v>54.938952999999998</c:v>
                </c:pt>
                <c:pt idx="14">
                  <c:v>56.296290999999997</c:v>
                </c:pt>
                <c:pt idx="15">
                  <c:v>52.990658000000003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0EB-489D-A903-9722DF764BEA}"/>
            </c:ext>
          </c:extLst>
        </c:ser>
        <c:ser>
          <c:idx val="2"/>
          <c:order val="2"/>
          <c:tx>
            <c:strRef>
              <c:f>Convergence!$D$1</c:f>
              <c:strCache>
                <c:ptCount val="1"/>
                <c:pt idx="0">
                  <c:v>p50</c:v>
                </c:pt>
              </c:strCache>
            </c:strRef>
          </c:tx>
          <c:spPr>
            <a:ln w="28575" cap="rnd">
              <a:solidFill>
                <a:schemeClr val="tx2"/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solidFill>
                <a:schemeClr val="tx2"/>
              </a:solidFill>
              <a:ln w="9525">
                <a:solidFill>
                  <a:schemeClr val="tx2"/>
                </a:solidFill>
                <a:prstDash val="sysDot"/>
              </a:ln>
              <a:effectLst/>
            </c:spPr>
          </c:marker>
          <c:cat>
            <c:strRef>
              <c:f>Convergence!$A$5:$A$20</c:f>
              <c:strCache>
                <c:ptCount val="16"/>
                <c:pt idx="0">
                  <c:v>2000</c:v>
                </c:pt>
                <c:pt idx="1">
                  <c:v>01</c:v>
                </c:pt>
                <c:pt idx="2">
                  <c:v>02</c:v>
                </c:pt>
                <c:pt idx="3">
                  <c:v>03</c:v>
                </c:pt>
                <c:pt idx="4">
                  <c:v>04</c:v>
                </c:pt>
                <c:pt idx="5">
                  <c:v>05</c:v>
                </c:pt>
                <c:pt idx="6">
                  <c:v>06</c:v>
                </c:pt>
                <c:pt idx="7">
                  <c:v>07</c:v>
                </c:pt>
                <c:pt idx="8">
                  <c:v>08</c:v>
                </c:pt>
                <c:pt idx="9">
                  <c:v>09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2015</c:v>
                </c:pt>
              </c:strCache>
            </c:strRef>
          </c:cat>
          <c:val>
            <c:numRef>
              <c:f>Convergence!$D$5:$D$20</c:f>
              <c:numCache>
                <c:formatCode>0.0</c:formatCode>
                <c:ptCount val="16"/>
                <c:pt idx="0">
                  <c:v>88.329904999999997</c:v>
                </c:pt>
                <c:pt idx="1">
                  <c:v>89.546276000000006</c:v>
                </c:pt>
                <c:pt idx="2">
                  <c:v>87.631611000000007</c:v>
                </c:pt>
                <c:pt idx="3">
                  <c:v>85.786738999999997</c:v>
                </c:pt>
                <c:pt idx="4">
                  <c:v>84.345170999999993</c:v>
                </c:pt>
                <c:pt idx="5">
                  <c:v>81.621641999999994</c:v>
                </c:pt>
                <c:pt idx="6">
                  <c:v>79.520415</c:v>
                </c:pt>
                <c:pt idx="7">
                  <c:v>78.141650999999996</c:v>
                </c:pt>
                <c:pt idx="8">
                  <c:v>78.231789000000006</c:v>
                </c:pt>
                <c:pt idx="9">
                  <c:v>80.030383999999998</c:v>
                </c:pt>
                <c:pt idx="10">
                  <c:v>79.880936000000005</c:v>
                </c:pt>
                <c:pt idx="11">
                  <c:v>82.303757000000004</c:v>
                </c:pt>
                <c:pt idx="12">
                  <c:v>79.733282000000003</c:v>
                </c:pt>
                <c:pt idx="13">
                  <c:v>75.545608999999999</c:v>
                </c:pt>
                <c:pt idx="14">
                  <c:v>77.010153000000003</c:v>
                </c:pt>
                <c:pt idx="15">
                  <c:v>78.474697000000006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0EB-489D-A903-9722DF764BEA}"/>
            </c:ext>
          </c:extLst>
        </c:ser>
        <c:ser>
          <c:idx val="4"/>
          <c:order val="3"/>
          <c:tx>
            <c:strRef>
              <c:f>Convergence!$E$1</c:f>
              <c:strCache>
                <c:ptCount val="1"/>
                <c:pt idx="0">
                  <c:v>p75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Convergence!$A$5:$A$20</c:f>
              <c:strCache>
                <c:ptCount val="16"/>
                <c:pt idx="0">
                  <c:v>2000</c:v>
                </c:pt>
                <c:pt idx="1">
                  <c:v>01</c:v>
                </c:pt>
                <c:pt idx="2">
                  <c:v>02</c:v>
                </c:pt>
                <c:pt idx="3">
                  <c:v>03</c:v>
                </c:pt>
                <c:pt idx="4">
                  <c:v>04</c:v>
                </c:pt>
                <c:pt idx="5">
                  <c:v>05</c:v>
                </c:pt>
                <c:pt idx="6">
                  <c:v>06</c:v>
                </c:pt>
                <c:pt idx="7">
                  <c:v>07</c:v>
                </c:pt>
                <c:pt idx="8">
                  <c:v>08</c:v>
                </c:pt>
                <c:pt idx="9">
                  <c:v>09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2015</c:v>
                </c:pt>
              </c:strCache>
            </c:strRef>
          </c:cat>
          <c:val>
            <c:numRef>
              <c:f>Convergence!$E$5:$E$20</c:f>
              <c:numCache>
                <c:formatCode>0.0</c:formatCode>
                <c:ptCount val="16"/>
                <c:pt idx="0">
                  <c:v>91.062377999999995</c:v>
                </c:pt>
                <c:pt idx="1">
                  <c:v>94.630195999999998</c:v>
                </c:pt>
                <c:pt idx="2">
                  <c:v>91.794876000000002</c:v>
                </c:pt>
                <c:pt idx="3">
                  <c:v>89.779107999999994</c:v>
                </c:pt>
                <c:pt idx="4">
                  <c:v>87.763339000000002</c:v>
                </c:pt>
                <c:pt idx="5">
                  <c:v>86.152687</c:v>
                </c:pt>
                <c:pt idx="6">
                  <c:v>86.215278999999995</c:v>
                </c:pt>
                <c:pt idx="7">
                  <c:v>86.277869999999993</c:v>
                </c:pt>
                <c:pt idx="8">
                  <c:v>84.826915999999997</c:v>
                </c:pt>
                <c:pt idx="9">
                  <c:v>84.364258000000007</c:v>
                </c:pt>
                <c:pt idx="10">
                  <c:v>84.694755999999998</c:v>
                </c:pt>
                <c:pt idx="11">
                  <c:v>85.826087999999999</c:v>
                </c:pt>
                <c:pt idx="12">
                  <c:v>83.915729999999996</c:v>
                </c:pt>
                <c:pt idx="13">
                  <c:v>84.010154999999997</c:v>
                </c:pt>
                <c:pt idx="14">
                  <c:v>83.993201999999997</c:v>
                </c:pt>
                <c:pt idx="15">
                  <c:v>82.273949000000002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00EB-489D-A903-9722DF764BEA}"/>
            </c:ext>
          </c:extLst>
        </c:ser>
        <c:ser>
          <c:idx val="5"/>
          <c:order val="4"/>
          <c:tx>
            <c:strRef>
              <c:f>Convergence!$F$1</c:f>
              <c:strCache>
                <c:ptCount val="1"/>
                <c:pt idx="0">
                  <c:v>p90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Convergence!$A$5:$A$20</c:f>
              <c:strCache>
                <c:ptCount val="16"/>
                <c:pt idx="0">
                  <c:v>2000</c:v>
                </c:pt>
                <c:pt idx="1">
                  <c:v>01</c:v>
                </c:pt>
                <c:pt idx="2">
                  <c:v>02</c:v>
                </c:pt>
                <c:pt idx="3">
                  <c:v>03</c:v>
                </c:pt>
                <c:pt idx="4">
                  <c:v>04</c:v>
                </c:pt>
                <c:pt idx="5">
                  <c:v>05</c:v>
                </c:pt>
                <c:pt idx="6">
                  <c:v>06</c:v>
                </c:pt>
                <c:pt idx="7">
                  <c:v>07</c:v>
                </c:pt>
                <c:pt idx="8">
                  <c:v>08</c:v>
                </c:pt>
                <c:pt idx="9">
                  <c:v>09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2015</c:v>
                </c:pt>
              </c:strCache>
            </c:strRef>
          </c:cat>
          <c:val>
            <c:numRef>
              <c:f>Convergence!$F$5:$F$20</c:f>
              <c:numCache>
                <c:formatCode>0.0</c:formatCode>
                <c:ptCount val="16"/>
                <c:pt idx="0">
                  <c:v>93.563912999999999</c:v>
                </c:pt>
                <c:pt idx="1">
                  <c:v>95.879829000000001</c:v>
                </c:pt>
                <c:pt idx="2">
                  <c:v>93.254638999999997</c:v>
                </c:pt>
                <c:pt idx="3">
                  <c:v>93.421009999999995</c:v>
                </c:pt>
                <c:pt idx="4">
                  <c:v>93.587380999999993</c:v>
                </c:pt>
                <c:pt idx="5">
                  <c:v>92.675635999999997</c:v>
                </c:pt>
                <c:pt idx="6">
                  <c:v>91.162452999999999</c:v>
                </c:pt>
                <c:pt idx="7">
                  <c:v>91.262978000000004</c:v>
                </c:pt>
                <c:pt idx="8">
                  <c:v>90.056267000000005</c:v>
                </c:pt>
                <c:pt idx="9">
                  <c:v>88.849556000000007</c:v>
                </c:pt>
                <c:pt idx="10">
                  <c:v>87.676772999999997</c:v>
                </c:pt>
                <c:pt idx="11">
                  <c:v>92.424239999999998</c:v>
                </c:pt>
                <c:pt idx="12">
                  <c:v>87.043625000000006</c:v>
                </c:pt>
                <c:pt idx="13">
                  <c:v>88.793839000000006</c:v>
                </c:pt>
                <c:pt idx="14">
                  <c:v>86.639458000000005</c:v>
                </c:pt>
                <c:pt idx="15">
                  <c:v>92.326530000000005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00EB-489D-A903-9722DF764B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91045360"/>
        <c:axId val="691045752"/>
      </c:lineChart>
      <c:catAx>
        <c:axId val="6910453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50000"/>
                <a:lumOff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ell MT" panose="02020503060305020303" pitchFamily="18" charset="0"/>
                <a:ea typeface="+mn-ea"/>
                <a:cs typeface="+mn-cs"/>
              </a:defRPr>
            </a:pPr>
            <a:endParaRPr lang="en-US"/>
          </a:p>
        </c:txPr>
        <c:crossAx val="691045752"/>
        <c:crosses val="autoZero"/>
        <c:auto val="1"/>
        <c:lblAlgn val="ctr"/>
        <c:lblOffset val="100"/>
        <c:noMultiLvlLbl val="0"/>
      </c:catAx>
      <c:valAx>
        <c:axId val="691045752"/>
        <c:scaling>
          <c:orientation val="minMax"/>
          <c:max val="100"/>
          <c:min val="5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Bell MT" panose="02020503060305020303" pitchFamily="18" charset="0"/>
                    <a:ea typeface="+mn-ea"/>
                    <a:cs typeface="+mn-cs"/>
                  </a:defRPr>
                </a:pPr>
                <a:r>
                  <a:rPr lang="en-US"/>
                  <a:t>% Unfair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Bell MT" panose="02020503060305020303" pitchFamily="18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out"/>
        <c:minorTickMark val="none"/>
        <c:tickLblPos val="nextTo"/>
        <c:spPr>
          <a:noFill/>
          <a:ln>
            <a:solidFill>
              <a:schemeClr val="tx1">
                <a:lumMod val="50000"/>
                <a:lumOff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ell MT" panose="02020503060305020303" pitchFamily="18" charset="0"/>
                <a:ea typeface="+mn-ea"/>
                <a:cs typeface="+mn-cs"/>
              </a:defRPr>
            </a:pPr>
            <a:endParaRPr lang="en-US"/>
          </a:p>
        </c:txPr>
        <c:crossAx val="691045360"/>
        <c:crosses val="autoZero"/>
        <c:crossBetween val="between"/>
        <c:majorUnit val="10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004957713619131"/>
          <c:y val="0.87046349319971361"/>
          <c:w val="0.69560185185185175"/>
          <c:h val="0.1269615445796548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Bell MT" panose="02020503060305020303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00">
          <a:latin typeface="Bell MT" panose="02020503060305020303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07943277923593"/>
          <c:y val="3.4864391951006123E-2"/>
          <c:w val="0.84807487605715948"/>
          <c:h val="0.71206354887457246"/>
        </c:manualLayout>
      </c:layout>
      <c:lineChart>
        <c:grouping val="standard"/>
        <c:varyColors val="0"/>
        <c:ser>
          <c:idx val="1"/>
          <c:order val="0"/>
          <c:tx>
            <c:strRef>
              <c:f>Convergence!$C$1</c:f>
              <c:strCache>
                <c:ptCount val="1"/>
                <c:pt idx="0">
                  <c:v>p25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Pt>
            <c:idx val="4"/>
            <c:marker>
              <c:symbol val="circle"/>
              <c:size val="5"/>
              <c:spPr>
                <a:solidFill>
                  <a:schemeClr val="accent3"/>
                </a:solidFill>
                <a:ln w="9525">
                  <a:solidFill>
                    <a:schemeClr val="accent3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3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292E-4C07-9A64-4B8CE339FAE5}"/>
              </c:ext>
            </c:extLst>
          </c:dPt>
          <c:cat>
            <c:strRef>
              <c:f>Convergence!$A$27:$A$41</c:f>
              <c:strCache>
                <c:ptCount val="15"/>
                <c:pt idx="0">
                  <c:v>2000</c:v>
                </c:pt>
                <c:pt idx="1">
                  <c:v>01</c:v>
                </c:pt>
                <c:pt idx="2">
                  <c:v>02</c:v>
                </c:pt>
                <c:pt idx="3">
                  <c:v>03</c:v>
                </c:pt>
                <c:pt idx="4">
                  <c:v>04</c:v>
                </c:pt>
                <c:pt idx="5">
                  <c:v>05</c:v>
                </c:pt>
                <c:pt idx="6">
                  <c:v>06</c:v>
                </c:pt>
                <c:pt idx="7">
                  <c:v>07</c:v>
                </c:pt>
                <c:pt idx="8">
                  <c:v>08</c:v>
                </c:pt>
                <c:pt idx="9">
                  <c:v>09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2014</c:v>
                </c:pt>
              </c:strCache>
            </c:strRef>
          </c:cat>
          <c:val>
            <c:numRef>
              <c:f>Convergence!$C$27:$C$41</c:f>
              <c:numCache>
                <c:formatCode>_(* #,##0.00_);_(* \(#,##0.00\);_(* "-"??_);_(@_)</c:formatCode>
                <c:ptCount val="15"/>
                <c:pt idx="0">
                  <c:v>0.50800000000000001</c:v>
                </c:pt>
                <c:pt idx="1">
                  <c:v>0.51</c:v>
                </c:pt>
                <c:pt idx="2">
                  <c:v>0.51</c:v>
                </c:pt>
                <c:pt idx="3">
                  <c:v>0.50900000000000001</c:v>
                </c:pt>
                <c:pt idx="4">
                  <c:v>0.496</c:v>
                </c:pt>
                <c:pt idx="5">
                  <c:v>0.48799999999999999</c:v>
                </c:pt>
                <c:pt idx="6">
                  <c:v>0.47899999999999998</c:v>
                </c:pt>
                <c:pt idx="7">
                  <c:v>0.47599999999999998</c:v>
                </c:pt>
                <c:pt idx="8">
                  <c:v>0.46800000000000003</c:v>
                </c:pt>
                <c:pt idx="9">
                  <c:v>0.46300000000000002</c:v>
                </c:pt>
                <c:pt idx="10">
                  <c:v>0.45700000000000002</c:v>
                </c:pt>
                <c:pt idx="11">
                  <c:v>0.45500000000000002</c:v>
                </c:pt>
                <c:pt idx="12">
                  <c:v>0.45100000000000001</c:v>
                </c:pt>
                <c:pt idx="13">
                  <c:v>0.44700000000000001</c:v>
                </c:pt>
                <c:pt idx="14">
                  <c:v>0.43149999999999999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92E-4C07-9A64-4B8CE339FAE5}"/>
            </c:ext>
          </c:extLst>
        </c:ser>
        <c:ser>
          <c:idx val="0"/>
          <c:order val="1"/>
          <c:tx>
            <c:strRef>
              <c:f>Convergence!$B$1</c:f>
              <c:strCache>
                <c:ptCount val="1"/>
                <c:pt idx="0">
                  <c:v>p10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4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292E-4C07-9A64-4B8CE339FAE5}"/>
              </c:ext>
            </c:extLst>
          </c:dPt>
          <c:cat>
            <c:strRef>
              <c:f>Convergence!$A$27:$A$41</c:f>
              <c:strCache>
                <c:ptCount val="15"/>
                <c:pt idx="0">
                  <c:v>2000</c:v>
                </c:pt>
                <c:pt idx="1">
                  <c:v>01</c:v>
                </c:pt>
                <c:pt idx="2">
                  <c:v>02</c:v>
                </c:pt>
                <c:pt idx="3">
                  <c:v>03</c:v>
                </c:pt>
                <c:pt idx="4">
                  <c:v>04</c:v>
                </c:pt>
                <c:pt idx="5">
                  <c:v>05</c:v>
                </c:pt>
                <c:pt idx="6">
                  <c:v>06</c:v>
                </c:pt>
                <c:pt idx="7">
                  <c:v>07</c:v>
                </c:pt>
                <c:pt idx="8">
                  <c:v>08</c:v>
                </c:pt>
                <c:pt idx="9">
                  <c:v>09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2014</c:v>
                </c:pt>
              </c:strCache>
            </c:strRef>
          </c:cat>
          <c:val>
            <c:numRef>
              <c:f>Convergence!$B$27:$B$41</c:f>
              <c:numCache>
                <c:formatCode>_(* #,##0.00_);_(* \(#,##0.00\);_(* "-"??_);_(@_)</c:formatCode>
                <c:ptCount val="15"/>
                <c:pt idx="0">
                  <c:v>0.442</c:v>
                </c:pt>
                <c:pt idx="1">
                  <c:v>0.46400000000000002</c:v>
                </c:pt>
                <c:pt idx="2">
                  <c:v>0.47299999999999998</c:v>
                </c:pt>
                <c:pt idx="3">
                  <c:v>0.46</c:v>
                </c:pt>
                <c:pt idx="4">
                  <c:v>0.46300000000000002</c:v>
                </c:pt>
                <c:pt idx="5">
                  <c:v>0.45700000000000002</c:v>
                </c:pt>
                <c:pt idx="6">
                  <c:v>0.45400000000000001</c:v>
                </c:pt>
                <c:pt idx="7">
                  <c:v>0.45200000000000001</c:v>
                </c:pt>
                <c:pt idx="8">
                  <c:v>0.45900000000000002</c:v>
                </c:pt>
                <c:pt idx="9">
                  <c:v>0.44900000000000001</c:v>
                </c:pt>
                <c:pt idx="10">
                  <c:v>0.442</c:v>
                </c:pt>
                <c:pt idx="11">
                  <c:v>0.42399999999999999</c:v>
                </c:pt>
                <c:pt idx="12">
                  <c:v>0.41299999999999998</c:v>
                </c:pt>
                <c:pt idx="13">
                  <c:v>0.41899999999999998</c:v>
                </c:pt>
                <c:pt idx="14">
                  <c:v>0.41599999999999998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92E-4C07-9A64-4B8CE339FAE5}"/>
            </c:ext>
          </c:extLst>
        </c:ser>
        <c:ser>
          <c:idx val="2"/>
          <c:order val="2"/>
          <c:tx>
            <c:strRef>
              <c:f>Convergence!$D$1</c:f>
              <c:strCache>
                <c:ptCount val="1"/>
                <c:pt idx="0">
                  <c:v>p50</c:v>
                </c:pt>
              </c:strCache>
            </c:strRef>
          </c:tx>
          <c:spPr>
            <a:ln w="28575" cap="rnd">
              <a:solidFill>
                <a:schemeClr val="tx2"/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solidFill>
                <a:schemeClr val="tx2"/>
              </a:solidFill>
              <a:ln w="9525">
                <a:solidFill>
                  <a:schemeClr val="tx2"/>
                </a:solidFill>
                <a:prstDash val="sysDot"/>
              </a:ln>
              <a:effectLst/>
            </c:spPr>
          </c:marker>
          <c:cat>
            <c:strRef>
              <c:f>Convergence!$A$27:$A$41</c:f>
              <c:strCache>
                <c:ptCount val="15"/>
                <c:pt idx="0">
                  <c:v>2000</c:v>
                </c:pt>
                <c:pt idx="1">
                  <c:v>01</c:v>
                </c:pt>
                <c:pt idx="2">
                  <c:v>02</c:v>
                </c:pt>
                <c:pt idx="3">
                  <c:v>03</c:v>
                </c:pt>
                <c:pt idx="4">
                  <c:v>04</c:v>
                </c:pt>
                <c:pt idx="5">
                  <c:v>05</c:v>
                </c:pt>
                <c:pt idx="6">
                  <c:v>06</c:v>
                </c:pt>
                <c:pt idx="7">
                  <c:v>07</c:v>
                </c:pt>
                <c:pt idx="8">
                  <c:v>08</c:v>
                </c:pt>
                <c:pt idx="9">
                  <c:v>09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2014</c:v>
                </c:pt>
              </c:strCache>
            </c:strRef>
          </c:cat>
          <c:val>
            <c:numRef>
              <c:f>Convergence!$D$27:$D$41</c:f>
              <c:numCache>
                <c:formatCode>_(* #,##0.00_);_(* \(#,##0.00\);_(* "-"??_);_(@_)</c:formatCode>
                <c:ptCount val="15"/>
                <c:pt idx="0">
                  <c:v>0.54300000000000004</c:v>
                </c:pt>
                <c:pt idx="1">
                  <c:v>0.54200000000000004</c:v>
                </c:pt>
                <c:pt idx="2">
                  <c:v>0.54649999999999999</c:v>
                </c:pt>
                <c:pt idx="3">
                  <c:v>0.54349999999999998</c:v>
                </c:pt>
                <c:pt idx="4">
                  <c:v>0.52649999999999997</c:v>
                </c:pt>
                <c:pt idx="5">
                  <c:v>0.51549999999999996</c:v>
                </c:pt>
                <c:pt idx="6">
                  <c:v>0.51800000000000002</c:v>
                </c:pt>
                <c:pt idx="7">
                  <c:v>0.51600000000000001</c:v>
                </c:pt>
                <c:pt idx="8">
                  <c:v>0.50600000000000001</c:v>
                </c:pt>
                <c:pt idx="9">
                  <c:v>0.48899999999999999</c:v>
                </c:pt>
                <c:pt idx="10">
                  <c:v>0.47899999999999998</c:v>
                </c:pt>
                <c:pt idx="11">
                  <c:v>0.47749999999999998</c:v>
                </c:pt>
                <c:pt idx="12">
                  <c:v>0.47349999999999998</c:v>
                </c:pt>
                <c:pt idx="13">
                  <c:v>0.48049999999999998</c:v>
                </c:pt>
                <c:pt idx="14">
                  <c:v>0.48349999999999999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92E-4C07-9A64-4B8CE339FAE5}"/>
            </c:ext>
          </c:extLst>
        </c:ser>
        <c:ser>
          <c:idx val="4"/>
          <c:order val="3"/>
          <c:tx>
            <c:strRef>
              <c:f>Convergence!$E$1</c:f>
              <c:strCache>
                <c:ptCount val="1"/>
                <c:pt idx="0">
                  <c:v>p75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Convergence!$A$27:$A$41</c:f>
              <c:strCache>
                <c:ptCount val="15"/>
                <c:pt idx="0">
                  <c:v>2000</c:v>
                </c:pt>
                <c:pt idx="1">
                  <c:v>01</c:v>
                </c:pt>
                <c:pt idx="2">
                  <c:v>02</c:v>
                </c:pt>
                <c:pt idx="3">
                  <c:v>03</c:v>
                </c:pt>
                <c:pt idx="4">
                  <c:v>04</c:v>
                </c:pt>
                <c:pt idx="5">
                  <c:v>05</c:v>
                </c:pt>
                <c:pt idx="6">
                  <c:v>06</c:v>
                </c:pt>
                <c:pt idx="7">
                  <c:v>07</c:v>
                </c:pt>
                <c:pt idx="8">
                  <c:v>08</c:v>
                </c:pt>
                <c:pt idx="9">
                  <c:v>09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2014</c:v>
                </c:pt>
              </c:strCache>
            </c:strRef>
          </c:cat>
          <c:val>
            <c:numRef>
              <c:f>Convergence!$E$27:$E$41</c:f>
              <c:numCache>
                <c:formatCode>_(* #,##0.00_);_(* \(#,##0.00\);_(* "-"??_);_(@_)</c:formatCode>
                <c:ptCount val="15"/>
                <c:pt idx="0">
                  <c:v>0.56599999999999995</c:v>
                </c:pt>
                <c:pt idx="1">
                  <c:v>0.56499999999999995</c:v>
                </c:pt>
                <c:pt idx="2">
                  <c:v>0.57299999999999995</c:v>
                </c:pt>
                <c:pt idx="3">
                  <c:v>0.55500000000000005</c:v>
                </c:pt>
                <c:pt idx="4">
                  <c:v>0.55300000000000005</c:v>
                </c:pt>
                <c:pt idx="5">
                  <c:v>0.55000000000000004</c:v>
                </c:pt>
                <c:pt idx="6">
                  <c:v>0.55200000000000005</c:v>
                </c:pt>
                <c:pt idx="7">
                  <c:v>0.54700000000000004</c:v>
                </c:pt>
                <c:pt idx="8">
                  <c:v>0.52600000000000002</c:v>
                </c:pt>
                <c:pt idx="9">
                  <c:v>0.51900000000000002</c:v>
                </c:pt>
                <c:pt idx="10">
                  <c:v>0.51900000000000002</c:v>
                </c:pt>
                <c:pt idx="11">
                  <c:v>0.52500000000000002</c:v>
                </c:pt>
                <c:pt idx="12">
                  <c:v>0.51900000000000002</c:v>
                </c:pt>
                <c:pt idx="13">
                  <c:v>0.51600000000000001</c:v>
                </c:pt>
                <c:pt idx="14">
                  <c:v>0.51349999999999996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292E-4C07-9A64-4B8CE339FAE5}"/>
            </c:ext>
          </c:extLst>
        </c:ser>
        <c:ser>
          <c:idx val="5"/>
          <c:order val="4"/>
          <c:tx>
            <c:strRef>
              <c:f>Convergence!$F$1</c:f>
              <c:strCache>
                <c:ptCount val="1"/>
                <c:pt idx="0">
                  <c:v>p90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Convergence!$A$27:$A$41</c:f>
              <c:strCache>
                <c:ptCount val="15"/>
                <c:pt idx="0">
                  <c:v>2000</c:v>
                </c:pt>
                <c:pt idx="1">
                  <c:v>01</c:v>
                </c:pt>
                <c:pt idx="2">
                  <c:v>02</c:v>
                </c:pt>
                <c:pt idx="3">
                  <c:v>03</c:v>
                </c:pt>
                <c:pt idx="4">
                  <c:v>04</c:v>
                </c:pt>
                <c:pt idx="5">
                  <c:v>05</c:v>
                </c:pt>
                <c:pt idx="6">
                  <c:v>06</c:v>
                </c:pt>
                <c:pt idx="7">
                  <c:v>07</c:v>
                </c:pt>
                <c:pt idx="8">
                  <c:v>08</c:v>
                </c:pt>
                <c:pt idx="9">
                  <c:v>09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2014</c:v>
                </c:pt>
              </c:strCache>
            </c:strRef>
          </c:cat>
          <c:val>
            <c:numRef>
              <c:f>Convergence!$F$27:$F$41</c:f>
              <c:numCache>
                <c:formatCode>_(* #,##0.00_);_(* \(#,##0.00\);_(* "-"??_);_(@_)</c:formatCode>
                <c:ptCount val="15"/>
                <c:pt idx="0">
                  <c:v>0.60499999999999998</c:v>
                </c:pt>
                <c:pt idx="1">
                  <c:v>0.58499999999999996</c:v>
                </c:pt>
                <c:pt idx="2">
                  <c:v>0.58199999999999996</c:v>
                </c:pt>
                <c:pt idx="3">
                  <c:v>0.58299999999999996</c:v>
                </c:pt>
                <c:pt idx="4">
                  <c:v>0.58099999999999996</c:v>
                </c:pt>
                <c:pt idx="5">
                  <c:v>0.58299999999999996</c:v>
                </c:pt>
                <c:pt idx="6">
                  <c:v>0.56699999999999995</c:v>
                </c:pt>
                <c:pt idx="7">
                  <c:v>0.55500000000000005</c:v>
                </c:pt>
                <c:pt idx="8">
                  <c:v>0.55600000000000005</c:v>
                </c:pt>
                <c:pt idx="9">
                  <c:v>0.54400000000000004</c:v>
                </c:pt>
                <c:pt idx="10">
                  <c:v>0.54</c:v>
                </c:pt>
                <c:pt idx="11">
                  <c:v>0.54</c:v>
                </c:pt>
                <c:pt idx="12">
                  <c:v>0.53700000000000003</c:v>
                </c:pt>
                <c:pt idx="13">
                  <c:v>0.53500000000000003</c:v>
                </c:pt>
                <c:pt idx="14">
                  <c:v>0.53300000000000003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92E-4C07-9A64-4B8CE339FA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91041048"/>
        <c:axId val="691046144"/>
      </c:lineChart>
      <c:catAx>
        <c:axId val="6910410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50000"/>
                <a:lumOff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ell MT" panose="02020503060305020303" pitchFamily="18" charset="0"/>
                <a:ea typeface="+mn-ea"/>
                <a:cs typeface="+mn-cs"/>
              </a:defRPr>
            </a:pPr>
            <a:endParaRPr lang="en-US"/>
          </a:p>
        </c:txPr>
        <c:crossAx val="691046144"/>
        <c:crosses val="autoZero"/>
        <c:auto val="1"/>
        <c:lblAlgn val="ctr"/>
        <c:lblOffset val="100"/>
        <c:noMultiLvlLbl val="0"/>
      </c:catAx>
      <c:valAx>
        <c:axId val="691046144"/>
        <c:scaling>
          <c:orientation val="minMax"/>
          <c:min val="0.4"/>
        </c:scaling>
        <c:delete val="0"/>
        <c:axPos val="l"/>
        <c:numFmt formatCode="#,##0.00" sourceLinked="0"/>
        <c:majorTickMark val="out"/>
        <c:minorTickMark val="none"/>
        <c:tickLblPos val="nextTo"/>
        <c:spPr>
          <a:noFill/>
          <a:ln>
            <a:solidFill>
              <a:schemeClr val="tx1">
                <a:lumMod val="50000"/>
                <a:lumOff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ell MT" panose="02020503060305020303" pitchFamily="18" charset="0"/>
                <a:ea typeface="+mn-ea"/>
                <a:cs typeface="+mn-cs"/>
              </a:defRPr>
            </a:pPr>
            <a:endParaRPr lang="en-US"/>
          </a:p>
        </c:txPr>
        <c:crossAx val="691041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004957713619131"/>
          <c:y val="0.87046349319971361"/>
          <c:w val="0.69560185185185175"/>
          <c:h val="0.1269615445796548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Bell MT" panose="02020503060305020303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00">
          <a:latin typeface="Bell MT" panose="02020503060305020303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445434463129771"/>
          <c:y val="5.0935337911944781E-2"/>
          <c:w val="0.85295384951881004"/>
          <c:h val="0.80539467479256643"/>
        </c:manualLayout>
      </c:layout>
      <c:lineChart>
        <c:grouping val="standard"/>
        <c:varyColors val="0"/>
        <c:ser>
          <c:idx val="2"/>
          <c:order val="0"/>
          <c:tx>
            <c:strRef>
              <c:f>Variance!$D$1</c:f>
              <c:strCache>
                <c:ptCount val="1"/>
                <c:pt idx="0">
                  <c:v>fair</c:v>
                </c:pt>
              </c:strCache>
            </c:strRef>
          </c:tx>
          <c:spPr>
            <a:ln w="28575" cap="rnd">
              <a:solidFill>
                <a:srgbClr val="1F497D">
                  <a:lumMod val="20000"/>
                  <a:lumOff val="80000"/>
                </a:srgb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1F497D">
                  <a:lumMod val="20000"/>
                  <a:lumOff val="80000"/>
                </a:srgbClr>
              </a:solidFill>
              <a:ln w="9525">
                <a:solidFill>
                  <a:srgbClr val="1F497D">
                    <a:lumMod val="20000"/>
                    <a:lumOff val="80000"/>
                  </a:srgbClr>
                </a:solidFill>
              </a:ln>
              <a:effectLst/>
            </c:spPr>
          </c:marker>
          <c:cat>
            <c:strRef>
              <c:f>Variance!$C$2:$C$20</c:f>
              <c:strCache>
                <c:ptCount val="19"/>
                <c:pt idx="0">
                  <c:v>1997</c:v>
                </c:pt>
                <c:pt idx="1">
                  <c:v>98</c:v>
                </c:pt>
                <c:pt idx="2">
                  <c:v>99</c:v>
                </c:pt>
                <c:pt idx="3">
                  <c:v>00</c:v>
                </c:pt>
                <c:pt idx="4">
                  <c:v>01</c:v>
                </c:pt>
                <c:pt idx="5">
                  <c:v>02</c:v>
                </c:pt>
                <c:pt idx="6">
                  <c:v>03</c:v>
                </c:pt>
                <c:pt idx="7">
                  <c:v>04</c:v>
                </c:pt>
                <c:pt idx="8">
                  <c:v>05</c:v>
                </c:pt>
                <c:pt idx="9">
                  <c:v>06</c:v>
                </c:pt>
                <c:pt idx="10">
                  <c:v>07</c:v>
                </c:pt>
                <c:pt idx="11">
                  <c:v>08</c:v>
                </c:pt>
                <c:pt idx="12">
                  <c:v>09</c:v>
                </c:pt>
                <c:pt idx="13">
                  <c:v>10</c:v>
                </c:pt>
                <c:pt idx="14">
                  <c:v>11</c:v>
                </c:pt>
                <c:pt idx="15">
                  <c:v>12</c:v>
                </c:pt>
                <c:pt idx="16">
                  <c:v>13</c:v>
                </c:pt>
                <c:pt idx="17">
                  <c:v>14</c:v>
                </c:pt>
                <c:pt idx="18">
                  <c:v>2015</c:v>
                </c:pt>
              </c:strCache>
            </c:strRef>
          </c:cat>
          <c:val>
            <c:numRef>
              <c:f>Variance!$D$2:$D$20</c:f>
              <c:numCache>
                <c:formatCode>_(* #,##0.00_);_(* \(#,##0.00\);_(* "-"??_);_(@_)</c:formatCode>
                <c:ptCount val="19"/>
                <c:pt idx="0">
                  <c:v>0.35026499999999999</c:v>
                </c:pt>
                <c:pt idx="4">
                  <c:v>0.29363299999999998</c:v>
                </c:pt>
                <c:pt idx="5">
                  <c:v>0.31211800000000001</c:v>
                </c:pt>
                <c:pt idx="10">
                  <c:v>0.38231599999999999</c:v>
                </c:pt>
                <c:pt idx="12">
                  <c:v>0.395648</c:v>
                </c:pt>
                <c:pt idx="13">
                  <c:v>0.39555299999999999</c:v>
                </c:pt>
                <c:pt idx="14">
                  <c:v>0.385519</c:v>
                </c:pt>
                <c:pt idx="16">
                  <c:v>0.42471100000000001</c:v>
                </c:pt>
                <c:pt idx="18">
                  <c:v>0.416217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7E9-4205-B92B-24AD8EBEC2DF}"/>
            </c:ext>
          </c:extLst>
        </c:ser>
        <c:ser>
          <c:idx val="4"/>
          <c:order val="1"/>
          <c:tx>
            <c:strRef>
              <c:f>Variance!$E$1</c:f>
              <c:strCache>
                <c:ptCount val="1"/>
                <c:pt idx="0">
                  <c:v>unfair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Variance!$C$2:$C$20</c:f>
              <c:strCache>
                <c:ptCount val="19"/>
                <c:pt idx="0">
                  <c:v>1997</c:v>
                </c:pt>
                <c:pt idx="1">
                  <c:v>98</c:v>
                </c:pt>
                <c:pt idx="2">
                  <c:v>99</c:v>
                </c:pt>
                <c:pt idx="3">
                  <c:v>00</c:v>
                </c:pt>
                <c:pt idx="4">
                  <c:v>01</c:v>
                </c:pt>
                <c:pt idx="5">
                  <c:v>02</c:v>
                </c:pt>
                <c:pt idx="6">
                  <c:v>03</c:v>
                </c:pt>
                <c:pt idx="7">
                  <c:v>04</c:v>
                </c:pt>
                <c:pt idx="8">
                  <c:v>05</c:v>
                </c:pt>
                <c:pt idx="9">
                  <c:v>06</c:v>
                </c:pt>
                <c:pt idx="10">
                  <c:v>07</c:v>
                </c:pt>
                <c:pt idx="11">
                  <c:v>08</c:v>
                </c:pt>
                <c:pt idx="12">
                  <c:v>09</c:v>
                </c:pt>
                <c:pt idx="13">
                  <c:v>10</c:v>
                </c:pt>
                <c:pt idx="14">
                  <c:v>11</c:v>
                </c:pt>
                <c:pt idx="15">
                  <c:v>12</c:v>
                </c:pt>
                <c:pt idx="16">
                  <c:v>13</c:v>
                </c:pt>
                <c:pt idx="17">
                  <c:v>14</c:v>
                </c:pt>
                <c:pt idx="18">
                  <c:v>2015</c:v>
                </c:pt>
              </c:strCache>
            </c:strRef>
          </c:cat>
          <c:val>
            <c:numRef>
              <c:f>Variance!$E$2:$E$20</c:f>
              <c:numCache>
                <c:formatCode>_(* #,##0.00_);_(* \(#,##0.00\);_(* "-"??_);_(@_)</c:formatCode>
                <c:ptCount val="19"/>
                <c:pt idx="0">
                  <c:v>0.499834</c:v>
                </c:pt>
                <c:pt idx="4">
                  <c:v>0.49972299999999997</c:v>
                </c:pt>
                <c:pt idx="5">
                  <c:v>0.49892599999999998</c:v>
                </c:pt>
                <c:pt idx="10">
                  <c:v>0.50000299999999998</c:v>
                </c:pt>
                <c:pt idx="12">
                  <c:v>0.49877500000000002</c:v>
                </c:pt>
                <c:pt idx="13">
                  <c:v>0.49899900000000003</c:v>
                </c:pt>
                <c:pt idx="14">
                  <c:v>0.49742500000000001</c:v>
                </c:pt>
                <c:pt idx="16">
                  <c:v>0.49916700000000003</c:v>
                </c:pt>
                <c:pt idx="18">
                  <c:v>0.49995899999999999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7E9-4205-B92B-24AD8EBEC2DF}"/>
            </c:ext>
          </c:extLst>
        </c:ser>
        <c:ser>
          <c:idx val="5"/>
          <c:order val="2"/>
          <c:tx>
            <c:strRef>
              <c:f>Variance!$F$1</c:f>
              <c:strCache>
                <c:ptCount val="1"/>
                <c:pt idx="0">
                  <c:v>unfair_all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Variance!$C$2:$C$20</c:f>
              <c:strCache>
                <c:ptCount val="19"/>
                <c:pt idx="0">
                  <c:v>1997</c:v>
                </c:pt>
                <c:pt idx="1">
                  <c:v>98</c:v>
                </c:pt>
                <c:pt idx="2">
                  <c:v>99</c:v>
                </c:pt>
                <c:pt idx="3">
                  <c:v>00</c:v>
                </c:pt>
                <c:pt idx="4">
                  <c:v>01</c:v>
                </c:pt>
                <c:pt idx="5">
                  <c:v>02</c:v>
                </c:pt>
                <c:pt idx="6">
                  <c:v>03</c:v>
                </c:pt>
                <c:pt idx="7">
                  <c:v>04</c:v>
                </c:pt>
                <c:pt idx="8">
                  <c:v>05</c:v>
                </c:pt>
                <c:pt idx="9">
                  <c:v>06</c:v>
                </c:pt>
                <c:pt idx="10">
                  <c:v>07</c:v>
                </c:pt>
                <c:pt idx="11">
                  <c:v>08</c:v>
                </c:pt>
                <c:pt idx="12">
                  <c:v>09</c:v>
                </c:pt>
                <c:pt idx="13">
                  <c:v>10</c:v>
                </c:pt>
                <c:pt idx="14">
                  <c:v>11</c:v>
                </c:pt>
                <c:pt idx="15">
                  <c:v>12</c:v>
                </c:pt>
                <c:pt idx="16">
                  <c:v>13</c:v>
                </c:pt>
                <c:pt idx="17">
                  <c:v>14</c:v>
                </c:pt>
                <c:pt idx="18">
                  <c:v>2015</c:v>
                </c:pt>
              </c:strCache>
            </c:strRef>
          </c:cat>
          <c:val>
            <c:numRef>
              <c:f>Variance!$F$2:$F$20</c:f>
              <c:numCache>
                <c:formatCode>_(* #,##0.00_);_(* \(#,##0.00\);_(* "-"??_);_(@_)</c:formatCode>
                <c:ptCount val="19"/>
                <c:pt idx="0">
                  <c:v>0.39632650000000003</c:v>
                </c:pt>
                <c:pt idx="4">
                  <c:v>0.31617990000000001</c:v>
                </c:pt>
                <c:pt idx="5">
                  <c:v>0.33758660000000001</c:v>
                </c:pt>
                <c:pt idx="10">
                  <c:v>0.41425709999999999</c:v>
                </c:pt>
                <c:pt idx="12">
                  <c:v>0.41397410000000001</c:v>
                </c:pt>
                <c:pt idx="13">
                  <c:v>0.41401739999999998</c:v>
                </c:pt>
                <c:pt idx="14">
                  <c:v>0.4032618</c:v>
                </c:pt>
                <c:pt idx="16">
                  <c:v>0.44377650000000002</c:v>
                </c:pt>
                <c:pt idx="18">
                  <c:v>0.43001250000000002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7E9-4205-B92B-24AD8EBEC2DF}"/>
            </c:ext>
          </c:extLst>
        </c:ser>
        <c:ser>
          <c:idx val="0"/>
          <c:order val="3"/>
          <c:tx>
            <c:strRef>
              <c:f>Variance!$G$1</c:f>
              <c:strCache>
                <c:ptCount val="1"/>
                <c:pt idx="0">
                  <c:v>very_unfair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Variance!$C$2:$C$20</c:f>
              <c:strCache>
                <c:ptCount val="19"/>
                <c:pt idx="0">
                  <c:v>1997</c:v>
                </c:pt>
                <c:pt idx="1">
                  <c:v>98</c:v>
                </c:pt>
                <c:pt idx="2">
                  <c:v>99</c:v>
                </c:pt>
                <c:pt idx="3">
                  <c:v>00</c:v>
                </c:pt>
                <c:pt idx="4">
                  <c:v>01</c:v>
                </c:pt>
                <c:pt idx="5">
                  <c:v>02</c:v>
                </c:pt>
                <c:pt idx="6">
                  <c:v>03</c:v>
                </c:pt>
                <c:pt idx="7">
                  <c:v>04</c:v>
                </c:pt>
                <c:pt idx="8">
                  <c:v>05</c:v>
                </c:pt>
                <c:pt idx="9">
                  <c:v>06</c:v>
                </c:pt>
                <c:pt idx="10">
                  <c:v>07</c:v>
                </c:pt>
                <c:pt idx="11">
                  <c:v>08</c:v>
                </c:pt>
                <c:pt idx="12">
                  <c:v>09</c:v>
                </c:pt>
                <c:pt idx="13">
                  <c:v>10</c:v>
                </c:pt>
                <c:pt idx="14">
                  <c:v>11</c:v>
                </c:pt>
                <c:pt idx="15">
                  <c:v>12</c:v>
                </c:pt>
                <c:pt idx="16">
                  <c:v>13</c:v>
                </c:pt>
                <c:pt idx="17">
                  <c:v>14</c:v>
                </c:pt>
                <c:pt idx="18">
                  <c:v>2015</c:v>
                </c:pt>
              </c:strCache>
            </c:strRef>
          </c:cat>
          <c:val>
            <c:numRef>
              <c:f>Variance!$G$2:$G$20</c:f>
              <c:numCache>
                <c:formatCode>_(* #,##0.00_);_(* \(#,##0.00\);_(* "-"??_);_(@_)</c:formatCode>
                <c:ptCount val="19"/>
                <c:pt idx="0">
                  <c:v>0.45443299999999998</c:v>
                </c:pt>
                <c:pt idx="4">
                  <c:v>0.48289399999999999</c:v>
                </c:pt>
                <c:pt idx="5">
                  <c:v>0.472304</c:v>
                </c:pt>
                <c:pt idx="10">
                  <c:v>0.447463</c:v>
                </c:pt>
                <c:pt idx="12">
                  <c:v>0.43025200000000002</c:v>
                </c:pt>
                <c:pt idx="13">
                  <c:v>0.43216900000000003</c:v>
                </c:pt>
                <c:pt idx="14">
                  <c:v>0.42998700000000001</c:v>
                </c:pt>
                <c:pt idx="16">
                  <c:v>0.43834099999999998</c:v>
                </c:pt>
                <c:pt idx="18">
                  <c:v>0.44002000000000002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7E9-4205-B92B-24AD8EBEC2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91040656"/>
        <c:axId val="691041832"/>
        <c:extLst>
          <c:ext xmlns:c15="http://schemas.microsoft.com/office/drawing/2012/chart" uri="{02D57815-91ED-43cb-92C2-25804820EDAC}">
            <c15:filteredLineSeries>
              <c15:ser>
                <c:idx val="1"/>
                <c:order val="4"/>
                <c:tx>
                  <c:strRef>
                    <c:extLst>
                      <c:ext uri="{02D57815-91ED-43cb-92C2-25804820EDAC}">
                        <c15:formulaRef>
                          <c15:sqref>Variance!$H$1</c15:sqref>
                        </c15:formulaRef>
                      </c:ext>
                    </c:extLst>
                    <c:strCache>
                      <c:ptCount val="1"/>
                      <c:pt idx="0">
                        <c:v>very_fair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cat>
                  <c:strRef>
                    <c:extLst>
                      <c:ext uri="{02D57815-91ED-43cb-92C2-25804820EDAC}">
                        <c15:formulaRef>
                          <c15:sqref>Variance!$C$2:$C$20</c15:sqref>
                        </c15:formulaRef>
                      </c:ext>
                    </c:extLst>
                    <c:strCache>
                      <c:ptCount val="19"/>
                      <c:pt idx="0">
                        <c:v>1997</c:v>
                      </c:pt>
                      <c:pt idx="1">
                        <c:v>98</c:v>
                      </c:pt>
                      <c:pt idx="2">
                        <c:v>99</c:v>
                      </c:pt>
                      <c:pt idx="3">
                        <c:v>00</c:v>
                      </c:pt>
                      <c:pt idx="4">
                        <c:v>01</c:v>
                      </c:pt>
                      <c:pt idx="5">
                        <c:v>02</c:v>
                      </c:pt>
                      <c:pt idx="6">
                        <c:v>03</c:v>
                      </c:pt>
                      <c:pt idx="7">
                        <c:v>04</c:v>
                      </c:pt>
                      <c:pt idx="8">
                        <c:v>05</c:v>
                      </c:pt>
                      <c:pt idx="9">
                        <c:v>06</c:v>
                      </c:pt>
                      <c:pt idx="10">
                        <c:v>07</c:v>
                      </c:pt>
                      <c:pt idx="11">
                        <c:v>08</c:v>
                      </c:pt>
                      <c:pt idx="12">
                        <c:v>09</c:v>
                      </c:pt>
                      <c:pt idx="13">
                        <c:v>10</c:v>
                      </c:pt>
                      <c:pt idx="14">
                        <c:v>11</c:v>
                      </c:pt>
                      <c:pt idx="15">
                        <c:v>12</c:v>
                      </c:pt>
                      <c:pt idx="16">
                        <c:v>13</c:v>
                      </c:pt>
                      <c:pt idx="17">
                        <c:v>14</c:v>
                      </c:pt>
                      <c:pt idx="18">
                        <c:v>2015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Variance!$H$2:$H$20</c15:sqref>
                        </c15:formulaRef>
                      </c:ext>
                    </c:extLst>
                    <c:numCache>
                      <c:formatCode>_(* #,##0.00_);_(* \(#,##0.00\);_(* "-"??_);_(@_)</c:formatCode>
                      <c:ptCount val="19"/>
                      <c:pt idx="0">
                        <c:v>0.221973</c:v>
                      </c:pt>
                      <c:pt idx="4">
                        <c:v>0.130607</c:v>
                      </c:pt>
                      <c:pt idx="5">
                        <c:v>0.14599100000000001</c:v>
                      </c:pt>
                      <c:pt idx="10">
                        <c:v>0.201154</c:v>
                      </c:pt>
                      <c:pt idx="12">
                        <c:v>0.15707599999999999</c:v>
                      </c:pt>
                      <c:pt idx="13">
                        <c:v>0.157637</c:v>
                      </c:pt>
                      <c:pt idx="14">
                        <c:v>0.14924100000000001</c:v>
                      </c:pt>
                      <c:pt idx="16">
                        <c:v>0.17994199999999999</c:v>
                      </c:pt>
                      <c:pt idx="18">
                        <c:v>0.14647099999999999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A7E9-4205-B92B-24AD8EBEC2DF}"/>
                  </c:ext>
                </c:extLst>
              </c15:ser>
            </c15:filteredLineSeries>
          </c:ext>
        </c:extLst>
      </c:lineChart>
      <c:catAx>
        <c:axId val="6910406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50000"/>
                <a:lumOff val="50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ell MT" panose="02020503060305020303" pitchFamily="18" charset="0"/>
                <a:ea typeface="+mn-ea"/>
                <a:cs typeface="+mn-cs"/>
              </a:defRPr>
            </a:pPr>
            <a:endParaRPr lang="en-US"/>
          </a:p>
        </c:txPr>
        <c:crossAx val="691041832"/>
        <c:crosses val="autoZero"/>
        <c:auto val="1"/>
        <c:lblAlgn val="ctr"/>
        <c:lblOffset val="100"/>
        <c:noMultiLvlLbl val="0"/>
      </c:catAx>
      <c:valAx>
        <c:axId val="69104183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Bell MT" panose="02020503060305020303" pitchFamily="18" charset="0"/>
                    <a:ea typeface="+mn-ea"/>
                    <a:cs typeface="+mn-cs"/>
                  </a:defRPr>
                </a:pP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1.3888888888888888E-2"/>
              <c:y val="0.3956878827646544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Bell MT" panose="02020503060305020303" pitchFamily="18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out"/>
        <c:minorTickMark val="none"/>
        <c:tickLblPos val="nextTo"/>
        <c:spPr>
          <a:noFill/>
          <a:ln>
            <a:solidFill>
              <a:schemeClr val="tx1">
                <a:lumMod val="50000"/>
                <a:lumOff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ell MT" panose="02020503060305020303" pitchFamily="18" charset="0"/>
                <a:ea typeface="+mn-ea"/>
                <a:cs typeface="+mn-cs"/>
              </a:defRPr>
            </a:pPr>
            <a:endParaRPr lang="en-US"/>
          </a:p>
        </c:txPr>
        <c:crossAx val="691040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1"/>
        <c:delete val="1"/>
      </c:legendEntry>
      <c:layout>
        <c:manualLayout>
          <c:xMode val="edge"/>
          <c:yMode val="edge"/>
          <c:x val="0.21883053274175018"/>
          <c:y val="0.92031399246279155"/>
          <c:w val="0.72052488841596163"/>
          <c:h val="5.932672769997582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Bell MT" panose="02020503060305020303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span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50">
          <a:latin typeface="Bell MT" panose="02020503060305020303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390525</xdr:colOff>
      <xdr:row>21</xdr:row>
      <xdr:rowOff>133350</xdr:rowOff>
    </xdr:from>
    <xdr:to>
      <xdr:col>12</xdr:col>
      <xdr:colOff>333375</xdr:colOff>
      <xdr:row>37</xdr:row>
      <xdr:rowOff>80963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0</xdr:colOff>
      <xdr:row>22</xdr:row>
      <xdr:rowOff>0</xdr:rowOff>
    </xdr:from>
    <xdr:to>
      <xdr:col>21</xdr:col>
      <xdr:colOff>552450</xdr:colOff>
      <xdr:row>37</xdr:row>
      <xdr:rowOff>138113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85725</xdr:colOff>
      <xdr:row>21</xdr:row>
      <xdr:rowOff>95250</xdr:rowOff>
    </xdr:from>
    <xdr:to>
      <xdr:col>8</xdr:col>
      <xdr:colOff>325755</xdr:colOff>
      <xdr:row>37</xdr:row>
      <xdr:rowOff>49213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104775</xdr:colOff>
      <xdr:row>21</xdr:row>
      <xdr:rowOff>133350</xdr:rowOff>
    </xdr:from>
    <xdr:to>
      <xdr:col>16</xdr:col>
      <xdr:colOff>449580</xdr:colOff>
      <xdr:row>37</xdr:row>
      <xdr:rowOff>87313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0.04238</cdr:x>
      <cdr:y>0.8155</cdr:y>
    </cdr:from>
    <cdr:to>
      <cdr:x>0.11005</cdr:x>
      <cdr:y>0.89351</cdr:y>
    </cdr:to>
    <cdr:sp macro="" textlink="">
      <cdr:nvSpPr>
        <cdr:cNvPr id="6" name="TextBox 5"/>
        <cdr:cNvSpPr txBox="1"/>
      </cdr:nvSpPr>
      <cdr:spPr>
        <a:xfrm xmlns:a="http://schemas.openxmlformats.org/drawingml/2006/main">
          <a:off x="204788" y="2455861"/>
          <a:ext cx="327026" cy="234936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square" rtlCol="0">
          <a:spAutoFit/>
        </a:bodyPr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000">
              <a:latin typeface="Bell MT" panose="02020503060305020303" pitchFamily="18" charset="0"/>
            </a:rPr>
            <a:t>30</a:t>
          </a:r>
        </a:p>
      </cdr:txBody>
    </cdr:sp>
  </cdr:relSizeAnchor>
  <cdr:relSizeAnchor xmlns:cdr="http://schemas.openxmlformats.org/drawingml/2006/chartDrawing">
    <cdr:from>
      <cdr:x>0.08607</cdr:x>
      <cdr:y>0.87876</cdr:y>
    </cdr:from>
    <cdr:to>
      <cdr:x>0.16097</cdr:x>
      <cdr:y>0.9457</cdr:y>
    </cdr:to>
    <cdr:sp macro="" textlink="">
      <cdr:nvSpPr>
        <cdr:cNvPr id="7" name="TextBox 1"/>
        <cdr:cNvSpPr txBox="1"/>
      </cdr:nvSpPr>
      <cdr:spPr>
        <a:xfrm xmlns:a="http://schemas.openxmlformats.org/drawingml/2006/main">
          <a:off x="415924" y="2646362"/>
          <a:ext cx="361951" cy="201614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square" rtlCol="0">
          <a:noAutofit/>
        </a:bodyPr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000">
              <a:latin typeface="Bell MT" panose="02020503060305020303" pitchFamily="18" charset="0"/>
            </a:rPr>
            <a:t>30</a:t>
          </a: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0.04238</cdr:x>
      <cdr:y>0.8155</cdr:y>
    </cdr:from>
    <cdr:to>
      <cdr:x>0.11005</cdr:x>
      <cdr:y>0.89351</cdr:y>
    </cdr:to>
    <cdr:sp macro="" textlink="">
      <cdr:nvSpPr>
        <cdr:cNvPr id="6" name="TextBox 5"/>
        <cdr:cNvSpPr txBox="1"/>
      </cdr:nvSpPr>
      <cdr:spPr>
        <a:xfrm xmlns:a="http://schemas.openxmlformats.org/drawingml/2006/main">
          <a:off x="204788" y="2455861"/>
          <a:ext cx="327026" cy="234936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square" rtlCol="0">
          <a:spAutoFit/>
        </a:bodyPr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000">
              <a:latin typeface="Bell MT" panose="02020503060305020303" pitchFamily="18" charset="0"/>
            </a:rPr>
            <a:t>30</a:t>
          </a:r>
        </a:p>
      </cdr:txBody>
    </cdr:sp>
  </cdr:relSizeAnchor>
  <cdr:relSizeAnchor xmlns:cdr="http://schemas.openxmlformats.org/drawingml/2006/chartDrawing">
    <cdr:from>
      <cdr:x>0.08607</cdr:x>
      <cdr:y>0.87876</cdr:y>
    </cdr:from>
    <cdr:to>
      <cdr:x>0.16097</cdr:x>
      <cdr:y>0.9457</cdr:y>
    </cdr:to>
    <cdr:sp macro="" textlink="">
      <cdr:nvSpPr>
        <cdr:cNvPr id="7" name="TextBox 1"/>
        <cdr:cNvSpPr txBox="1"/>
      </cdr:nvSpPr>
      <cdr:spPr>
        <a:xfrm xmlns:a="http://schemas.openxmlformats.org/drawingml/2006/main">
          <a:off x="415924" y="2646362"/>
          <a:ext cx="361951" cy="201614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square" rtlCol="0">
          <a:noAutofit/>
        </a:bodyPr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000">
              <a:latin typeface="Bell MT" panose="02020503060305020303" pitchFamily="18" charset="0"/>
            </a:rPr>
            <a:t>30</a:t>
          </a: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466724</xdr:colOff>
      <xdr:row>3</xdr:row>
      <xdr:rowOff>23811</xdr:rowOff>
    </xdr:from>
    <xdr:to>
      <xdr:col>13</xdr:col>
      <xdr:colOff>466724</xdr:colOff>
      <xdr:row>17</xdr:row>
      <xdr:rowOff>100011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609599</xdr:colOff>
      <xdr:row>4</xdr:row>
      <xdr:rowOff>171450</xdr:rowOff>
    </xdr:from>
    <xdr:to>
      <xdr:col>11</xdr:col>
      <xdr:colOff>9525</xdr:colOff>
      <xdr:row>16</xdr:row>
      <xdr:rowOff>4761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CxnSpPr/>
      </xdr:nvCxnSpPr>
      <xdr:spPr>
        <a:xfrm flipV="1">
          <a:off x="6705599" y="933450"/>
          <a:ext cx="9526" cy="2119311"/>
        </a:xfrm>
        <a:prstGeom prst="line">
          <a:avLst/>
        </a:prstGeom>
      </xdr:spPr>
      <xdr:style>
        <a:lnRef idx="1">
          <a:schemeClr val="accent4"/>
        </a:lnRef>
        <a:fillRef idx="0">
          <a:schemeClr val="accent4"/>
        </a:fillRef>
        <a:effectRef idx="0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7</xdr:col>
      <xdr:colOff>542925</xdr:colOff>
      <xdr:row>19</xdr:row>
      <xdr:rowOff>76200</xdr:rowOff>
    </xdr:from>
    <xdr:to>
      <xdr:col>13</xdr:col>
      <xdr:colOff>542925</xdr:colOff>
      <xdr:row>33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95249</xdr:colOff>
      <xdr:row>21</xdr:row>
      <xdr:rowOff>114300</xdr:rowOff>
    </xdr:from>
    <xdr:to>
      <xdr:col>11</xdr:col>
      <xdr:colOff>104775</xdr:colOff>
      <xdr:row>32</xdr:row>
      <xdr:rowOff>71436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CxnSpPr/>
      </xdr:nvCxnSpPr>
      <xdr:spPr>
        <a:xfrm flipV="1">
          <a:off x="6800849" y="4114800"/>
          <a:ext cx="9526" cy="2052636"/>
        </a:xfrm>
        <a:prstGeom prst="line">
          <a:avLst/>
        </a:prstGeom>
      </xdr:spPr>
      <xdr:style>
        <a:lnRef idx="1">
          <a:schemeClr val="accent4"/>
        </a:lnRef>
        <a:fillRef idx="0">
          <a:schemeClr val="accent4"/>
        </a:fillRef>
        <a:effectRef idx="0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28575</xdr:colOff>
      <xdr:row>3</xdr:row>
      <xdr:rowOff>95250</xdr:rowOff>
    </xdr:from>
    <xdr:to>
      <xdr:col>21</xdr:col>
      <xdr:colOff>28575</xdr:colOff>
      <xdr:row>17</xdr:row>
      <xdr:rowOff>171450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581025</xdr:colOff>
      <xdr:row>20</xdr:row>
      <xdr:rowOff>9525</xdr:rowOff>
    </xdr:from>
    <xdr:to>
      <xdr:col>20</xdr:col>
      <xdr:colOff>581025</xdr:colOff>
      <xdr:row>34</xdr:row>
      <xdr:rowOff>85725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0.54514</cdr:x>
      <cdr:y>0.13657</cdr:y>
    </cdr:from>
    <cdr:to>
      <cdr:x>0.54774</cdr:x>
      <cdr:y>0.88484</cdr:y>
    </cdr:to>
    <cdr:cxnSp macro="">
      <cdr:nvCxnSpPr>
        <cdr:cNvPr id="2" name="Straight Connector 1">
          <a:extLst xmlns:a="http://schemas.openxmlformats.org/drawingml/2006/main">
            <a:ext uri="{FF2B5EF4-FFF2-40B4-BE49-F238E27FC236}">
              <a16:creationId xmlns:a16="http://schemas.microsoft.com/office/drawing/2014/main" id="{E4956B71-C22B-4753-865F-280DE7D7276F}"/>
            </a:ext>
          </a:extLst>
        </cdr:cNvPr>
        <cdr:cNvCxnSpPr/>
      </cdr:nvCxnSpPr>
      <cdr:spPr>
        <a:xfrm xmlns:a="http://schemas.openxmlformats.org/drawingml/2006/main" flipV="1">
          <a:off x="1993900" y="374650"/>
          <a:ext cx="9526" cy="2052636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accent4"/>
        </a:lnRef>
        <a:fillRef xmlns:a="http://schemas.openxmlformats.org/drawingml/2006/main" idx="0">
          <a:schemeClr val="accent4"/>
        </a:fillRef>
        <a:effectRef xmlns:a="http://schemas.openxmlformats.org/drawingml/2006/main" idx="0">
          <a:schemeClr val="accent4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0.54514</cdr:x>
      <cdr:y>0.14352</cdr:y>
    </cdr:from>
    <cdr:to>
      <cdr:x>0.54774</cdr:x>
      <cdr:y>0.89178</cdr:y>
    </cdr:to>
    <cdr:cxnSp macro="">
      <cdr:nvCxnSpPr>
        <cdr:cNvPr id="2" name="Straight Connector 1">
          <a:extLst xmlns:a="http://schemas.openxmlformats.org/drawingml/2006/main">
            <a:ext uri="{FF2B5EF4-FFF2-40B4-BE49-F238E27FC236}">
              <a16:creationId xmlns:a16="http://schemas.microsoft.com/office/drawing/2014/main" id="{25E1DA0E-0909-48C7-8700-CA71187BFDE0}"/>
            </a:ext>
          </a:extLst>
        </cdr:cNvPr>
        <cdr:cNvCxnSpPr/>
      </cdr:nvCxnSpPr>
      <cdr:spPr>
        <a:xfrm xmlns:a="http://schemas.openxmlformats.org/drawingml/2006/main" flipV="1">
          <a:off x="1993900" y="393700"/>
          <a:ext cx="9526" cy="2052636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accent4"/>
        </a:lnRef>
        <a:fillRef xmlns:a="http://schemas.openxmlformats.org/drawingml/2006/main" idx="0">
          <a:schemeClr val="accent4"/>
        </a:fillRef>
        <a:effectRef xmlns:a="http://schemas.openxmlformats.org/drawingml/2006/main" idx="0">
          <a:schemeClr val="accent4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9524</xdr:colOff>
      <xdr:row>7</xdr:row>
      <xdr:rowOff>33337</xdr:rowOff>
    </xdr:from>
    <xdr:to>
      <xdr:col>12</xdr:col>
      <xdr:colOff>314324</xdr:colOff>
      <xdr:row>17</xdr:row>
      <xdr:rowOff>140017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600075</xdr:colOff>
      <xdr:row>25</xdr:row>
      <xdr:rowOff>38100</xdr:rowOff>
    </xdr:from>
    <xdr:to>
      <xdr:col>12</xdr:col>
      <xdr:colOff>295275</xdr:colOff>
      <xdr:row>35</xdr:row>
      <xdr:rowOff>144780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537881</xdr:colOff>
      <xdr:row>22</xdr:row>
      <xdr:rowOff>89646</xdr:rowOff>
    </xdr:from>
    <xdr:to>
      <xdr:col>12</xdr:col>
      <xdr:colOff>22410</xdr:colOff>
      <xdr:row>45</xdr:row>
      <xdr:rowOff>89646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ermán Reyes" refreshedDate="44328.480656250002" createdVersion="7" refreshedVersion="7" minRefreshableVersion="3" recordCount="840" xr:uid="{434D815E-BE4B-4EFB-9CA9-76E708258ADE}">
  <cacheSource type="worksheet">
    <worksheetSource ref="A1:H841" sheet="Relative vs. Absolute"/>
  </cacheSource>
  <cacheFields count="8">
    <cacheField name="Country" numFmtId="0">
      <sharedItems count="20">
        <s v="arg"/>
        <s v="bol"/>
        <s v="bra"/>
        <s v="chl"/>
        <s v="col"/>
        <s v="cri"/>
        <s v="dom"/>
        <s v="ecu"/>
        <s v="gtm"/>
        <s v="hnd"/>
        <s v="mex"/>
        <s v="nic"/>
        <s v="pan"/>
        <s v="per"/>
        <s v="pry"/>
        <s v="slv"/>
        <s v="ury"/>
        <s v="ven"/>
        <s v="pool"/>
        <s v="lac"/>
      </sharedItems>
    </cacheField>
    <cacheField name="Perception" numFmtId="0">
      <sharedItems count="3">
        <s v="% Very Unfair"/>
        <s v="% Only Unfair"/>
        <s v="% Unfair or Very Unfair"/>
      </sharedItems>
    </cacheField>
    <cacheField name="Objective" numFmtId="0">
      <sharedItems count="15">
        <s v="Gini coefficient LEL"/>
        <s v="Atkinson, A(0.5)"/>
        <s v="Atkinson, A(1)"/>
        <s v="Coefficient Variation"/>
        <s v="Generalized entropy, GE(2)"/>
        <s v="Absolute Gini"/>
        <s v="Gini coefficient"/>
        <s v="Gini coefficient (no zero income)"/>
        <s v="Mean log deviation, GE(0)"/>
        <s v="Ratio 75/25"/>
        <s v="Ratio 90/10"/>
        <s v="Theil index, GE(1)"/>
        <s v="Variance"/>
        <s v="Kolm, K(1)"/>
        <s v="gini_lel"/>
      </sharedItems>
    </cacheField>
    <cacheField name="Correlation" numFmtId="1">
      <sharedItems containsSemiMixedTypes="0" containsString="0" containsNumber="1" minValue="-0.98980765999999998" maxValue="0.99981907000000003"/>
    </cacheField>
    <cacheField name="P_Value" numFmtId="1">
      <sharedItems containsSemiMixedTypes="0" containsString="0" containsNumber="1" minValue="1.562E-9" maxValue="0.99818945000000003"/>
    </cacheField>
    <cacheField name="Standard_Error_Reg" numFmtId="1">
      <sharedItems containsSemiMixedTypes="0" containsString="0" containsNumber="1" minValue="6.76488E-3" maxValue="0.81708815000000001"/>
    </cacheField>
    <cacheField name="Standard_Error_Boot" numFmtId="1">
      <sharedItems containsSemiMixedTypes="0" containsString="0" containsNumber="1" minValue="9.6589999999999995E-5" maxValue="0.82692533999999995"/>
    </cacheField>
    <cacheField name="Interpolation" numFmtId="0">
      <sharedItems count="1">
        <s v="Not Interpolating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40">
  <r>
    <x v="0"/>
    <x v="0"/>
    <x v="0"/>
    <n v="0.87054346000000005"/>
    <n v="2.9997700000000001E-3"/>
    <n v="0.22319443999999999"/>
    <n v="7.4073589999999995E-2"/>
    <x v="0"/>
  </r>
  <r>
    <x v="0"/>
    <x v="0"/>
    <x v="1"/>
    <n v="0.65639340999999995"/>
    <n v="0.15822828"/>
    <n v="0.25570694999999999"/>
    <n v="0.33318423000000003"/>
    <x v="0"/>
  </r>
  <r>
    <x v="0"/>
    <x v="0"/>
    <x v="2"/>
    <n v="0.73839825999999997"/>
    <n v="0.12113061999999999"/>
    <n v="0.25386284999999997"/>
    <n v="0.30684045999999998"/>
    <x v="0"/>
  </r>
  <r>
    <x v="0"/>
    <x v="0"/>
    <x v="3"/>
    <n v="0.33042867999999997"/>
    <n v="0.24425010999999999"/>
    <n v="0.16348329"/>
    <n v="0.39791341000000002"/>
    <x v="0"/>
  </r>
  <r>
    <x v="0"/>
    <x v="0"/>
    <x v="4"/>
    <n v="0.33724121000000001"/>
    <n v="0.24005929000000001"/>
    <n v="0.16508159"/>
    <n v="0.39790150000000002"/>
    <x v="0"/>
  </r>
  <r>
    <x v="0"/>
    <x v="0"/>
    <x v="5"/>
    <n v="7.5763549999999999E-2"/>
    <n v="0.86448393999999995"/>
    <n v="0.28105469"/>
    <n v="0.51697309000000002"/>
    <x v="0"/>
  </r>
  <r>
    <x v="0"/>
    <x v="0"/>
    <x v="6"/>
    <n v="0.68050695000000005"/>
    <n v="0.14363119999999999"/>
    <n v="0.25297813000000002"/>
    <n v="0.32658166999999999"/>
    <x v="0"/>
  </r>
  <r>
    <x v="0"/>
    <x v="0"/>
    <x v="7"/>
    <n v="0.68472661000000001"/>
    <n v="0.13460905000000001"/>
    <n v="0.24693585000000001"/>
    <n v="0.32560616999999997"/>
    <x v="0"/>
  </r>
  <r>
    <x v="0"/>
    <x v="0"/>
    <x v="8"/>
    <n v="0.73180902000000003"/>
    <n v="0.12601968"/>
    <n v="0.25609278000000002"/>
    <n v="0.30877320000000003"/>
    <x v="0"/>
  </r>
  <r>
    <x v="0"/>
    <x v="0"/>
    <x v="9"/>
    <n v="0.64560554000000003"/>
    <n v="0.18261255000000001"/>
    <n v="0.27057647000000001"/>
    <n v="0.32794294000000002"/>
    <x v="0"/>
  </r>
  <r>
    <x v="0"/>
    <x v="0"/>
    <x v="10"/>
    <n v="0.94497792999999997"/>
    <n v="2.73041E-3"/>
    <n v="9.662867E-2"/>
    <n v="0.23558140999999999"/>
    <x v="0"/>
  </r>
  <r>
    <x v="0"/>
    <x v="0"/>
    <x v="11"/>
    <n v="0.55168571"/>
    <n v="0.19410440000000001"/>
    <n v="0.23889557"/>
    <n v="0.36420185999999999"/>
    <x v="0"/>
  </r>
  <r>
    <x v="0"/>
    <x v="0"/>
    <x v="12"/>
    <n v="0.22766850999999999"/>
    <n v="0.37800808000000002"/>
    <n v="0.15513046"/>
    <n v="0.44228411000000001"/>
    <x v="0"/>
  </r>
  <r>
    <x v="0"/>
    <x v="0"/>
    <x v="13"/>
    <n v="-0.39899032000000001"/>
    <n v="0.1731065"/>
    <n v="0.16262866000000001"/>
    <n v="0.44749127999999999"/>
    <x v="0"/>
  </r>
  <r>
    <x v="0"/>
    <x v="1"/>
    <x v="0"/>
    <n v="-0.84233095000000002"/>
    <n v="3.5270800000000001E-3"/>
    <n v="0.22708075"/>
    <n v="0.12643317000000001"/>
    <x v="0"/>
  </r>
  <r>
    <x v="0"/>
    <x v="1"/>
    <x v="1"/>
    <n v="-0.18618719"/>
    <n v="0.65536379"/>
    <n v="0.1787646"/>
    <n v="0.46881157000000001"/>
    <x v="0"/>
  </r>
  <r>
    <x v="0"/>
    <x v="1"/>
    <x v="2"/>
    <n v="-0.27528534999999998"/>
    <n v="0.55637013000000002"/>
    <n v="0.19849559"/>
    <n v="0.45948862000000001"/>
    <x v="0"/>
  </r>
  <r>
    <x v="0"/>
    <x v="1"/>
    <x v="3"/>
    <n v="6.9700700000000004E-2"/>
    <n v="0.77537540999999999"/>
    <n v="0.10553475"/>
    <n v="0.52054338"/>
    <x v="0"/>
  </r>
  <r>
    <x v="0"/>
    <x v="1"/>
    <x v="4"/>
    <n v="6.122594E-2"/>
    <n v="0.80705603000000004"/>
    <n v="0.10847689000000001"/>
    <n v="0.52510365000000003"/>
    <x v="0"/>
  </r>
  <r>
    <x v="0"/>
    <x v="1"/>
    <x v="5"/>
    <n v="1.7739029999999999E-2"/>
    <n v="0.97525428000000003"/>
    <n v="0.24846070000000001"/>
    <n v="0.62729424"/>
    <x v="0"/>
  </r>
  <r>
    <x v="0"/>
    <x v="1"/>
    <x v="6"/>
    <n v="-0.20355614"/>
    <n v="0.63275134"/>
    <n v="0.18217296999999999"/>
    <n v="0.46648237999999997"/>
    <x v="0"/>
  </r>
  <r>
    <x v="0"/>
    <x v="1"/>
    <x v="7"/>
    <n v="-0.19949506"/>
    <n v="0.63210776000000002"/>
    <n v="0.17819049000000001"/>
    <n v="0.46204659999999997"/>
    <x v="0"/>
  </r>
  <r>
    <x v="0"/>
    <x v="1"/>
    <x v="8"/>
    <n v="-0.27019976000000001"/>
    <n v="0.5633243"/>
    <n v="0.19847891000000001"/>
    <n v="0.46096559999999998"/>
    <x v="0"/>
  </r>
  <r>
    <x v="0"/>
    <x v="1"/>
    <x v="9"/>
    <n v="-0.22149516999999999"/>
    <n v="0.64270917999999999"/>
    <n v="0.20437274"/>
    <n v="0.49499149999999997"/>
    <x v="0"/>
  </r>
  <r>
    <x v="0"/>
    <x v="1"/>
    <x v="10"/>
    <n v="-0.54372076999999996"/>
    <n v="0.22383901"/>
    <n v="0.17478661000000001"/>
    <n v="0.44252170000000002"/>
    <x v="0"/>
  </r>
  <r>
    <x v="0"/>
    <x v="1"/>
    <x v="11"/>
    <n v="-9.1549430000000001E-2"/>
    <n v="0.79309832000000002"/>
    <n v="0.15093598"/>
    <n v="0.48296840000000002"/>
    <x v="0"/>
  </r>
  <r>
    <x v="0"/>
    <x v="1"/>
    <x v="12"/>
    <n v="0.17393954"/>
    <n v="0.54312207999999995"/>
    <n v="0.12112227"/>
    <n v="0.48602003999999999"/>
    <x v="0"/>
  </r>
  <r>
    <x v="0"/>
    <x v="1"/>
    <x v="13"/>
    <n v="0.15000147999999999"/>
    <n v="0.74890849000000004"/>
    <n v="0.20218198000000001"/>
    <n v="0.53706474999999998"/>
    <x v="0"/>
  </r>
  <r>
    <x v="0"/>
    <x v="2"/>
    <x v="0"/>
    <n v="0.79101732999999996"/>
    <n v="1.041722E-2"/>
    <n v="0.25278859999999997"/>
    <n v="0.10886814"/>
    <x v="0"/>
  </r>
  <r>
    <x v="0"/>
    <x v="2"/>
    <x v="1"/>
    <n v="0.77914463"/>
    <n v="8.6236779999999999E-2"/>
    <n v="0.34325466999999998"/>
    <n v="0.19991753000000001"/>
    <x v="0"/>
  </r>
  <r>
    <x v="0"/>
    <x v="2"/>
    <x v="2"/>
    <n v="0.84299736000000003"/>
    <n v="5.8442130000000002E-2"/>
    <n v="0.32030258"/>
    <n v="0.16217364000000001"/>
    <x v="0"/>
  </r>
  <r>
    <x v="0"/>
    <x v="2"/>
    <x v="3"/>
    <n v="0.47534799"/>
    <n v="0.12185762"/>
    <n v="0.24223375"/>
    <n v="0.34741665999999999"/>
    <x v="0"/>
  </r>
  <r>
    <x v="0"/>
    <x v="2"/>
    <x v="4"/>
    <n v="0.48010679000000001"/>
    <n v="0.12027668"/>
    <n v="0.24324333000000001"/>
    <n v="0.34541863"/>
    <x v="0"/>
  </r>
  <r>
    <x v="0"/>
    <x v="2"/>
    <x v="5"/>
    <n v="0.10988581"/>
    <n v="0.75737849000000002"/>
    <n v="0.33138811000000001"/>
    <n v="0.49468476"/>
    <x v="0"/>
  </r>
  <r>
    <x v="0"/>
    <x v="2"/>
    <x v="6"/>
    <n v="0.80241205000000004"/>
    <n v="7.5156840000000003E-2"/>
    <n v="0.33494458999999999"/>
    <n v="0.19368858"/>
    <x v="0"/>
  </r>
  <r>
    <x v="0"/>
    <x v="2"/>
    <x v="7"/>
    <n v="0.81009527999999997"/>
    <n v="6.8633369999999999E-2"/>
    <n v="0.32665636999999997"/>
    <n v="0.19544929999999999"/>
    <x v="0"/>
  </r>
  <r>
    <x v="0"/>
    <x v="2"/>
    <x v="8"/>
    <n v="0.83681194000000003"/>
    <n v="6.1862550000000002E-2"/>
    <n v="0.32463291"/>
    <n v="0.16421266000000001"/>
    <x v="0"/>
  </r>
  <r>
    <x v="0"/>
    <x v="2"/>
    <x v="9"/>
    <n v="0.74682369999999998"/>
    <n v="0.10401166000000001"/>
    <n v="0.35532782000000002"/>
    <n v="0.17792057"/>
    <x v="0"/>
  </r>
  <r>
    <x v="0"/>
    <x v="2"/>
    <x v="10"/>
    <n v="0.98147607000000003"/>
    <n v="3.2650000000000002E-4"/>
    <n v="8.5154199999999999E-2"/>
    <n v="1.1799189999999999E-2"/>
    <x v="0"/>
  </r>
  <r>
    <x v="0"/>
    <x v="2"/>
    <x v="11"/>
    <n v="0.68788559000000005"/>
    <n v="0.11356692"/>
    <n v="0.33984242999999997"/>
    <n v="0.23945569999999999"/>
    <x v="0"/>
  </r>
  <r>
    <x v="0"/>
    <x v="2"/>
    <x v="12"/>
    <n v="0.3915652"/>
    <n v="0.10625518"/>
    <n v="0.18799331999999999"/>
    <n v="0.40117586999999999"/>
    <x v="0"/>
  </r>
  <r>
    <x v="0"/>
    <x v="2"/>
    <x v="13"/>
    <n v="-0.45487305"/>
    <n v="0.20089814"/>
    <n v="0.29673148999999999"/>
    <n v="0.40849585999999999"/>
    <x v="0"/>
  </r>
  <r>
    <x v="1"/>
    <x v="0"/>
    <x v="0"/>
    <n v="0.82432287000000004"/>
    <n v="7.0906399999999996E-3"/>
    <n v="0.24146368000000001"/>
    <n v="0.10670669000000001"/>
    <x v="0"/>
  </r>
  <r>
    <x v="1"/>
    <x v="0"/>
    <x v="1"/>
    <n v="0.84770420999999996"/>
    <n v="7.4297399999999998E-3"/>
    <n v="0.25113442000000002"/>
    <n v="7.1141609999999994E-2"/>
    <x v="0"/>
  </r>
  <r>
    <x v="1"/>
    <x v="0"/>
    <x v="2"/>
    <n v="0.85094011999999997"/>
    <n v="9.3994400000000002E-3"/>
    <n v="0.26568133999999999"/>
    <n v="6.9116910000000004E-2"/>
    <x v="0"/>
  </r>
  <r>
    <x v="1"/>
    <x v="0"/>
    <x v="3"/>
    <n v="0.83186428999999995"/>
    <n v="8.26292E-3"/>
    <n v="0.25231742000000001"/>
    <n v="7.1821969999999999E-2"/>
    <x v="0"/>
  </r>
  <r>
    <x v="1"/>
    <x v="0"/>
    <x v="4"/>
    <n v="0.83825727000000005"/>
    <n v="8.6028200000000006E-3"/>
    <n v="0.25655702000000002"/>
    <n v="7.6335410000000006E-2"/>
    <x v="0"/>
  </r>
  <r>
    <x v="1"/>
    <x v="0"/>
    <x v="5"/>
    <n v="-0.75538961999999998"/>
    <n v="4.6194789999999999E-2"/>
    <n v="0.35395546"/>
    <n v="0.13383120000000001"/>
    <x v="0"/>
  </r>
  <r>
    <x v="1"/>
    <x v="0"/>
    <x v="6"/>
    <n v="0.83947128000000004"/>
    <n v="7.25853E-3"/>
    <n v="0.24742211"/>
    <n v="7.7732930000000006E-2"/>
    <x v="0"/>
  </r>
  <r>
    <x v="1"/>
    <x v="0"/>
    <x v="7"/>
    <n v="0.83468162999999995"/>
    <n v="7.5016400000000004E-3"/>
    <n v="0.24780223000000001"/>
    <n v="8.0245189999999994E-2"/>
    <x v="0"/>
  </r>
  <r>
    <x v="1"/>
    <x v="0"/>
    <x v="8"/>
    <n v="0.85239244000000003"/>
    <n v="1.141354E-2"/>
    <n v="0.27822266000000001"/>
    <n v="7.0065039999999995E-2"/>
    <x v="0"/>
  </r>
  <r>
    <x v="1"/>
    <x v="0"/>
    <x v="9"/>
    <n v="0.86217681000000002"/>
    <n v="1.125048E-2"/>
    <n v="0.28048128"/>
    <n v="8.3492629999999998E-2"/>
    <x v="0"/>
  </r>
  <r>
    <x v="1"/>
    <x v="0"/>
    <x v="10"/>
    <n v="0.89540405999999995"/>
    <n v="1.6682369999999998E-2"/>
    <n v="0.31981531000000002"/>
    <n v="6.0854230000000002E-2"/>
    <x v="0"/>
  </r>
  <r>
    <x v="1"/>
    <x v="0"/>
    <x v="11"/>
    <n v="0.84646520000000003"/>
    <n v="6.55633E-3"/>
    <n v="0.24399134"/>
    <n v="7.07816E-2"/>
    <x v="0"/>
  </r>
  <r>
    <x v="1"/>
    <x v="0"/>
    <x v="12"/>
    <n v="8.8729169999999996E-2"/>
    <n v="0.77742727"/>
    <n v="0.35225591000000001"/>
    <n v="0.36531796"/>
    <x v="0"/>
  </r>
  <r>
    <x v="1"/>
    <x v="0"/>
    <x v="13"/>
    <n v="-0.84972959999999997"/>
    <n v="9.5427499999999991E-3"/>
    <n v="0.26621373999999998"/>
    <n v="6.4345120000000006E-2"/>
    <x v="0"/>
  </r>
  <r>
    <x v="1"/>
    <x v="1"/>
    <x v="0"/>
    <n v="0.50592543000000001"/>
    <n v="0.18473371999999999"/>
    <n v="0.38791934"/>
    <n v="0.31832296999999998"/>
    <x v="0"/>
  </r>
  <r>
    <x v="1"/>
    <x v="1"/>
    <x v="1"/>
    <n v="0.52060200000000001"/>
    <n v="0.22293213000000001"/>
    <n v="0.46169441999999999"/>
    <n v="0.35658631000000002"/>
    <x v="0"/>
  </r>
  <r>
    <x v="1"/>
    <x v="1"/>
    <x v="2"/>
    <n v="0.50594530999999998"/>
    <n v="0.22934082"/>
    <n v="0.45578848"/>
    <n v="0.3541551"/>
    <x v="0"/>
  </r>
  <r>
    <x v="1"/>
    <x v="1"/>
    <x v="3"/>
    <n v="0.45768028999999999"/>
    <n v="0.33879603000000003"/>
    <n v="0.53093758999999996"/>
    <n v="0.40295425000000001"/>
    <x v="0"/>
  </r>
  <r>
    <x v="1"/>
    <x v="1"/>
    <x v="4"/>
    <n v="0.49575638999999999"/>
    <n v="0.27633500999999999"/>
    <n v="0.49912377000000002"/>
    <n v="0.38758274999999998"/>
    <x v="0"/>
  </r>
  <r>
    <x v="1"/>
    <x v="1"/>
    <x v="5"/>
    <n v="-0.41944176999999999"/>
    <n v="8.6595660000000005E-2"/>
    <n v="0.24699857"/>
    <n v="0.26095199000000002"/>
    <x v="0"/>
  </r>
  <r>
    <x v="1"/>
    <x v="1"/>
    <x v="6"/>
    <n v="0.51924769000000004"/>
    <n v="0.22741896"/>
    <n v="0.46558486999999998"/>
    <n v="0.35813045999999998"/>
    <x v="0"/>
  </r>
  <r>
    <x v="1"/>
    <x v="1"/>
    <x v="7"/>
    <n v="0.52620728000000005"/>
    <n v="0.21788461000000001"/>
    <n v="0.46088477"/>
    <n v="0.35645621999999999"/>
    <x v="0"/>
  </r>
  <r>
    <x v="1"/>
    <x v="1"/>
    <x v="8"/>
    <n v="0.51114353999999995"/>
    <n v="0.21166761000000001"/>
    <n v="0.44080545999999998"/>
    <n v="0.34590566"/>
    <x v="0"/>
  </r>
  <r>
    <x v="1"/>
    <x v="1"/>
    <x v="9"/>
    <n v="0.50469308000000002"/>
    <n v="0.20596191"/>
    <n v="0.4290293"/>
    <n v="0.33919655999999998"/>
    <x v="0"/>
  </r>
  <r>
    <x v="1"/>
    <x v="1"/>
    <x v="10"/>
    <n v="0.49696346000000002"/>
    <n v="0.16436112"/>
    <n v="0.37827938999999999"/>
    <n v="0.30712716000000001"/>
    <x v="0"/>
  </r>
  <r>
    <x v="1"/>
    <x v="1"/>
    <x v="11"/>
    <n v="0.51961113999999997"/>
    <n v="0.23501633999999999"/>
    <n v="0.47458718999999999"/>
    <n v="0.36454953000000001"/>
    <x v="0"/>
  </r>
  <r>
    <x v="1"/>
    <x v="1"/>
    <x v="12"/>
    <n v="-1.5618740000000001E-2"/>
    <n v="0.97454322000000004"/>
    <n v="0.56600976999999997"/>
    <n v="0.45889214"/>
    <x v="0"/>
  </r>
  <r>
    <x v="1"/>
    <x v="1"/>
    <x v="13"/>
    <n v="-0.52338083999999996"/>
    <n v="0.11618857"/>
    <n v="0.34383001000000002"/>
    <n v="0.28755841999999998"/>
    <x v="0"/>
  </r>
  <r>
    <x v="1"/>
    <x v="2"/>
    <x v="0"/>
    <n v="0.77628733999999999"/>
    <n v="1.2317949999999999E-2"/>
    <n v="0.25601305000000002"/>
    <n v="0.20618769000000001"/>
    <x v="0"/>
  </r>
  <r>
    <x v="1"/>
    <x v="2"/>
    <x v="1"/>
    <n v="0.79842254000000001"/>
    <n v="2.0091020000000001E-2"/>
    <n v="0.29956923000000002"/>
    <n v="0.21274622000000001"/>
    <x v="0"/>
  </r>
  <r>
    <x v="1"/>
    <x v="2"/>
    <x v="2"/>
    <n v="0.79167721000000002"/>
    <n v="2.0998590000000001E-2"/>
    <n v="0.30035916000000001"/>
    <n v="0.21151621000000001"/>
    <x v="0"/>
  </r>
  <r>
    <x v="1"/>
    <x v="2"/>
    <x v="3"/>
    <n v="0.75220476000000003"/>
    <n v="4.6837770000000001E-2"/>
    <n v="0.35507237000000003"/>
    <n v="0.25175849"/>
    <x v="0"/>
  </r>
  <r>
    <x v="1"/>
    <x v="2"/>
    <x v="4"/>
    <n v="0.77831954999999997"/>
    <n v="3.107379E-2"/>
    <n v="0.32713550000000002"/>
    <n v="0.23970168"/>
    <x v="0"/>
  </r>
  <r>
    <x v="1"/>
    <x v="2"/>
    <x v="5"/>
    <n v="-0.68531087000000002"/>
    <n v="2.1504720000000001E-2"/>
    <n v="0.26157580000000002"/>
    <n v="0.1906311"/>
    <x v="0"/>
  </r>
  <r>
    <x v="1"/>
    <x v="2"/>
    <x v="6"/>
    <n v="0.79284633000000004"/>
    <n v="2.09722E-2"/>
    <n v="0.30070722999999999"/>
    <n v="0.21482234"/>
    <x v="0"/>
  </r>
  <r>
    <x v="1"/>
    <x v="2"/>
    <x v="7"/>
    <n v="0.7941608"/>
    <n v="1.9917399999999998E-2"/>
    <n v="0.29732292999999999"/>
    <n v="0.21298645999999999"/>
    <x v="0"/>
  </r>
  <r>
    <x v="1"/>
    <x v="2"/>
    <x v="8"/>
    <n v="0.79557889000000004"/>
    <n v="1.9420639999999999E-2"/>
    <n v="0.29597982"/>
    <n v="0.20621500000000001"/>
    <x v="0"/>
  </r>
  <r>
    <x v="1"/>
    <x v="2"/>
    <x v="9"/>
    <n v="0.79746349999999999"/>
    <n v="1.691747E-2"/>
    <n v="0.28674902000000002"/>
    <n v="0.2121632"/>
    <x v="0"/>
  </r>
  <r>
    <x v="1"/>
    <x v="2"/>
    <x v="10"/>
    <n v="0.81220446999999996"/>
    <n v="1.187538E-2"/>
    <n v="0.26843822000000001"/>
    <n v="0.18949896999999999"/>
    <x v="0"/>
  </r>
  <r>
    <x v="1"/>
    <x v="2"/>
    <x v="11"/>
    <n v="0.79712026000000002"/>
    <n v="2.246368E-2"/>
    <n v="0.30764842999999997"/>
    <n v="0.21881285"/>
    <x v="0"/>
  </r>
  <r>
    <x v="1"/>
    <x v="2"/>
    <x v="12"/>
    <n v="4.2318790000000002E-2"/>
    <n v="0.91346598999999995"/>
    <n v="0.43980288000000001"/>
    <n v="0.38530894999999998"/>
    <x v="0"/>
  </r>
  <r>
    <x v="1"/>
    <x v="2"/>
    <x v="13"/>
    <n v="-0.80123334000000002"/>
    <n v="5.7557099999999998E-3"/>
    <n v="0.22527784000000001"/>
    <n v="0.15802885999999999"/>
    <x v="0"/>
  </r>
  <r>
    <x v="2"/>
    <x v="0"/>
    <x v="0"/>
    <n v="0.18614363"/>
    <n v="0.64625337000000005"/>
    <n v="0.32774687000000002"/>
    <n v="0.42567156"/>
    <x v="0"/>
  </r>
  <r>
    <x v="2"/>
    <x v="0"/>
    <x v="1"/>
    <n v="8.5710709999999996E-2"/>
    <n v="0.85070551000000005"/>
    <n v="0.28806133"/>
    <n v="0.49187723999999999"/>
    <x v="0"/>
  </r>
  <r>
    <x v="2"/>
    <x v="0"/>
    <x v="2"/>
    <n v="9.7211939999999997E-2"/>
    <n v="0.82903234999999997"/>
    <n v="0.28462652999999999"/>
    <n v="0.48887650999999999"/>
    <x v="0"/>
  </r>
  <r>
    <x v="2"/>
    <x v="0"/>
    <x v="3"/>
    <n v="5.6985929999999997E-2"/>
    <n v="0.91015592999999995"/>
    <n v="0.31977831000000001"/>
    <n v="0.53544055000000002"/>
    <x v="0"/>
  </r>
  <r>
    <x v="2"/>
    <x v="0"/>
    <x v="4"/>
    <n v="-7.0865559999999994E-2"/>
    <n v="0.85924670000000003"/>
    <n v="0.25283323000000002"/>
    <n v="0.44843878999999998"/>
    <x v="0"/>
  </r>
  <r>
    <x v="2"/>
    <x v="0"/>
    <x v="5"/>
    <n v="2.345115E-2"/>
    <n v="0.94413639000000005"/>
    <n v="0.21199382999999999"/>
    <n v="0.42187917000000003"/>
    <x v="0"/>
  </r>
  <r>
    <x v="2"/>
    <x v="0"/>
    <x v="6"/>
    <n v="5.4580730000000001E-2"/>
    <n v="0.90874361000000003"/>
    <n v="0.30151556000000002"/>
    <n v="0.50745129"/>
    <x v="0"/>
  </r>
  <r>
    <x v="2"/>
    <x v="0"/>
    <x v="7"/>
    <n v="7.3032650000000005E-2"/>
    <n v="0.87381993999999996"/>
    <n v="0.29104060999999998"/>
    <n v="0.49424695000000002"/>
    <x v="0"/>
  </r>
  <r>
    <x v="2"/>
    <x v="0"/>
    <x v="8"/>
    <n v="0.11115748"/>
    <n v="0.80225367999999997"/>
    <n v="0.28043502999999997"/>
    <n v="0.48492484000000002"/>
    <x v="0"/>
  </r>
  <r>
    <x v="2"/>
    <x v="0"/>
    <x v="9"/>
    <n v="0.11152336"/>
    <n v="0.80438580000000004"/>
    <n v="0.28450683999999998"/>
    <n v="0.4900197"/>
    <x v="0"/>
  </r>
  <r>
    <x v="2"/>
    <x v="0"/>
    <x v="10"/>
    <n v="0.13153411000000001"/>
    <n v="0.76575185999999995"/>
    <n v="0.27860698"/>
    <n v="0.48745971999999999"/>
    <x v="0"/>
  </r>
  <r>
    <x v="2"/>
    <x v="0"/>
    <x v="11"/>
    <n v="6.6137489999999993E-2"/>
    <n v="0.88605590999999995"/>
    <n v="0.29215410000000003"/>
    <n v="0.49596672000000003"/>
    <x v="0"/>
  </r>
  <r>
    <x v="2"/>
    <x v="0"/>
    <x v="12"/>
    <n v="2.8998700000000001E-3"/>
    <n v="0.98907911999999998"/>
    <n v="0.13422803"/>
    <n v="0.36670522"/>
    <x v="0"/>
  </r>
  <r>
    <x v="2"/>
    <x v="0"/>
    <x v="13"/>
    <n v="1.012819E-2"/>
    <n v="0.97900962000000002"/>
    <n v="0.24388546999999999"/>
    <n v="0.44699709999999998"/>
    <x v="0"/>
  </r>
  <r>
    <x v="2"/>
    <x v="1"/>
    <x v="0"/>
    <n v="-4.43933E-3"/>
    <n v="0.99032337000000004"/>
    <n v="0.29447872000000003"/>
    <n v="0.40418472"/>
    <x v="0"/>
  </r>
  <r>
    <x v="2"/>
    <x v="1"/>
    <x v="1"/>
    <n v="0.13132299"/>
    <n v="0.73922239999999995"/>
    <n v="0.27656931000000001"/>
    <n v="0.44722274000000001"/>
    <x v="0"/>
  </r>
  <r>
    <x v="2"/>
    <x v="1"/>
    <x v="2"/>
    <n v="0.13304126999999999"/>
    <n v="0.73466869000000001"/>
    <n v="0.27514611999999999"/>
    <n v="0.44661229000000002"/>
    <x v="0"/>
  </r>
  <r>
    <x v="2"/>
    <x v="1"/>
    <x v="3"/>
    <n v="8.6381470000000002E-2"/>
    <n v="0.83567429999999998"/>
    <n v="0.29283331000000001"/>
    <n v="0.45360211"/>
    <x v="0"/>
  </r>
  <r>
    <x v="2"/>
    <x v="1"/>
    <x v="4"/>
    <n v="0.21371372"/>
    <n v="0.54135661999999996"/>
    <n v="0.24243867999999999"/>
    <n v="0.41002824999999998"/>
    <x v="0"/>
  </r>
  <r>
    <x v="2"/>
    <x v="1"/>
    <x v="5"/>
    <n v="-0.33570730999999998"/>
    <n v="0.31263396999999998"/>
    <n v="0.22368726999999999"/>
    <n v="0.48606377000000001"/>
    <x v="0"/>
  </r>
  <r>
    <x v="2"/>
    <x v="1"/>
    <x v="6"/>
    <n v="0.14652993"/>
    <n v="0.71382553999999998"/>
    <n v="0.27982277999999999"/>
    <n v="0.45350182"/>
    <x v="0"/>
  </r>
  <r>
    <x v="2"/>
    <x v="1"/>
    <x v="7"/>
    <n v="0.14252651"/>
    <n v="0.71892294999999995"/>
    <n v="0.27740030999999998"/>
    <n v="0.45071475"/>
    <x v="0"/>
  </r>
  <r>
    <x v="2"/>
    <x v="1"/>
    <x v="8"/>
    <n v="0.12311915"/>
    <n v="0.75266661999999995"/>
    <n v="0.27404457999999998"/>
    <n v="0.44335615"/>
    <x v="0"/>
  </r>
  <r>
    <x v="2"/>
    <x v="1"/>
    <x v="9"/>
    <n v="0.135656"/>
    <n v="0.73136142000000004"/>
    <n v="0.27692629000000002"/>
    <n v="0.45223572000000001"/>
    <x v="0"/>
  </r>
  <r>
    <x v="2"/>
    <x v="1"/>
    <x v="10"/>
    <n v="0.11202056000000001"/>
    <n v="0.77324037000000001"/>
    <n v="0.27289190000000002"/>
    <n v="0.43507924999999997"/>
    <x v="0"/>
  </r>
  <r>
    <x v="2"/>
    <x v="1"/>
    <x v="11"/>
    <n v="0.13646295"/>
    <n v="0.73001474"/>
    <n v="0.27711278"/>
    <n v="0.44775820999999999"/>
    <x v="0"/>
  </r>
  <r>
    <x v="2"/>
    <x v="1"/>
    <x v="12"/>
    <n v="-0.38280813000000002"/>
    <n v="0.13531528000000001"/>
    <n v="0.16298588"/>
    <n v="0.46624303"/>
    <x v="0"/>
  </r>
  <r>
    <x v="2"/>
    <x v="1"/>
    <x v="13"/>
    <n v="-0.29769821000000002"/>
    <n v="0.40850692999999999"/>
    <n v="0.24607527000000001"/>
    <n v="0.47832092999999998"/>
    <x v="0"/>
  </r>
  <r>
    <x v="2"/>
    <x v="2"/>
    <x v="0"/>
    <n v="0.32334171"/>
    <n v="0.45710814"/>
    <n v="0.39276216000000003"/>
    <n v="0.39843919999999999"/>
    <x v="0"/>
  </r>
  <r>
    <x v="2"/>
    <x v="2"/>
    <x v="1"/>
    <n v="0.28184809999999999"/>
    <n v="0.56619396"/>
    <n v="0.37616667999999998"/>
    <n v="0.44518861999999998"/>
    <x v="0"/>
  </r>
  <r>
    <x v="2"/>
    <x v="2"/>
    <x v="2"/>
    <n v="0.30242341"/>
    <n v="0.53678294999999998"/>
    <n v="0.37397856000000002"/>
    <n v="0.44419560000000002"/>
    <x v="0"/>
  </r>
  <r>
    <x v="2"/>
    <x v="2"/>
    <x v="3"/>
    <n v="0.18638167"/>
    <n v="0.71177979999999996"/>
    <n v="0.38958868000000002"/>
    <n v="0.47230418000000002"/>
    <x v="0"/>
  </r>
  <r>
    <x v="2"/>
    <x v="2"/>
    <x v="4"/>
    <n v="0.11644374"/>
    <n v="0.78857783000000004"/>
    <n v="0.33632488999999999"/>
    <n v="0.42536962"/>
    <x v="0"/>
  </r>
  <r>
    <x v="2"/>
    <x v="2"/>
    <x v="5"/>
    <n v="-0.32586823999999998"/>
    <n v="0.45537158999999999"/>
    <n v="0.33080242999999998"/>
    <n v="0.44541733"/>
    <x v="0"/>
  </r>
  <r>
    <x v="2"/>
    <x v="2"/>
    <x v="6"/>
    <n v="0.24769019"/>
    <n v="0.62466045000000003"/>
    <n v="0.38917810000000003"/>
    <n v="0.45895639999999999"/>
    <x v="0"/>
  </r>
  <r>
    <x v="2"/>
    <x v="2"/>
    <x v="7"/>
    <n v="0.27336978000000001"/>
    <n v="0.58146618000000005"/>
    <n v="0.38012235"/>
    <n v="0.44842090000000001"/>
    <x v="0"/>
  </r>
  <r>
    <x v="2"/>
    <x v="2"/>
    <x v="8"/>
    <n v="0.31435333999999998"/>
    <n v="0.51579394999999995"/>
    <n v="0.36881624000000002"/>
    <n v="0.43991793000000001"/>
    <x v="0"/>
  </r>
  <r>
    <x v="2"/>
    <x v="2"/>
    <x v="9"/>
    <n v="0.32854285"/>
    <n v="0.50262607000000004"/>
    <n v="0.37320773000000002"/>
    <n v="0.44697299000000001"/>
    <x v="0"/>
  </r>
  <r>
    <x v="2"/>
    <x v="2"/>
    <x v="10"/>
    <n v="0.33547075999999998"/>
    <n v="0.48633707999999998"/>
    <n v="0.36637993000000002"/>
    <n v="0.44469546999999998"/>
    <x v="0"/>
  </r>
  <r>
    <x v="2"/>
    <x v="2"/>
    <x v="11"/>
    <n v="0.25557658999999999"/>
    <n v="0.60500419000000005"/>
    <n v="0.37938006000000002"/>
    <n v="0.44797882"/>
    <x v="0"/>
  </r>
  <r>
    <x v="2"/>
    <x v="2"/>
    <x v="12"/>
    <n v="-0.41037799000000003"/>
    <n v="0.20113545999999999"/>
    <n v="0.23152607"/>
    <n v="0.43533616000000003"/>
    <x v="0"/>
  </r>
  <r>
    <x v="2"/>
    <x v="2"/>
    <x v="13"/>
    <n v="-0.30632935"/>
    <n v="0.51809852000000001"/>
    <n v="0.36145897999999999"/>
    <n v="0.44834798999999997"/>
    <x v="0"/>
  </r>
  <r>
    <x v="3"/>
    <x v="0"/>
    <x v="0"/>
    <n v="-0.57017441000000002"/>
    <n v="4.3359889999999998E-2"/>
    <n v="0.23578410999999999"/>
    <n v="0.20387947000000001"/>
    <x v="0"/>
  </r>
  <r>
    <x v="3"/>
    <x v="0"/>
    <x v="1"/>
    <n v="-0.60733674999999998"/>
    <n v="4.014757E-2"/>
    <n v="0.25126938999999998"/>
    <n v="0.23220321999999999"/>
    <x v="0"/>
  </r>
  <r>
    <x v="3"/>
    <x v="0"/>
    <x v="2"/>
    <n v="-0.61744469000000002"/>
    <n v="3.9762930000000002E-2"/>
    <n v="0.25475024000000002"/>
    <n v="0.23732660999999999"/>
    <x v="0"/>
  </r>
  <r>
    <x v="3"/>
    <x v="0"/>
    <x v="3"/>
    <n v="-0.60943835000000002"/>
    <n v="6.6183500000000006E-2"/>
    <n v="0.29349480999999999"/>
    <n v="0.20081222000000001"/>
    <x v="0"/>
  </r>
  <r>
    <x v="3"/>
    <x v="0"/>
    <x v="4"/>
    <n v="-0.43173192999999999"/>
    <n v="0.23043651000000001"/>
    <n v="0.34925962999999999"/>
    <n v="0.28909339000000001"/>
    <x v="0"/>
  </r>
  <r>
    <x v="3"/>
    <x v="0"/>
    <x v="5"/>
    <n v="0.48394582000000003"/>
    <n v="0.13837081000000001"/>
    <n v="0.30577499000000002"/>
    <n v="0.27875518999999999"/>
    <x v="0"/>
  </r>
  <r>
    <x v="3"/>
    <x v="0"/>
    <x v="6"/>
    <n v="-0.61023382999999998"/>
    <n v="3.9433780000000002E-2"/>
    <n v="0.25117961"/>
    <n v="0.23469870000000001"/>
    <x v="0"/>
  </r>
  <r>
    <x v="3"/>
    <x v="0"/>
    <x v="7"/>
    <n v="-0.59670732000000004"/>
    <n v="4.4154209999999999E-2"/>
    <n v="0.25374933"/>
    <n v="0.23861616999999999"/>
    <x v="0"/>
  </r>
  <r>
    <x v="3"/>
    <x v="0"/>
    <x v="8"/>
    <n v="-0.60606698999999997"/>
    <n v="4.4011679999999997E-2"/>
    <n v="0.25748638000000001"/>
    <n v="0.23932955"/>
    <x v="0"/>
  </r>
  <r>
    <x v="3"/>
    <x v="0"/>
    <x v="9"/>
    <n v="-0.57050124999999996"/>
    <n v="7.7889819999999999E-2"/>
    <n v="0.29002844"/>
    <n v="0.28788896000000003"/>
    <x v="0"/>
  </r>
  <r>
    <x v="3"/>
    <x v="0"/>
    <x v="10"/>
    <n v="-0.54172726999999998"/>
    <n v="8.3925390000000002E-2"/>
    <n v="0.28258265999999999"/>
    <n v="0.28354409000000003"/>
    <x v="0"/>
  </r>
  <r>
    <x v="3"/>
    <x v="0"/>
    <x v="11"/>
    <n v="-0.61575358000000002"/>
    <n v="3.3736969999999998E-2"/>
    <n v="0.24262047"/>
    <n v="0.22907862000000001"/>
    <x v="0"/>
  </r>
  <r>
    <x v="3"/>
    <x v="0"/>
    <x v="12"/>
    <n v="0.20480867999999999"/>
    <n v="0.59768865000000004"/>
    <n v="0.39698675"/>
    <n v="0.34840228000000001"/>
    <x v="0"/>
  </r>
  <r>
    <x v="3"/>
    <x v="0"/>
    <x v="13"/>
    <n v="0.63965826999999997"/>
    <n v="3.4494610000000002E-2"/>
    <n v="0.25358905999999998"/>
    <n v="0.20915362000000001"/>
    <x v="0"/>
  </r>
  <r>
    <x v="3"/>
    <x v="1"/>
    <x v="0"/>
    <n v="0.57295114000000003"/>
    <n v="7.5193919999999997E-2"/>
    <n v="0.28610542999999999"/>
    <n v="0.16867899"/>
    <x v="0"/>
  </r>
  <r>
    <x v="3"/>
    <x v="1"/>
    <x v="1"/>
    <n v="0.58379210999999998"/>
    <n v="8.2566340000000002E-2"/>
    <n v="0.31241991000000002"/>
    <n v="0.19415727999999999"/>
    <x v="0"/>
  </r>
  <r>
    <x v="3"/>
    <x v="1"/>
    <x v="2"/>
    <n v="0.60392683999999996"/>
    <n v="8.1660739999999996E-2"/>
    <n v="0.32196181000000001"/>
    <n v="0.20050008999999999"/>
    <x v="0"/>
  </r>
  <r>
    <x v="3"/>
    <x v="1"/>
    <x v="3"/>
    <n v="0.54387034000000001"/>
    <n v="0.11864474"/>
    <n v="0.33289769000000002"/>
    <n v="0.19882198000000001"/>
    <x v="0"/>
  </r>
  <r>
    <x v="3"/>
    <x v="1"/>
    <x v="4"/>
    <n v="0.45579301999999999"/>
    <n v="0.21855994000000001"/>
    <n v="0.36951445999999999"/>
    <n v="0.24507824"/>
    <x v="0"/>
  </r>
  <r>
    <x v="3"/>
    <x v="1"/>
    <x v="5"/>
    <n v="-0.44905313000000002"/>
    <n v="0.26499532999999997"/>
    <n v="0.40692060000000002"/>
    <n v="0.29451262"/>
    <x v="0"/>
  </r>
  <r>
    <x v="3"/>
    <x v="1"/>
    <x v="6"/>
    <n v="0.59108210000000005"/>
    <n v="8.1424109999999994E-2"/>
    <n v="0.31479797999999998"/>
    <n v="0.19793027999999999"/>
    <x v="0"/>
  </r>
  <r>
    <x v="3"/>
    <x v="1"/>
    <x v="7"/>
    <n v="0.57699829999999996"/>
    <n v="8.6676359999999994E-2"/>
    <n v="0.31408080999999999"/>
    <n v="0.20056679999999999"/>
    <x v="0"/>
  </r>
  <r>
    <x v="3"/>
    <x v="1"/>
    <x v="8"/>
    <n v="0.59131286999999999"/>
    <n v="8.6842139999999998E-2"/>
    <n v="0.32208996000000001"/>
    <n v="0.20299400000000001"/>
    <x v="0"/>
  </r>
  <r>
    <x v="3"/>
    <x v="1"/>
    <x v="9"/>
    <n v="0.58781901999999997"/>
    <n v="0.10907651"/>
    <n v="0.34819075999999999"/>
    <n v="0.23970168"/>
    <x v="0"/>
  </r>
  <r>
    <x v="3"/>
    <x v="1"/>
    <x v="10"/>
    <n v="0.55736032999999996"/>
    <n v="0.11805555"/>
    <n v="0.34048250000000002"/>
    <n v="0.24581594000000001"/>
    <x v="0"/>
  </r>
  <r>
    <x v="3"/>
    <x v="1"/>
    <x v="11"/>
    <n v="0.58931111999999997"/>
    <n v="7.3025019999999996E-2"/>
    <n v="0.30245648000000003"/>
    <n v="0.18744211"/>
    <x v="0"/>
  </r>
  <r>
    <x v="3"/>
    <x v="1"/>
    <x v="12"/>
    <n v="-0.21136890999999999"/>
    <n v="0.58677902000000004"/>
    <n v="0.41013403999999998"/>
    <n v="0.34324902000000002"/>
    <x v="0"/>
  </r>
  <r>
    <x v="3"/>
    <x v="1"/>
    <x v="13"/>
    <n v="-0.59853462999999996"/>
    <n v="0.15556333999999999"/>
    <n v="0.41061196"/>
    <n v="0.23838307"/>
    <x v="0"/>
  </r>
  <r>
    <x v="3"/>
    <x v="2"/>
    <x v="0"/>
    <n v="-0.26633936000000002"/>
    <n v="0.27086823999999998"/>
    <n v="0.22749863000000001"/>
    <n v="0.27471594999999999"/>
    <x v="0"/>
  </r>
  <r>
    <x v="3"/>
    <x v="2"/>
    <x v="1"/>
    <n v="-0.34814188000000001"/>
    <n v="0.19232621999999999"/>
    <n v="0.24863739000000001"/>
    <n v="0.31790081999999997"/>
    <x v="0"/>
  </r>
  <r>
    <x v="3"/>
    <x v="2"/>
    <x v="2"/>
    <n v="-0.32782686"/>
    <n v="0.21677084999999999"/>
    <n v="0.24913887000000001"/>
    <n v="0.31908980999999997"/>
    <x v="0"/>
  </r>
  <r>
    <x v="3"/>
    <x v="2"/>
    <x v="3"/>
    <n v="-0.454453"/>
    <n v="9.7564780000000004E-2"/>
    <n v="0.24307012"/>
    <n v="0.25898484999999999"/>
    <x v="0"/>
  </r>
  <r>
    <x v="3"/>
    <x v="2"/>
    <x v="4"/>
    <n v="-0.14524079000000001"/>
    <n v="0.63321702999999996"/>
    <n v="0.30315014000000001"/>
    <n v="0.34550533999999999"/>
    <x v="0"/>
  </r>
  <r>
    <x v="3"/>
    <x v="2"/>
    <x v="5"/>
    <n v="0.31783609000000002"/>
    <n v="0.38300857999999999"/>
    <n v="0.35424645999999999"/>
    <n v="0.39788164999999998"/>
    <x v="0"/>
  </r>
  <r>
    <x v="3"/>
    <x v="2"/>
    <x v="6"/>
    <n v="-0.33851246000000002"/>
    <n v="0.20303191000000001"/>
    <n v="0.24852108000000001"/>
    <n v="0.31775341000000001"/>
    <x v="0"/>
  </r>
  <r>
    <x v="3"/>
    <x v="2"/>
    <x v="7"/>
    <n v="-0.33346942000000002"/>
    <n v="0.21240944"/>
    <n v="0.25068552"/>
    <n v="0.32134553999999999"/>
    <x v="0"/>
  </r>
  <r>
    <x v="3"/>
    <x v="2"/>
    <x v="8"/>
    <n v="-0.32550831000000002"/>
    <n v="0.21779119999999999"/>
    <n v="0.24800421"/>
    <n v="0.31975112"/>
    <x v="0"/>
  </r>
  <r>
    <x v="3"/>
    <x v="2"/>
    <x v="9"/>
    <n v="-0.22820410999999999"/>
    <n v="0.44734994"/>
    <n v="0.29445980999999999"/>
    <n v="0.35690327999999999"/>
    <x v="0"/>
  </r>
  <r>
    <x v="3"/>
    <x v="2"/>
    <x v="10"/>
    <n v="-0.21872743"/>
    <n v="0.44258570000000003"/>
    <n v="0.27913893000000001"/>
    <n v="0.34722905999999998"/>
    <x v="0"/>
  </r>
  <r>
    <x v="3"/>
    <x v="2"/>
    <x v="11"/>
    <n v="-0.35941085"/>
    <n v="0.19108886999999999"/>
    <n v="0.25585803000000001"/>
    <n v="0.32282948"/>
    <x v="0"/>
  </r>
  <r>
    <x v="3"/>
    <x v="2"/>
    <x v="12"/>
    <n v="8.1064349999999993E-2"/>
    <n v="0.83270615999999997"/>
    <n v="0.38539219000000002"/>
    <n v="0.40066697000000001"/>
    <x v="0"/>
  </r>
  <r>
    <x v="3"/>
    <x v="2"/>
    <x v="13"/>
    <n v="0.40758203999999998"/>
    <n v="0.22883313999999999"/>
    <n v="0.31908008999999998"/>
    <n v="0.37759712000000001"/>
    <x v="0"/>
  </r>
  <r>
    <x v="4"/>
    <x v="0"/>
    <x v="0"/>
    <n v="0.33265649000000003"/>
    <n v="0.38680664999999997"/>
    <n v="0.39948458999999997"/>
    <n v="0.33566172"/>
    <x v="0"/>
  </r>
  <r>
    <x v="4"/>
    <x v="0"/>
    <x v="1"/>
    <n v="0.11252245"/>
    <n v="0.83814785000000003"/>
    <n v="0.35794586"/>
    <n v="0.59704221999999996"/>
    <x v="0"/>
  </r>
  <r>
    <x v="4"/>
    <x v="0"/>
    <x v="2"/>
    <n v="0.12787259000000001"/>
    <n v="0.81800262999999995"/>
    <n v="0.36085806999999998"/>
    <n v="0.59755866000000002"/>
    <x v="0"/>
  </r>
  <r>
    <x v="4"/>
    <x v="0"/>
    <x v="3"/>
    <n v="0.14028470000000001"/>
    <n v="0.80116887999999997"/>
    <n v="0.36153571000000001"/>
    <n v="0.59609277000000005"/>
    <x v="0"/>
  </r>
  <r>
    <x v="4"/>
    <x v="0"/>
    <x v="4"/>
    <n v="-0.10651598"/>
    <n v="0.79148905999999997"/>
    <n v="0.26139289999999998"/>
    <n v="0.46976174999999998"/>
    <x v="0"/>
  </r>
  <r>
    <x v="4"/>
    <x v="0"/>
    <x v="5"/>
    <n v="-0.26343918999999999"/>
    <n v="0.63688511000000003"/>
    <n v="0.35906128999999998"/>
    <n v="0.61827052999999998"/>
    <x v="0"/>
  </r>
  <r>
    <x v="4"/>
    <x v="0"/>
    <x v="6"/>
    <n v="0.11542987"/>
    <n v="0.83395819000000004"/>
    <n v="0.35775455"/>
    <n v="0.59561109000000001"/>
    <x v="0"/>
  </r>
  <r>
    <x v="4"/>
    <x v="0"/>
    <x v="7"/>
    <n v="0.12349364"/>
    <n v="0.82281822000000004"/>
    <n v="0.35819377000000002"/>
    <n v="0.59869123000000002"/>
    <x v="0"/>
  </r>
  <r>
    <x v="4"/>
    <x v="0"/>
    <x v="8"/>
    <n v="0.14836537999999999"/>
    <n v="0.79084535"/>
    <n v="0.36293659"/>
    <n v="0.60388151000000001"/>
    <x v="0"/>
  </r>
  <r>
    <x v="4"/>
    <x v="0"/>
    <x v="9"/>
    <n v="3.1180579999999999E-2"/>
    <n v="0.95126432999999999"/>
    <n v="0.33217774999999999"/>
    <n v="0.51453382000000003"/>
    <x v="0"/>
  </r>
  <r>
    <x v="4"/>
    <x v="0"/>
    <x v="10"/>
    <n v="0.23771624"/>
    <n v="0.66577854999999997"/>
    <n v="0.35478904"/>
    <n v="0.57662468"/>
    <x v="0"/>
  </r>
  <r>
    <x v="4"/>
    <x v="0"/>
    <x v="11"/>
    <n v="5.9889829999999998E-2"/>
    <n v="0.91033741000000001"/>
    <n v="0.34611267000000001"/>
    <n v="0.57807469"/>
    <x v="0"/>
  </r>
  <r>
    <x v="4"/>
    <x v="0"/>
    <x v="12"/>
    <n v="-0.32927414999999999"/>
    <n v="0.49575437"/>
    <n v="0.30692424000000001"/>
    <n v="0.45794969000000002"/>
    <x v="0"/>
  </r>
  <r>
    <x v="4"/>
    <x v="0"/>
    <x v="13"/>
    <n v="-0.20148042999999999"/>
    <n v="0.72364019999999996"/>
    <n v="0.36857332999999998"/>
    <n v="0.63696898999999996"/>
    <x v="0"/>
  </r>
  <r>
    <x v="4"/>
    <x v="1"/>
    <x v="0"/>
    <n v="-0.29135594999999997"/>
    <n v="0.44843490000000003"/>
    <n v="0.40631043999999999"/>
    <n v="0.31669605000000001"/>
    <x v="0"/>
  </r>
  <r>
    <x v="4"/>
    <x v="1"/>
    <x v="1"/>
    <n v="-4.2370409999999997E-2"/>
    <n v="0.91463700000000003"/>
    <n v="0.31803703999999999"/>
    <n v="0.49919509000000001"/>
    <x v="0"/>
  </r>
  <r>
    <x v="4"/>
    <x v="1"/>
    <x v="2"/>
    <n v="-7.5544340000000001E-2"/>
    <n v="0.85146774000000003"/>
    <n v="0.32419742000000001"/>
    <n v="0.49227410999999999"/>
    <x v="0"/>
  </r>
  <r>
    <x v="4"/>
    <x v="1"/>
    <x v="3"/>
    <n v="-6.8215509999999993E-2"/>
    <n v="0.86845528999999999"/>
    <n v="0.33110680999999997"/>
    <n v="0.50329425999999999"/>
    <x v="0"/>
  </r>
  <r>
    <x v="4"/>
    <x v="1"/>
    <x v="4"/>
    <n v="-8.9278000000000003E-4"/>
    <n v="0.99818945000000003"/>
    <n v="0.31675135999999998"/>
    <n v="0.49986420999999998"/>
    <x v="0"/>
  </r>
  <r>
    <x v="4"/>
    <x v="1"/>
    <x v="5"/>
    <n v="0.25696521999999999"/>
    <n v="0.57632048999999996"/>
    <n v="0.36399728999999997"/>
    <n v="0.49550601999999999"/>
    <x v="0"/>
  </r>
  <r>
    <x v="4"/>
    <x v="1"/>
    <x v="6"/>
    <n v="-4.6843450000000002E-2"/>
    <n v="0.90560739000000001"/>
    <n v="0.31779652000000003"/>
    <n v="0.49657811000000002"/>
    <x v="0"/>
  </r>
  <r>
    <x v="4"/>
    <x v="1"/>
    <x v="7"/>
    <n v="-4.390057E-2"/>
    <n v="0.91125498999999999"/>
    <n v="0.31689947000000002"/>
    <n v="0.49758055000000001"/>
    <x v="0"/>
  </r>
  <r>
    <x v="4"/>
    <x v="1"/>
    <x v="8"/>
    <n v="-9.0921039999999995E-2"/>
    <n v="0.82365582000000004"/>
    <n v="0.32759443999999999"/>
    <n v="0.49281330000000001"/>
    <x v="0"/>
  </r>
  <r>
    <x v="4"/>
    <x v="1"/>
    <x v="9"/>
    <n v="-0.17501765"/>
    <n v="0.70709608000000002"/>
    <n v="0.37212233"/>
    <n v="0.48693257000000001"/>
    <x v="0"/>
  </r>
  <r>
    <x v="4"/>
    <x v="1"/>
    <x v="10"/>
    <n v="-0.21898712000000001"/>
    <n v="0.61139383000000003"/>
    <n v="0.34215491999999997"/>
    <n v="0.47219759"/>
    <x v="0"/>
  </r>
  <r>
    <x v="4"/>
    <x v="1"/>
    <x v="11"/>
    <n v="-6.28E-3"/>
    <n v="0.98692433999999996"/>
    <n v="0.30850106999999999"/>
    <n v="0.50494117000000005"/>
    <x v="0"/>
  </r>
  <r>
    <x v="4"/>
    <x v="1"/>
    <x v="12"/>
    <n v="0.35403621000000002"/>
    <n v="0.35936484000000002"/>
    <n v="0.29693538000000003"/>
    <n v="0.38665059000000002"/>
    <x v="0"/>
  </r>
  <r>
    <x v="4"/>
    <x v="1"/>
    <x v="13"/>
    <n v="0.17489389"/>
    <n v="0.69030751000000001"/>
    <n v="0.35035782999999998"/>
    <n v="0.50761889000000004"/>
    <x v="0"/>
  </r>
  <r>
    <x v="4"/>
    <x v="2"/>
    <x v="0"/>
    <n v="0.30727999"/>
    <n v="0.37225475000000002"/>
    <n v="0.35453822000000002"/>
    <n v="0.31361844"/>
    <x v="0"/>
  </r>
  <r>
    <x v="4"/>
    <x v="2"/>
    <x v="1"/>
    <n v="0.12263449"/>
    <n v="0.79803623999999995"/>
    <n v="0.37106696"/>
    <n v="0.54750907000000004"/>
    <x v="0"/>
  </r>
  <r>
    <x v="4"/>
    <x v="2"/>
    <x v="2"/>
    <n v="0.11339999000000001"/>
    <n v="0.81777564999999997"/>
    <n v="0.38133096"/>
    <n v="0.56135193999999999"/>
    <x v="0"/>
  </r>
  <r>
    <x v="4"/>
    <x v="2"/>
    <x v="3"/>
    <n v="0.13830376999999999"/>
    <n v="0.77664524999999995"/>
    <n v="0.37715715999999999"/>
    <n v="0.54277332"/>
    <x v="0"/>
  </r>
  <r>
    <x v="4"/>
    <x v="2"/>
    <x v="4"/>
    <n v="-0.15494926000000001"/>
    <n v="0.68738180000000004"/>
    <n v="0.29657302000000002"/>
    <n v="0.44225840999999999"/>
    <x v="0"/>
  </r>
  <r>
    <x v="4"/>
    <x v="2"/>
    <x v="5"/>
    <n v="-0.13758048"/>
    <n v="0.80237398999999998"/>
    <n v="0.42569330999999999"/>
    <n v="0.62140490999999998"/>
    <x v="0"/>
  </r>
  <r>
    <x v="4"/>
    <x v="2"/>
    <x v="6"/>
    <n v="0.12260124999999999"/>
    <n v="0.79830878000000005"/>
    <n v="0.37148234000000002"/>
    <n v="0.54842343000000005"/>
    <x v="0"/>
  </r>
  <r>
    <x v="4"/>
    <x v="2"/>
    <x v="7"/>
    <n v="0.13705688999999999"/>
    <n v="0.77365324000000002"/>
    <n v="0.36863591000000001"/>
    <n v="0.54799766999999999"/>
    <x v="0"/>
  </r>
  <r>
    <x v="4"/>
    <x v="2"/>
    <x v="8"/>
    <n v="0.12847406"/>
    <n v="0.79550904"/>
    <n v="0.38379000000000002"/>
    <n v="0.56871864999999999"/>
    <x v="0"/>
  </r>
  <r>
    <x v="4"/>
    <x v="2"/>
    <x v="9"/>
    <n v="-0.12077187"/>
    <n v="0.81047884999999997"/>
    <n v="0.39010503000000002"/>
    <n v="0.52554084000000001"/>
    <x v="0"/>
  </r>
  <r>
    <x v="4"/>
    <x v="2"/>
    <x v="10"/>
    <n v="0.13636152000000001"/>
    <n v="0.79617307999999998"/>
    <n v="0.4087192"/>
    <n v="0.57771642999999995"/>
    <x v="0"/>
  </r>
  <r>
    <x v="4"/>
    <x v="2"/>
    <x v="11"/>
    <n v="8.0694340000000003E-2"/>
    <n v="0.86233789999999999"/>
    <n v="0.36101401"/>
    <n v="0.52291456000000003"/>
    <x v="0"/>
  </r>
  <r>
    <x v="4"/>
    <x v="2"/>
    <x v="12"/>
    <n v="-0.14082314000000001"/>
    <n v="0.76889379000000002"/>
    <n v="0.37067137999999999"/>
    <n v="0.46369630000000001"/>
    <x v="0"/>
  </r>
  <r>
    <x v="4"/>
    <x v="2"/>
    <x v="13"/>
    <n v="-0.12572873000000001"/>
    <n v="0.81633513999999996"/>
    <n v="0.41939377999999999"/>
    <n v="0.61214628000000004"/>
    <x v="0"/>
  </r>
  <r>
    <x v="5"/>
    <x v="0"/>
    <x v="0"/>
    <n v="0.38362424000000001"/>
    <n v="0.29027867000000002"/>
    <n v="0.37603490000000001"/>
    <n v="0.33778572000000001"/>
    <x v="0"/>
  </r>
  <r>
    <x v="5"/>
    <x v="0"/>
    <x v="1"/>
    <n v="0.59769954999999997"/>
    <n v="0.38513384000000001"/>
    <n v="0.54357438999999996"/>
    <n v="0.68618727999999996"/>
    <x v="0"/>
  </r>
  <r>
    <x v="5"/>
    <x v="0"/>
    <x v="2"/>
    <n v="0.82911310000000005"/>
    <n v="7.2640709999999997E-2"/>
    <n v="0.23720272000000001"/>
    <n v="0.49086632000000002"/>
    <x v="0"/>
  </r>
  <r>
    <x v="5"/>
    <x v="0"/>
    <x v="3"/>
    <n v="-0.37119857000000001"/>
    <n v="0.45794889999999999"/>
    <n v="0.40804354999999998"/>
    <n v="0.64892863999999995"/>
    <x v="0"/>
  </r>
  <r>
    <x v="5"/>
    <x v="0"/>
    <x v="4"/>
    <n v="-0.41160337000000002"/>
    <n v="0.13323487000000001"/>
    <n v="0.1679244"/>
    <n v="0.59738135999999997"/>
    <x v="0"/>
  </r>
  <r>
    <x v="5"/>
    <x v="0"/>
    <x v="5"/>
    <n v="0.97199610000000003"/>
    <n v="2.355521E-2"/>
    <n v="0.15229486"/>
    <n v="2.3562349999999999E-2"/>
    <x v="0"/>
  </r>
  <r>
    <x v="5"/>
    <x v="0"/>
    <x v="6"/>
    <n v="0.76230171999999996"/>
    <n v="0.15950542000000001"/>
    <n v="0.34844121"/>
    <n v="0.51840333999999999"/>
    <x v="0"/>
  </r>
  <r>
    <x v="5"/>
    <x v="0"/>
    <x v="7"/>
    <n v="0.77876281000000003"/>
    <n v="0.13892961000000001"/>
    <n v="0.32608281"/>
    <n v="0.51422380999999995"/>
    <x v="0"/>
  </r>
  <r>
    <x v="5"/>
    <x v="0"/>
    <x v="8"/>
    <n v="0.82934850999999998"/>
    <n v="7.2802900000000004E-2"/>
    <n v="0.23756637"/>
    <n v="0.49100729999999998"/>
    <x v="0"/>
  </r>
  <r>
    <x v="5"/>
    <x v="0"/>
    <x v="9"/>
    <n v="0.76466195999999997"/>
    <n v="0.14778263999999999"/>
    <n v="0.33285827000000001"/>
    <n v="0.48811926999999999"/>
    <x v="0"/>
  </r>
  <r>
    <x v="5"/>
    <x v="0"/>
    <x v="10"/>
    <n v="0.96323066999999996"/>
    <n v="2.4423170000000001E-2"/>
    <n v="0.15377983000000001"/>
    <n v="2.398434E-2"/>
    <x v="0"/>
  </r>
  <r>
    <x v="5"/>
    <x v="0"/>
    <x v="11"/>
    <n v="0.11846"/>
    <n v="0.84814946999999996"/>
    <n v="0.54672905000000005"/>
    <n v="0.69195768000000002"/>
    <x v="0"/>
  </r>
  <r>
    <x v="5"/>
    <x v="0"/>
    <x v="12"/>
    <n v="0.82731966000000001"/>
    <n v="6.4399810000000002E-2"/>
    <n v="0.22136843"/>
    <n v="0.51132239999999995"/>
    <x v="0"/>
  </r>
  <r>
    <x v="5"/>
    <x v="0"/>
    <x v="13"/>
    <n v="0.90664630999999996"/>
    <n v="9.098523E-2"/>
    <n v="0.29474034999999998"/>
    <n v="0.46536849000000002"/>
    <x v="0"/>
  </r>
  <r>
    <x v="5"/>
    <x v="1"/>
    <x v="0"/>
    <n v="-0.82559638000000002"/>
    <n v="1.2226799999999999E-2"/>
    <n v="0.28467062999999998"/>
    <n v="0.19037686000000001"/>
    <x v="0"/>
  </r>
  <r>
    <x v="5"/>
    <x v="1"/>
    <x v="1"/>
    <n v="-0.86974048999999998"/>
    <n v="0.12153946"/>
    <n v="0.20648528999999999"/>
    <n v="0.52179516000000004"/>
    <x v="0"/>
  </r>
  <r>
    <x v="5"/>
    <x v="1"/>
    <x v="2"/>
    <n v="-0.98439061000000005"/>
    <n v="5.4393599999999999E-3"/>
    <n v="4.499827E-2"/>
    <n v="2.7686100000000002E-2"/>
    <x v="0"/>
  </r>
  <r>
    <x v="5"/>
    <x v="1"/>
    <x v="3"/>
    <n v="2.5670309999999998E-2"/>
    <n v="0.96430106000000004"/>
    <n v="0.31366134000000001"/>
    <n v="0.72365650000000004"/>
    <x v="0"/>
  </r>
  <r>
    <x v="5"/>
    <x v="1"/>
    <x v="4"/>
    <n v="4.1523409999999997E-2"/>
    <n v="0.87506982"/>
    <n v="0.14393681"/>
    <n v="0.64543220000000001"/>
    <x v="0"/>
  </r>
  <r>
    <x v="5"/>
    <x v="1"/>
    <x v="5"/>
    <n v="-0.79893462999999998"/>
    <n v="0.1669311"/>
    <n v="0.23155296"/>
    <n v="0.47708779000000001"/>
    <x v="0"/>
  </r>
  <r>
    <x v="5"/>
    <x v="1"/>
    <x v="6"/>
    <n v="-0.95850581999999995"/>
    <n v="2.5779659999999999E-2"/>
    <n v="9.688041E-2"/>
    <n v="7.3774099999999995E-2"/>
    <x v="0"/>
  </r>
  <r>
    <x v="5"/>
    <x v="1"/>
    <x v="7"/>
    <n v="-0.96506795999999995"/>
    <n v="2.094271E-2"/>
    <n v="8.7590580000000001E-2"/>
    <n v="6.6466919999999999E-2"/>
    <x v="0"/>
  </r>
  <r>
    <x v="5"/>
    <x v="1"/>
    <x v="8"/>
    <n v="-0.98448601000000002"/>
    <n v="5.5053999999999997E-3"/>
    <n v="4.527726E-2"/>
    <n v="2.787862E-2"/>
    <x v="0"/>
  </r>
  <r>
    <x v="5"/>
    <x v="1"/>
    <x v="9"/>
    <n v="-0.89696257000000001"/>
    <n v="8.7544330000000004E-2"/>
    <n v="0.17556350000000001"/>
    <n v="6.3904630000000004E-2"/>
    <x v="0"/>
  </r>
  <r>
    <x v="5"/>
    <x v="1"/>
    <x v="10"/>
    <n v="-0.91041086999999998"/>
    <n v="6.3873739999999998E-2"/>
    <n v="0.14927703"/>
    <n v="0.47111291"/>
    <x v="0"/>
  </r>
  <r>
    <x v="5"/>
    <x v="1"/>
    <x v="11"/>
    <n v="-0.50949158000000005"/>
    <n v="0.39107321"/>
    <n v="0.28968836999999997"/>
    <n v="0.52672041999999997"/>
    <x v="0"/>
  </r>
  <r>
    <x v="5"/>
    <x v="1"/>
    <x v="12"/>
    <n v="-0.90496019999999999"/>
    <n v="3.5807760000000001E-2"/>
    <n v="0.10864467"/>
    <n v="0.75142876999999997"/>
    <x v="0"/>
  </r>
  <r>
    <x v="5"/>
    <x v="1"/>
    <x v="13"/>
    <n v="-0.66475656000000005"/>
    <n v="0.32986436000000002"/>
    <n v="0.32137009999999999"/>
    <n v="0.61861330000000003"/>
    <x v="0"/>
  </r>
  <r>
    <x v="5"/>
    <x v="2"/>
    <x v="0"/>
    <n v="-9.0934169999999995E-2"/>
    <n v="0.78507126000000005"/>
    <n v="0.34281889999999998"/>
    <n v="0.34787477"/>
    <x v="0"/>
  </r>
  <r>
    <x v="5"/>
    <x v="2"/>
    <x v="1"/>
    <n v="0.44183799000000001"/>
    <n v="0.54175823000000001"/>
    <n v="0.59672685000000003"/>
    <n v="0.70073242000000002"/>
    <x v="0"/>
  </r>
  <r>
    <x v="5"/>
    <x v="2"/>
    <x v="2"/>
    <n v="0.71311864000000003"/>
    <n v="0.13861485000000001"/>
    <n v="0.29280404999999998"/>
    <n v="0.51251716000000003"/>
    <x v="0"/>
  </r>
  <r>
    <x v="5"/>
    <x v="2"/>
    <x v="3"/>
    <n v="-0.50654646999999997"/>
    <n v="0.27719986000000002"/>
    <n v="0.33721331999999998"/>
    <n v="0.62853632999999998"/>
    <x v="0"/>
  </r>
  <r>
    <x v="5"/>
    <x v="2"/>
    <x v="4"/>
    <n v="-0.55579089000000004"/>
    <n v="6.6264680000000006E-2"/>
    <n v="0.14836000999999999"/>
    <n v="0.60839416000000002"/>
    <x v="0"/>
  </r>
  <r>
    <x v="5"/>
    <x v="2"/>
    <x v="5"/>
    <n v="0.99624089000000005"/>
    <n v="3.71412E-3"/>
    <n v="5.9952819999999997E-2"/>
    <n v="1.89416E-3"/>
    <x v="0"/>
  </r>
  <r>
    <x v="5"/>
    <x v="2"/>
    <x v="6"/>
    <n v="0.63154125999999999"/>
    <n v="0.26708401999999998"/>
    <n v="0.40817829"/>
    <n v="0.54933591999999998"/>
    <x v="0"/>
  </r>
  <r>
    <x v="5"/>
    <x v="2"/>
    <x v="7"/>
    <n v="0.6515571"/>
    <n v="0.23716309999999999"/>
    <n v="0.38453873999999999"/>
    <n v="0.54344568999999998"/>
    <x v="0"/>
  </r>
  <r>
    <x v="5"/>
    <x v="2"/>
    <x v="8"/>
    <n v="0.71340417"/>
    <n v="0.13872380000000001"/>
    <n v="0.29306486999999998"/>
    <n v="0.51264151999999996"/>
    <x v="0"/>
  </r>
  <r>
    <x v="5"/>
    <x v="2"/>
    <x v="9"/>
    <n v="0.66260574999999999"/>
    <n v="0.20808494"/>
    <n v="0.35575034"/>
    <n v="0.51777644"/>
    <x v="0"/>
  </r>
  <r>
    <x v="5"/>
    <x v="2"/>
    <x v="10"/>
    <n v="0.93370520999999995"/>
    <n v="1.8471700000000001E-2"/>
    <n v="0.12672146000000001"/>
    <n v="5.5659109999999998E-2"/>
    <x v="0"/>
  </r>
  <r>
    <x v="5"/>
    <x v="2"/>
    <x v="11"/>
    <n v="-6.4545000000000005E-2"/>
    <n v="0.91720782000000001"/>
    <n v="0.54096551999999998"/>
    <n v="0.71910805"/>
    <x v="0"/>
  </r>
  <r>
    <x v="5"/>
    <x v="2"/>
    <x v="12"/>
    <n v="0.74645598000000002"/>
    <n v="0.10377243"/>
    <n v="0.25725378999999998"/>
    <n v="0.49258792000000001"/>
    <x v="0"/>
  </r>
  <r>
    <x v="5"/>
    <x v="2"/>
    <x v="13"/>
    <n v="0.96556819000000005"/>
    <n v="3.329153E-2"/>
    <n v="0.17795656000000001"/>
    <n v="0.46950477000000002"/>
    <x v="0"/>
  </r>
  <r>
    <x v="6"/>
    <x v="0"/>
    <x v="0"/>
    <n v="0.15543872"/>
    <n v="0.65306350000000002"/>
    <n v="0.36711614999999997"/>
    <n v="0.52815241999999996"/>
    <x v="0"/>
  </r>
  <r>
    <x v="6"/>
    <x v="0"/>
    <x v="1"/>
    <n v="7.1909890000000004E-2"/>
    <n v="0.83496698999999996"/>
    <n v="0.37544949"/>
    <n v="0.59310790999999996"/>
    <x v="0"/>
  </r>
  <r>
    <x v="6"/>
    <x v="0"/>
    <x v="2"/>
    <n v="7.2714710000000002E-2"/>
    <n v="0.82944503000000003"/>
    <n v="0.36707233"/>
    <n v="0.57742371999999997"/>
    <x v="0"/>
  </r>
  <r>
    <x v="6"/>
    <x v="0"/>
    <x v="3"/>
    <n v="8.9612200000000003E-2"/>
    <n v="0.76966672000000003"/>
    <n v="0.33155139"/>
    <n v="0.57516588000000002"/>
    <x v="0"/>
  </r>
  <r>
    <x v="6"/>
    <x v="0"/>
    <x v="4"/>
    <n v="-0.12742111"/>
    <n v="0.75883652999999995"/>
    <n v="0.44927015999999997"/>
    <n v="0.60156052999999998"/>
    <x v="0"/>
  </r>
  <r>
    <x v="6"/>
    <x v="0"/>
    <x v="5"/>
    <n v="-0.35080952999999998"/>
    <n v="0.33053177"/>
    <n v="0.35901759999999999"/>
    <n v="0.52019320000000002"/>
    <x v="0"/>
  </r>
  <r>
    <x v="6"/>
    <x v="0"/>
    <x v="6"/>
    <n v="8.4430619999999998E-2"/>
    <n v="0.80258655999999995"/>
    <n v="0.36668497"/>
    <n v="0.59374473999999999"/>
    <x v="0"/>
  </r>
  <r>
    <x v="6"/>
    <x v="0"/>
    <x v="7"/>
    <n v="8.6285829999999994E-2"/>
    <n v="0.79843551000000001"/>
    <n v="0.36676504999999998"/>
    <n v="0.59366004999999999"/>
    <x v="0"/>
  </r>
  <r>
    <x v="6"/>
    <x v="0"/>
    <x v="8"/>
    <n v="6.6408700000000001E-2"/>
    <n v="0.84500628"/>
    <n v="0.36968570000000001"/>
    <n v="0.57816014999999998"/>
    <x v="0"/>
  </r>
  <r>
    <x v="6"/>
    <x v="0"/>
    <x v="9"/>
    <n v="0.36546408000000002"/>
    <n v="0.39464323000000001"/>
    <n v="0.43710039000000001"/>
    <n v="0.53386423000000005"/>
    <x v="0"/>
  </r>
  <r>
    <x v="6"/>
    <x v="0"/>
    <x v="10"/>
    <n v="-0.31199861000000001"/>
    <n v="0.53267511000000001"/>
    <n v="0.52611649999999999"/>
    <n v="0.62904048000000001"/>
    <x v="0"/>
  </r>
  <r>
    <x v="6"/>
    <x v="0"/>
    <x v="11"/>
    <n v="5.2806449999999998E-2"/>
    <n v="0.88344856999999999"/>
    <n v="0.39263521000000001"/>
    <n v="0.59729010000000005"/>
    <x v="0"/>
  </r>
  <r>
    <x v="6"/>
    <x v="0"/>
    <x v="12"/>
    <n v="-0.41672566999999999"/>
    <n v="0.45717953"/>
    <n v="0.58036463999999999"/>
    <n v="0.46703436999999998"/>
    <x v="0"/>
  </r>
  <r>
    <x v="6"/>
    <x v="0"/>
    <x v="13"/>
    <n v="-0.30253119000000001"/>
    <n v="0.30143502"/>
    <n v="0.28801632999999999"/>
    <n v="0.53895271"/>
    <x v="0"/>
  </r>
  <r>
    <x v="6"/>
    <x v="1"/>
    <x v="0"/>
    <n v="-0.34616000000000002"/>
    <n v="0.34475371999999999"/>
    <n v="0.25191276000000001"/>
    <n v="0.60753652999999996"/>
    <x v="0"/>
  </r>
  <r>
    <x v="6"/>
    <x v="1"/>
    <x v="1"/>
    <n v="-0.31463253000000002"/>
    <n v="0.44268350000000001"/>
    <n v="0.30827093"/>
    <n v="0.63562766999999998"/>
    <x v="0"/>
  </r>
  <r>
    <x v="6"/>
    <x v="1"/>
    <x v="2"/>
    <n v="-0.30686275000000002"/>
    <n v="0.44945965999999998"/>
    <n v="0.30569053000000002"/>
    <n v="0.60214634"/>
    <x v="0"/>
  </r>
  <r>
    <x v="6"/>
    <x v="1"/>
    <x v="3"/>
    <n v="-0.33124937999999998"/>
    <n v="0.37546837"/>
    <n v="0.27572453000000002"/>
    <n v="0.59405039999999998"/>
    <x v="0"/>
  </r>
  <r>
    <x v="6"/>
    <x v="1"/>
    <x v="4"/>
    <n v="-7.670855E-2"/>
    <n v="0.87901161000000005"/>
    <n v="0.40036699999999997"/>
    <n v="0.63267974000000005"/>
    <x v="0"/>
  </r>
  <r>
    <x v="6"/>
    <x v="1"/>
    <x v="5"/>
    <n v="0.57577681000000003"/>
    <n v="0.13223673999999999"/>
    <n v="0.24225039000000001"/>
    <n v="0.52404539999999999"/>
    <x v="0"/>
  </r>
  <r>
    <x v="6"/>
    <x v="1"/>
    <x v="6"/>
    <n v="-0.33020514000000001"/>
    <n v="0.40830383999999997"/>
    <n v="0.29758076"/>
    <n v="0.63823187000000003"/>
    <x v="0"/>
  </r>
  <r>
    <x v="6"/>
    <x v="1"/>
    <x v="7"/>
    <n v="-0.33205808999999997"/>
    <n v="0.40606419999999999"/>
    <n v="0.29763234999999999"/>
    <n v="0.63873994000000001"/>
    <x v="0"/>
  </r>
  <r>
    <x v="6"/>
    <x v="1"/>
    <x v="8"/>
    <n v="-0.29976847000000001"/>
    <n v="0.46281254999999999"/>
    <n v="0.30860386000000001"/>
    <n v="0.60207622999999999"/>
    <x v="0"/>
  </r>
  <r>
    <x v="6"/>
    <x v="1"/>
    <x v="9"/>
    <n v="-0.53141059999999996"/>
    <n v="0.23805179000000001"/>
    <n v="0.31255266999999998"/>
    <n v="0.52992214999999998"/>
    <x v="0"/>
  </r>
  <r>
    <x v="6"/>
    <x v="1"/>
    <x v="10"/>
    <n v="0.15155059000000001"/>
    <n v="0.75812590000000002"/>
    <n v="0.38833813"/>
    <n v="0.60476675999999996"/>
    <x v="0"/>
  </r>
  <r>
    <x v="6"/>
    <x v="1"/>
    <x v="11"/>
    <n v="-0.29671271999999999"/>
    <n v="0.48673529999999998"/>
    <n v="0.32421102000000002"/>
    <n v="0.64441296000000003"/>
    <x v="0"/>
  </r>
  <r>
    <x v="6"/>
    <x v="1"/>
    <x v="12"/>
    <n v="0.57622143999999997"/>
    <n v="0.31582124"/>
    <n v="0.41454713999999998"/>
    <n v="0.46873498000000002"/>
    <x v="0"/>
  </r>
  <r>
    <x v="6"/>
    <x v="1"/>
    <x v="13"/>
    <n v="0.55732970000000004"/>
    <n v="8.0259300000000006E-2"/>
    <n v="0.18513977000000001"/>
    <n v="0.56516873999999995"/>
    <x v="0"/>
  </r>
  <r>
    <x v="6"/>
    <x v="2"/>
    <x v="0"/>
    <n v="4.8624170000000001E-2"/>
    <n v="0.88320014999999996"/>
    <n v="0.34521457"/>
    <n v="0.49032195000000001"/>
    <x v="0"/>
  </r>
  <r>
    <x v="6"/>
    <x v="2"/>
    <x v="1"/>
    <n v="-7.2886530000000005E-2"/>
    <n v="0.81311840000000002"/>
    <n v="0.30632467000000002"/>
    <n v="0.54369895000000001"/>
    <x v="0"/>
  </r>
  <r>
    <x v="6"/>
    <x v="2"/>
    <x v="2"/>
    <n v="-6.7091209999999998E-2"/>
    <n v="0.82308152000000001"/>
    <n v="0.29830593999999999"/>
    <n v="0.55950756999999995"/>
    <x v="0"/>
  </r>
  <r>
    <x v="6"/>
    <x v="2"/>
    <x v="3"/>
    <n v="-5.5208350000000003E-2"/>
    <n v="0.83823141000000001"/>
    <n v="0.26904318999999999"/>
    <n v="0.56021288000000002"/>
    <x v="0"/>
  </r>
  <r>
    <x v="6"/>
    <x v="2"/>
    <x v="4"/>
    <n v="-0.24219351"/>
    <n v="0.50711096"/>
    <n v="0.34956305999999998"/>
    <n v="0.52626510000000004"/>
    <x v="0"/>
  </r>
  <r>
    <x v="6"/>
    <x v="2"/>
    <x v="5"/>
    <n v="-0.20601696"/>
    <n v="0.55459526000000003"/>
    <n v="0.33677182"/>
    <n v="0.60709062999999996"/>
    <x v="0"/>
  </r>
  <r>
    <x v="6"/>
    <x v="2"/>
    <x v="6"/>
    <n v="-6.2619240000000007E-2"/>
    <n v="0.83626347000000001"/>
    <n v="0.30140913000000003"/>
    <n v="0.54507618000000002"/>
    <x v="0"/>
  </r>
  <r>
    <x v="6"/>
    <x v="2"/>
    <x v="7"/>
    <n v="-6.0831830000000003E-2"/>
    <n v="0.84087571000000005"/>
    <n v="0.30148194"/>
    <n v="0.54536923000000004"/>
    <x v="0"/>
  </r>
  <r>
    <x v="6"/>
    <x v="2"/>
    <x v="8"/>
    <n v="-7.2700699999999993E-2"/>
    <n v="0.80980576000000004"/>
    <n v="0.30006243999999999"/>
    <n v="0.55900704999999995"/>
    <x v="0"/>
  </r>
  <r>
    <x v="6"/>
    <x v="2"/>
    <x v="9"/>
    <n v="0.25468260999999998"/>
    <n v="0.55317910000000003"/>
    <n v="0.41473914000000001"/>
    <n v="0.60999758999999998"/>
    <x v="0"/>
  </r>
  <r>
    <x v="6"/>
    <x v="2"/>
    <x v="10"/>
    <n v="-0.39431754000000002"/>
    <n v="0.43280882999999998"/>
    <n v="0.47310767999999997"/>
    <n v="0.55388758000000005"/>
    <x v="0"/>
  </r>
  <r>
    <x v="6"/>
    <x v="2"/>
    <x v="11"/>
    <n v="-9.1971150000000002E-2"/>
    <n v="0.77489989000000004"/>
    <n v="0.31874711"/>
    <n v="0.54039899000000002"/>
    <x v="0"/>
  </r>
  <r>
    <x v="6"/>
    <x v="2"/>
    <x v="12"/>
    <n v="-0.30781146999999998"/>
    <n v="0.57523497000000001"/>
    <n v="0.53239749000000003"/>
    <n v="0.62221691999999995"/>
    <x v="0"/>
  </r>
  <r>
    <x v="6"/>
    <x v="2"/>
    <x v="13"/>
    <n v="-0.14207106999999999"/>
    <n v="0.61072024999999996"/>
    <n v="0.27193774999999998"/>
    <n v="0.62372269999999996"/>
    <x v="0"/>
  </r>
  <r>
    <x v="7"/>
    <x v="0"/>
    <x v="0"/>
    <n v="0.95046701"/>
    <n v="7.6520000000000006E-5"/>
    <n v="0.12236326"/>
    <n v="3.5962889999999997E-2"/>
    <x v="0"/>
  </r>
  <r>
    <x v="7"/>
    <x v="0"/>
    <x v="1"/>
    <n v="0.92041819999999996"/>
    <n v="1.019394E-2"/>
    <n v="0.22306870000000001"/>
    <n v="0.12988854"/>
    <x v="0"/>
  </r>
  <r>
    <x v="7"/>
    <x v="0"/>
    <x v="2"/>
    <n v="0.93489325999999995"/>
    <n v="6.9049599999999999E-3"/>
    <n v="0.20579330000000001"/>
    <n v="8.6217580000000002E-2"/>
    <x v="0"/>
  </r>
  <r>
    <x v="7"/>
    <x v="0"/>
    <x v="3"/>
    <n v="0.78496968"/>
    <n v="7.3324899999999998E-2"/>
    <n v="0.33773916999999998"/>
    <n v="0.18104132000000001"/>
    <x v="0"/>
  </r>
  <r>
    <x v="7"/>
    <x v="0"/>
    <x v="4"/>
    <n v="0.94265085000000004"/>
    <n v="2.0155999999999999E-4"/>
    <n v="9.4881709999999994E-2"/>
    <n v="0.10057845"/>
    <x v="0"/>
  </r>
  <r>
    <x v="7"/>
    <x v="0"/>
    <x v="5"/>
    <n v="-0.51357576999999999"/>
    <n v="0.33090630999999998"/>
    <n v="0.46399104000000002"/>
    <n v="0.47396658000000003"/>
    <x v="0"/>
  </r>
  <r>
    <x v="7"/>
    <x v="0"/>
    <x v="6"/>
    <n v="0.92157606999999997"/>
    <n v="9.91445E-3"/>
    <n v="0.22179508000000001"/>
    <n v="0.10612215999999999"/>
    <x v="0"/>
  </r>
  <r>
    <x v="7"/>
    <x v="0"/>
    <x v="7"/>
    <n v="0.91608341999999998"/>
    <n v="1.11006E-2"/>
    <n v="0.22684889"/>
    <n v="0.14066775000000001"/>
    <x v="0"/>
  </r>
  <r>
    <x v="7"/>
    <x v="0"/>
    <x v="8"/>
    <n v="0.93601332000000004"/>
    <n v="6.4118200000000004E-3"/>
    <n v="0.20237805"/>
    <n v="8.6111820000000006E-2"/>
    <x v="0"/>
  </r>
  <r>
    <x v="7"/>
    <x v="0"/>
    <x v="9"/>
    <n v="0.93356706"/>
    <n v="3.1971999999999999E-3"/>
    <n v="0.17136556999999999"/>
    <n v="0.14624923000000001"/>
    <x v="0"/>
  </r>
  <r>
    <x v="7"/>
    <x v="0"/>
    <x v="10"/>
    <n v="0.96075379000000005"/>
    <n v="8.9554999999999995E-4"/>
    <n v="0.13280056000000001"/>
    <n v="7.6434660000000001E-2"/>
    <x v="0"/>
  </r>
  <r>
    <x v="7"/>
    <x v="0"/>
    <x v="11"/>
    <n v="0.92182308999999996"/>
    <n v="8.7574699999999998E-3"/>
    <n v="0.21509549"/>
    <n v="0.12760495999999999"/>
    <x v="0"/>
  </r>
  <r>
    <x v="7"/>
    <x v="0"/>
    <x v="12"/>
    <n v="-2.6146300000000001E-2"/>
    <n v="0.95184413000000001"/>
    <n v="0.40056055000000002"/>
    <n v="0.50518019000000003"/>
    <x v="0"/>
  </r>
  <r>
    <x v="7"/>
    <x v="0"/>
    <x v="13"/>
    <n v="-0.86069103999999996"/>
    <n v="3.83462E-3"/>
    <n v="0.16477117999999999"/>
    <n v="0.21389647000000001"/>
    <x v="0"/>
  </r>
  <r>
    <x v="7"/>
    <x v="1"/>
    <x v="0"/>
    <n v="0.79228582000000003"/>
    <n v="7.8270500000000003E-3"/>
    <n v="0.24398563000000001"/>
    <n v="0.11985791"/>
    <x v="0"/>
  </r>
  <r>
    <x v="7"/>
    <x v="1"/>
    <x v="1"/>
    <n v="0.68714147000000003"/>
    <n v="3.3423639999999998E-2"/>
    <n v="0.26390768999999997"/>
    <n v="0.20003140999999999"/>
    <x v="0"/>
  </r>
  <r>
    <x v="7"/>
    <x v="1"/>
    <x v="2"/>
    <n v="0.71174201000000004"/>
    <n v="3.04719E-2"/>
    <n v="0.26604812"/>
    <n v="0.17054341000000001"/>
    <x v="0"/>
  </r>
  <r>
    <x v="7"/>
    <x v="1"/>
    <x v="3"/>
    <n v="0.61120227000000005"/>
    <n v="4.7293780000000001E-2"/>
    <n v="0.26101261999999997"/>
    <n v="0.22164424999999999"/>
    <x v="0"/>
  </r>
  <r>
    <x v="7"/>
    <x v="1"/>
    <x v="4"/>
    <n v="0.48090850000000002"/>
    <n v="9.2704430000000004E-2"/>
    <n v="0.25903004000000002"/>
    <n v="0.21333315"/>
    <x v="0"/>
  </r>
  <r>
    <x v="7"/>
    <x v="1"/>
    <x v="5"/>
    <n v="-0.48450021999999998"/>
    <n v="0.32264198999999999"/>
    <n v="0.49350863"/>
    <n v="0.43024306000000001"/>
    <x v="0"/>
  </r>
  <r>
    <x v="7"/>
    <x v="1"/>
    <x v="6"/>
    <n v="0.70770211999999999"/>
    <n v="2.8741719999999998E-2"/>
    <n v="0.26010250000000001"/>
    <n v="0.17399186999999999"/>
    <x v="0"/>
  </r>
  <r>
    <x v="7"/>
    <x v="1"/>
    <x v="7"/>
    <n v="0.69939468000000005"/>
    <n v="2.9396559999999999E-2"/>
    <n v="0.25872468999999998"/>
    <n v="0.19481646999999999"/>
    <x v="0"/>
  </r>
  <r>
    <x v="7"/>
    <x v="1"/>
    <x v="8"/>
    <n v="0.70484930999999995"/>
    <n v="3.1046790000000001E-2"/>
    <n v="0.26490944"/>
    <n v="0.17084084999999999"/>
    <x v="0"/>
  </r>
  <r>
    <x v="7"/>
    <x v="1"/>
    <x v="9"/>
    <n v="0.76183148999999994"/>
    <n v="2.95979E-2"/>
    <n v="0.28237839999999997"/>
    <n v="0.15226103999999999"/>
    <x v="0"/>
  </r>
  <r>
    <x v="7"/>
    <x v="1"/>
    <x v="10"/>
    <n v="0.75650868000000004"/>
    <n v="3.534267E-2"/>
    <n v="0.29540710999999997"/>
    <n v="0.14422793"/>
    <x v="0"/>
  </r>
  <r>
    <x v="7"/>
    <x v="1"/>
    <x v="11"/>
    <n v="0.66117039"/>
    <n v="4.1021879999999997E-2"/>
    <n v="0.27009664"/>
    <n v="0.21254450999999999"/>
    <x v="0"/>
  </r>
  <r>
    <x v="7"/>
    <x v="1"/>
    <x v="12"/>
    <n v="-3.0387210000000001E-2"/>
    <n v="0.94578028999999997"/>
    <n v="0.47496385000000002"/>
    <n v="0.54223471999999995"/>
    <x v="0"/>
  </r>
  <r>
    <x v="7"/>
    <x v="1"/>
    <x v="13"/>
    <n v="-0.76550598999999997"/>
    <n v="4.7437310000000003E-2"/>
    <n v="0.3272216"/>
    <n v="0.21381395"/>
    <x v="0"/>
  </r>
  <r>
    <x v="7"/>
    <x v="2"/>
    <x v="0"/>
    <n v="0.92206043000000004"/>
    <n v="2.4902000000000002E-4"/>
    <n v="0.15341357"/>
    <n v="4.5540200000000003E-2"/>
    <x v="0"/>
  </r>
  <r>
    <x v="7"/>
    <x v="2"/>
    <x v="1"/>
    <n v="0.86868652999999996"/>
    <n v="4.0766700000000001E-3"/>
    <n v="0.18263415999999999"/>
    <n v="0.16051551"/>
    <x v="0"/>
  </r>
  <r>
    <x v="7"/>
    <x v="2"/>
    <x v="2"/>
    <n v="0.88975499000000002"/>
    <n v="2.5133400000000002E-3"/>
    <n v="0.16736635"/>
    <n v="0.11769999"/>
    <x v="0"/>
  </r>
  <r>
    <x v="7"/>
    <x v="2"/>
    <x v="3"/>
    <n v="0.75437184999999995"/>
    <n v="3.6164399999999999E-2"/>
    <n v="0.27948347000000001"/>
    <n v="0.20540560999999999"/>
    <x v="0"/>
  </r>
  <r>
    <x v="7"/>
    <x v="2"/>
    <x v="4"/>
    <n v="0.77001701"/>
    <n v="6.7039700000000001E-3"/>
    <n v="0.18220074"/>
    <n v="0.14758279999999999"/>
    <x v="0"/>
  </r>
  <r>
    <x v="7"/>
    <x v="2"/>
    <x v="5"/>
    <n v="-0.53899140999999995"/>
    <n v="0.28505604000000001"/>
    <n v="0.47421010000000002"/>
    <n v="0.43037808"/>
    <x v="0"/>
  </r>
  <r>
    <x v="7"/>
    <x v="2"/>
    <x v="6"/>
    <n v="0.88035551999999995"/>
    <n v="3.18242E-3"/>
    <n v="0.17476907999999999"/>
    <n v="0.12825160999999999"/>
    <x v="0"/>
  </r>
  <r>
    <x v="7"/>
    <x v="2"/>
    <x v="7"/>
    <n v="0.87291262999999997"/>
    <n v="3.63445E-3"/>
    <n v="0.17868609999999999"/>
    <n v="0.15949189"/>
    <x v="0"/>
  </r>
  <r>
    <x v="7"/>
    <x v="2"/>
    <x v="8"/>
    <n v="0.88666195000000003"/>
    <n v="2.36768E-3"/>
    <n v="0.16454390999999999"/>
    <n v="0.11761479"/>
    <x v="0"/>
  </r>
  <r>
    <x v="7"/>
    <x v="2"/>
    <x v="9"/>
    <n v="0.91593126999999996"/>
    <n v="6.2314E-4"/>
    <n v="0.12674858999999999"/>
    <n v="6.7515080000000005E-2"/>
    <x v="0"/>
  </r>
  <r>
    <x v="7"/>
    <x v="2"/>
    <x v="10"/>
    <n v="0.92783336999999999"/>
    <n v="6.6262999999999999E-4"/>
    <n v="0.13010205"/>
    <n v="3.6314730000000003E-2"/>
    <x v="0"/>
  </r>
  <r>
    <x v="7"/>
    <x v="2"/>
    <x v="11"/>
    <n v="0.85550369000000004"/>
    <n v="4.7448899999999999E-3"/>
    <n v="0.1863842"/>
    <n v="0.17164473"/>
    <x v="0"/>
  </r>
  <r>
    <x v="7"/>
    <x v="2"/>
    <x v="12"/>
    <n v="-3.05122E-2"/>
    <n v="0.94567387000000003"/>
    <n v="0.44850498999999999"/>
    <n v="0.51190400000000003"/>
    <x v="0"/>
  </r>
  <r>
    <x v="7"/>
    <x v="2"/>
    <x v="13"/>
    <n v="-0.87833835000000005"/>
    <n v="9.4550000000000005E-4"/>
    <n v="0.13300385000000001"/>
    <n v="0.14856947000000001"/>
    <x v="0"/>
  </r>
  <r>
    <x v="8"/>
    <x v="0"/>
    <x v="0"/>
    <n v="-4.2592390000000001E-2"/>
    <n v="0.90598677000000005"/>
    <n v="0.38473595999999999"/>
    <n v="0.40973454999999998"/>
    <x v="0"/>
  </r>
  <r>
    <x v="8"/>
    <x v="0"/>
    <x v="1"/>
    <n v="-0.10279791000000001"/>
    <n v="0.90761060000000005"/>
    <n v="0.81276550999999997"/>
    <n v="0.79671208999999998"/>
    <x v="0"/>
  </r>
  <r>
    <x v="8"/>
    <x v="0"/>
    <x v="2"/>
    <n v="1.481965E-2"/>
    <n v="0.98665809999999998"/>
    <n v="0.81700454"/>
    <n v="0.78613692000000002"/>
    <x v="0"/>
  </r>
  <r>
    <x v="8"/>
    <x v="0"/>
    <x v="3"/>
    <n v="0.49699953000000002"/>
    <n v="0.56659013999999996"/>
    <n v="0.70903419000000001"/>
    <n v="0.78092298999999998"/>
    <x v="0"/>
  </r>
  <r>
    <x v="8"/>
    <x v="0"/>
    <x v="4"/>
    <n v="-0.98980765999999998"/>
    <n v="6.4545370000000005E-2"/>
    <n v="0.11636293"/>
    <n v="0.80877975999999996"/>
    <x v="0"/>
  </r>
  <r>
    <x v="8"/>
    <x v="0"/>
    <x v="5"/>
    <n v="0.47425308999999999"/>
    <n v="0.58554693999999996"/>
    <n v="0.71936040999999995"/>
    <n v="0.77977863999999997"/>
    <x v="0"/>
  </r>
  <r>
    <x v="8"/>
    <x v="0"/>
    <x v="6"/>
    <n v="3.8739400000000002E-3"/>
    <n v="0.99651221999999995"/>
    <n v="0.81708815000000001"/>
    <n v="0.78696984000000003"/>
    <x v="0"/>
  </r>
  <r>
    <x v="8"/>
    <x v="0"/>
    <x v="7"/>
    <n v="7.1015999999999996E-3"/>
    <n v="0.99360636000000002"/>
    <n v="0.81707368000000002"/>
    <n v="0.78672098000000001"/>
    <x v="0"/>
  </r>
  <r>
    <x v="8"/>
    <x v="0"/>
    <x v="8"/>
    <n v="3.3213850000000003E-2"/>
    <n v="0.97010251000000003"/>
    <n v="0.81664347000000004"/>
    <n v="0.78480771000000005"/>
    <x v="0"/>
  </r>
  <r>
    <x v="8"/>
    <x v="0"/>
    <x v="9"/>
    <n v="0.20422317000000001"/>
    <n v="0.81735767999999998"/>
    <n v="0.79987348999999996"/>
    <n v="0.77672094000000003"/>
    <x v="0"/>
  </r>
  <r>
    <x v="8"/>
    <x v="0"/>
    <x v="10"/>
    <n v="0.35035265999999998"/>
    <n v="0.69023369999999995"/>
    <n v="0.76530505999999998"/>
    <n v="0.77596693999999999"/>
    <x v="0"/>
  </r>
  <r>
    <x v="8"/>
    <x v="0"/>
    <x v="11"/>
    <n v="-0.43287689000000001"/>
    <n v="0.62021574999999995"/>
    <n v="0.73657209999999995"/>
    <n v="0.75444078999999997"/>
    <x v="0"/>
  </r>
  <r>
    <x v="8"/>
    <x v="0"/>
    <x v="12"/>
    <n v="0.58118725999999998"/>
    <n v="0.49682680000000001"/>
    <n v="0.66492664999999995"/>
    <n v="0.78636812"/>
    <x v="0"/>
  </r>
  <r>
    <x v="8"/>
    <x v="0"/>
    <x v="13"/>
    <n v="0.59830506000000006"/>
    <n v="0.48266756"/>
    <n v="0.65471182000000006"/>
    <n v="0.20567832"/>
    <x v="0"/>
  </r>
  <r>
    <x v="8"/>
    <x v="1"/>
    <x v="0"/>
    <n v="-0.13616056000000001"/>
    <n v="0.75310204999999997"/>
    <n v="0.46928682999999999"/>
    <n v="0.44113992000000002"/>
    <x v="0"/>
  </r>
  <r>
    <x v="8"/>
    <x v="1"/>
    <x v="1"/>
    <n v="0.75265349999999998"/>
    <n v="0.35266456000000002"/>
    <n v="0.38495116000000001"/>
    <n v="0.77423812999999997"/>
    <x v="0"/>
  </r>
  <r>
    <x v="8"/>
    <x v="1"/>
    <x v="2"/>
    <n v="0.67005506000000004"/>
    <n v="0.42304090999999999"/>
    <n v="0.43400112000000002"/>
    <n v="0.76641400000000004"/>
    <x v="0"/>
  </r>
  <r>
    <x v="8"/>
    <x v="1"/>
    <x v="3"/>
    <n v="0.22697020000000001"/>
    <n v="0.79731673000000003"/>
    <n v="0.56940309"/>
    <n v="0.75904198000000001"/>
    <x v="0"/>
  </r>
  <r>
    <x v="8"/>
    <x v="1"/>
    <x v="4"/>
    <n v="0.82181517000000004"/>
    <n v="0.29017110000000002"/>
    <n v="0.33311348000000002"/>
    <n v="9.3907190000000001E-2"/>
    <x v="0"/>
  </r>
  <r>
    <x v="8"/>
    <x v="1"/>
    <x v="5"/>
    <n v="0.25223349"/>
    <n v="0.77516156000000003"/>
    <n v="0.56575754"/>
    <n v="0.75800285000000001"/>
    <x v="0"/>
  </r>
  <r>
    <x v="8"/>
    <x v="1"/>
    <x v="6"/>
    <n v="0.67814026999999999"/>
    <n v="0.41626494000000003"/>
    <n v="0.42968695000000001"/>
    <n v="0.76708553000000002"/>
    <x v="0"/>
  </r>
  <r>
    <x v="8"/>
    <x v="1"/>
    <x v="7"/>
    <n v="0.67576460000000005"/>
    <n v="0.41825768000000002"/>
    <n v="0.43096444"/>
    <n v="0.76688610999999995"/>
    <x v="0"/>
  </r>
  <r>
    <x v="8"/>
    <x v="1"/>
    <x v="8"/>
    <n v="0.65628405000000001"/>
    <n v="0.43454628000000001"/>
    <n v="0.44113545999999998"/>
    <n v="0.76531696999999999"/>
    <x v="0"/>
  </r>
  <r>
    <x v="8"/>
    <x v="1"/>
    <x v="9"/>
    <n v="0.51707751999999996"/>
    <n v="0.54990649999999996"/>
    <n v="0.50043457999999996"/>
    <n v="0.75747865000000003"/>
    <x v="0"/>
  </r>
  <r>
    <x v="8"/>
    <x v="1"/>
    <x v="10"/>
    <n v="0.38125693999999999"/>
    <n v="0.66386615000000004"/>
    <n v="0.54050175"/>
    <n v="0.75532454999999998"/>
    <x v="0"/>
  </r>
  <r>
    <x v="8"/>
    <x v="1"/>
    <x v="11"/>
    <n v="0.93086924999999998"/>
    <n v="0.17234309"/>
    <n v="0.21360763999999999"/>
    <n v="3.6551159999999999E-2"/>
    <x v="0"/>
  </r>
  <r>
    <x v="8"/>
    <x v="1"/>
    <x v="12"/>
    <n v="0.12855945999999999"/>
    <n v="0.88456917000000002"/>
    <n v="0.57981013000000003"/>
    <n v="0.7646406"/>
    <x v="0"/>
  </r>
  <r>
    <x v="8"/>
    <x v="1"/>
    <x v="13"/>
    <n v="0.10751083"/>
    <n v="0.90339046000000001"/>
    <n v="0.58127302999999997"/>
    <n v="0.79012103"/>
    <x v="0"/>
  </r>
  <r>
    <x v="8"/>
    <x v="2"/>
    <x v="0"/>
    <n v="-0.13707283000000001"/>
    <n v="0.76763475000000003"/>
    <n v="0.50625829"/>
    <n v="0.50256659000000004"/>
    <x v="0"/>
  </r>
  <r>
    <x v="8"/>
    <x v="2"/>
    <x v="1"/>
    <n v="0.99981907000000003"/>
    <n v="8.5638299999999997E-3"/>
    <n v="6.76488E-3"/>
    <n v="9.6589999999999995E-5"/>
    <x v="0"/>
  </r>
  <r>
    <x v="8"/>
    <x v="2"/>
    <x v="2"/>
    <n v="0.99065435000000002"/>
    <n v="6.1784480000000003E-2"/>
    <n v="4.8507950000000001E-2"/>
    <n v="4.9752499999999996E-3"/>
    <x v="0"/>
  </r>
  <r>
    <x v="8"/>
    <x v="2"/>
    <x v="3"/>
    <n v="0.80081577000000004"/>
    <n v="0.30967938"/>
    <n v="0.21299631999999999"/>
    <n v="0.10229409"/>
    <x v="0"/>
  </r>
  <r>
    <x v="8"/>
    <x v="2"/>
    <x v="4"/>
    <n v="0.26181189999999999"/>
    <n v="0.76679109999999995"/>
    <n v="0.3432344"/>
    <n v="0.75662297999999995"/>
    <x v="0"/>
  </r>
  <r>
    <x v="8"/>
    <x v="2"/>
    <x v="5"/>
    <n v="0.81612781999999995"/>
    <n v="0.29551218000000001"/>
    <n v="0.2055139"/>
    <n v="9.4668020000000005E-2"/>
    <x v="0"/>
  </r>
  <r>
    <x v="8"/>
    <x v="2"/>
    <x v="6"/>
    <n v="0.99208799000000003"/>
    <n v="5.6814280000000002E-2"/>
    <n v="4.464858E-2"/>
    <n v="4.21354E-3"/>
    <x v="0"/>
  </r>
  <r>
    <x v="8"/>
    <x v="2"/>
    <x v="7"/>
    <n v="0.99167760999999999"/>
    <n v="5.82791E-2"/>
    <n v="4.5787170000000002E-2"/>
    <n v="4.4316299999999998E-3"/>
    <x v="0"/>
  </r>
  <r>
    <x v="8"/>
    <x v="2"/>
    <x v="8"/>
    <n v="0.98797714000000003"/>
    <n v="7.0156019999999999E-2"/>
    <n v="5.49819E-2"/>
    <n v="6.3963700000000002E-3"/>
    <x v="0"/>
  </r>
  <r>
    <x v="8"/>
    <x v="2"/>
    <x v="9"/>
    <n v="0.94679391000000002"/>
    <n v="0.15017195999999999"/>
    <n v="0.1144592"/>
    <n v="2.8060229999999999E-2"/>
    <x v="0"/>
  </r>
  <r>
    <x v="8"/>
    <x v="2"/>
    <x v="10"/>
    <n v="0.88701788999999998"/>
    <n v="0.22453102999999999"/>
    <n v="0.16421123000000001"/>
    <n v="5.8900479999999998E-2"/>
    <x v="0"/>
  </r>
  <r>
    <x v="8"/>
    <x v="2"/>
    <x v="11"/>
    <n v="0.94743367999999994"/>
    <n v="0.14922574"/>
    <n v="0.11378763"/>
    <n v="0.80135078000000004"/>
    <x v="0"/>
  </r>
  <r>
    <x v="8"/>
    <x v="2"/>
    <x v="12"/>
    <n v="0.73699039"/>
    <n v="0.36625858999999999"/>
    <n v="0.24037787999999999"/>
    <n v="0.13375977"/>
    <x v="0"/>
  </r>
  <r>
    <x v="8"/>
    <x v="2"/>
    <x v="13"/>
    <n v="0.72249863000000003"/>
    <n v="0.37871107999999998"/>
    <n v="0.24587932000000001"/>
    <n v="0.80064981000000002"/>
    <x v="0"/>
  </r>
  <r>
    <x v="9"/>
    <x v="0"/>
    <x v="0"/>
    <n v="-0.11379182"/>
    <n v="0.7582257"/>
    <n v="0.40426498999999999"/>
    <n v="0.36568929999999999"/>
    <x v="0"/>
  </r>
  <r>
    <x v="9"/>
    <x v="0"/>
    <x v="1"/>
    <n v="-4.3071659999999998E-2"/>
    <n v="0.90608462999999995"/>
    <n v="0.40046025000000002"/>
    <n v="0.34867893999999999"/>
    <x v="0"/>
  </r>
  <r>
    <x v="9"/>
    <x v="0"/>
    <x v="2"/>
    <n v="-9.818549E-2"/>
    <n v="0.80717110000000003"/>
    <n v="0.44049382999999998"/>
    <n v="0.38944633000000001"/>
    <x v="0"/>
  </r>
  <r>
    <x v="9"/>
    <x v="0"/>
    <x v="3"/>
    <n v="4.4318829999999997E-2"/>
    <n v="0.87522334999999996"/>
    <n v="0.30946219000000003"/>
    <n v="0.33159346000000001"/>
    <x v="0"/>
  </r>
  <r>
    <x v="9"/>
    <x v="0"/>
    <x v="4"/>
    <n v="0.30929864000000001"/>
    <n v="8.3761269999999999E-2"/>
    <n v="0.17457771"/>
    <n v="0.38167658999999998"/>
    <x v="0"/>
  </r>
  <r>
    <x v="9"/>
    <x v="0"/>
    <x v="5"/>
    <n v="0.54995607000000002"/>
    <n v="0.13435801999999999"/>
    <n v="0.36950627000000003"/>
    <n v="0.30967090000000003"/>
    <x v="0"/>
  </r>
  <r>
    <x v="9"/>
    <x v="0"/>
    <x v="6"/>
    <n v="-0.11379182"/>
    <n v="0.7582257"/>
    <n v="0.40426498999999999"/>
    <n v="0.36568929999999999"/>
    <x v="0"/>
  </r>
  <r>
    <x v="9"/>
    <x v="0"/>
    <x v="7"/>
    <n v="-7.3022630000000005E-2"/>
    <n v="0.83976927000000001"/>
    <n v="0.39575650000000001"/>
    <n v="0.35011175999999999"/>
    <x v="0"/>
  </r>
  <r>
    <x v="9"/>
    <x v="0"/>
    <x v="8"/>
    <n v="-0.10993972"/>
    <n v="0.78654886000000002"/>
    <n v="0.4443317"/>
    <n v="0.39453789"/>
    <x v="0"/>
  </r>
  <r>
    <x v="9"/>
    <x v="0"/>
    <x v="9"/>
    <n v="-0.30155785000000002"/>
    <n v="0.41933645000000003"/>
    <n v="0.39974261"/>
    <n v="0.55696635000000005"/>
    <x v="0"/>
  </r>
  <r>
    <x v="9"/>
    <x v="0"/>
    <x v="10"/>
    <n v="-0.33830250000000001"/>
    <n v="0.2855434"/>
    <n v="0.33276948000000001"/>
    <n v="0.50944645"/>
    <x v="0"/>
  </r>
  <r>
    <x v="9"/>
    <x v="0"/>
    <x v="11"/>
    <n v="6.7727170000000003E-2"/>
    <n v="0.82836951000000003"/>
    <n v="0.34225032"/>
    <n v="0.33731784999999997"/>
    <x v="0"/>
  </r>
  <r>
    <x v="9"/>
    <x v="0"/>
    <x v="12"/>
    <n v="0.49698469000000001"/>
    <n v="0.23525275000000001"/>
    <n v="0.43526930000000003"/>
    <n v="0.24980542999999999"/>
    <x v="0"/>
  </r>
  <r>
    <x v="9"/>
    <x v="0"/>
    <x v="13"/>
    <n v="0.62807628000000004"/>
    <n v="6.0549739999999998E-2"/>
    <n v="0.31963364999999999"/>
    <n v="0.32953608000000001"/>
    <x v="0"/>
  </r>
  <r>
    <x v="9"/>
    <x v="1"/>
    <x v="0"/>
    <n v="0.34364329999999998"/>
    <n v="0.20409706999999999"/>
    <n v="0.24632905999999999"/>
    <n v="0.29724019000000002"/>
    <x v="0"/>
  </r>
  <r>
    <x v="9"/>
    <x v="1"/>
    <x v="1"/>
    <n v="0.30396169000000001"/>
    <n v="0.28378590999999997"/>
    <n v="0.26288384999999997"/>
    <n v="0.28594493999999998"/>
    <x v="0"/>
  </r>
  <r>
    <x v="9"/>
    <x v="1"/>
    <x v="2"/>
    <n v="0.39131260000000001"/>
    <n v="0.16629039000000001"/>
    <n v="0.25428495000000001"/>
    <n v="0.29909374999999999"/>
    <x v="0"/>
  </r>
  <r>
    <x v="9"/>
    <x v="1"/>
    <x v="3"/>
    <n v="0.17581343999999999"/>
    <n v="0.49279669999999998"/>
    <n v="0.24393000000000001"/>
    <n v="0.32082712000000002"/>
    <x v="0"/>
  </r>
  <r>
    <x v="9"/>
    <x v="1"/>
    <x v="4"/>
    <n v="-2.7732070000000001E-2"/>
    <n v="0.89343249999999996"/>
    <n v="0.20041838000000001"/>
    <n v="0.30670338000000003"/>
    <x v="0"/>
  </r>
  <r>
    <x v="9"/>
    <x v="1"/>
    <x v="5"/>
    <n v="-0.40636876999999999"/>
    <n v="0.18001607999999999"/>
    <n v="0.27392137"/>
    <n v="0.30573898999999999"/>
    <x v="0"/>
  </r>
  <r>
    <x v="9"/>
    <x v="1"/>
    <x v="6"/>
    <n v="0.34364329999999998"/>
    <n v="0.20409706999999999"/>
    <n v="0.24632905999999999"/>
    <n v="0.29724019000000002"/>
    <x v="0"/>
  </r>
  <r>
    <x v="9"/>
    <x v="1"/>
    <x v="7"/>
    <n v="0.30400797000000002"/>
    <n v="0.26798181999999998"/>
    <n v="0.25363690999999999"/>
    <n v="0.29203143999999998"/>
    <x v="0"/>
  </r>
  <r>
    <x v="9"/>
    <x v="1"/>
    <x v="8"/>
    <n v="0.39594895000000002"/>
    <n v="0.16023842999999999"/>
    <n v="0.25306338"/>
    <n v="0.30141145000000003"/>
    <x v="0"/>
  </r>
  <r>
    <x v="9"/>
    <x v="1"/>
    <x v="9"/>
    <n v="0.45090055000000001"/>
    <n v="7.0160849999999997E-2"/>
    <n v="0.21202888"/>
    <n v="0.44132987000000001"/>
    <x v="0"/>
  </r>
  <r>
    <x v="9"/>
    <x v="1"/>
    <x v="10"/>
    <n v="0.51051780000000002"/>
    <n v="2.0583730000000001E-2"/>
    <n v="0.17211982000000001"/>
    <n v="0.37714283999999998"/>
    <x v="0"/>
  </r>
  <r>
    <x v="9"/>
    <x v="1"/>
    <x v="11"/>
    <n v="0.18881437000000001"/>
    <n v="0.49159952000000001"/>
    <n v="0.26121831000000001"/>
    <n v="0.28841978000000001"/>
    <x v="0"/>
  </r>
  <r>
    <x v="9"/>
    <x v="1"/>
    <x v="12"/>
    <n v="-0.29781552999999999"/>
    <n v="0.35074309999999997"/>
    <n v="0.29906148999999999"/>
    <n v="0.31032767"/>
    <x v="0"/>
  </r>
  <r>
    <x v="9"/>
    <x v="1"/>
    <x v="13"/>
    <n v="-0.5299064"/>
    <n v="5.774833E-2"/>
    <n v="0.23467950000000001"/>
    <n v="0.28798799000000003"/>
    <x v="0"/>
  </r>
  <r>
    <x v="9"/>
    <x v="2"/>
    <x v="0"/>
    <n v="0.28825215999999998"/>
    <n v="0.23318464"/>
    <n v="0.20209951000000001"/>
    <n v="0.24490033999999999"/>
    <x v="0"/>
  </r>
  <r>
    <x v="9"/>
    <x v="2"/>
    <x v="1"/>
    <n v="0.33541501000000001"/>
    <n v="0.12897847000000001"/>
    <n v="0.17833528000000001"/>
    <n v="0.2475224"/>
    <x v="0"/>
  </r>
  <r>
    <x v="9"/>
    <x v="2"/>
    <x v="2"/>
    <n v="0.37209599999999998"/>
    <n v="0.18147998000000001"/>
    <n v="0.22945768"/>
    <n v="0.2296253"/>
    <x v="0"/>
  </r>
  <r>
    <x v="9"/>
    <x v="2"/>
    <x v="3"/>
    <n v="0.29073347999999999"/>
    <n v="0.17431369999999999"/>
    <n v="0.17592920000000001"/>
    <n v="0.28222017999999999"/>
    <x v="0"/>
  </r>
  <r>
    <x v="9"/>
    <x v="2"/>
    <x v="4"/>
    <n v="0.39604464"/>
    <n v="2.660875E-2"/>
    <n v="0.12950864000000001"/>
    <n v="0.35022408999999999"/>
    <x v="0"/>
  </r>
  <r>
    <x v="9"/>
    <x v="2"/>
    <x v="5"/>
    <n v="0.23950094"/>
    <n v="0.46540077000000002"/>
    <n v="0.28384828000000001"/>
    <n v="0.33382094000000001"/>
    <x v="0"/>
  </r>
  <r>
    <x v="9"/>
    <x v="2"/>
    <x v="6"/>
    <n v="0.28825215999999998"/>
    <n v="0.23318464"/>
    <n v="0.20209951000000001"/>
    <n v="0.24490033999999999"/>
    <x v="0"/>
  </r>
  <r>
    <x v="9"/>
    <x v="2"/>
    <x v="7"/>
    <n v="0.29362927"/>
    <n v="0.20905267"/>
    <n v="0.19418751000000001"/>
    <n v="0.24819451000000001"/>
    <x v="0"/>
  </r>
  <r>
    <x v="9"/>
    <x v="2"/>
    <x v="8"/>
    <n v="0.36170755999999998"/>
    <n v="0.19784607000000001"/>
    <n v="0.23261641999999999"/>
    <n v="0.23357331000000001"/>
    <x v="0"/>
  </r>
  <r>
    <x v="9"/>
    <x v="2"/>
    <x v="9"/>
    <n v="0.16550517000000001"/>
    <n v="0.53376151000000005"/>
    <n v="0.23138903"/>
    <n v="0.30956886"/>
    <x v="0"/>
  </r>
  <r>
    <x v="9"/>
    <x v="2"/>
    <x v="10"/>
    <n v="0.19175652000000001"/>
    <n v="0.48669814"/>
    <n v="0.23895569"/>
    <n v="0.31329188000000002"/>
    <x v="0"/>
  </r>
  <r>
    <x v="9"/>
    <x v="2"/>
    <x v="11"/>
    <n v="0.34035853999999999"/>
    <n v="7.441151E-2"/>
    <n v="0.14863069000000001"/>
    <n v="0.29024738"/>
    <x v="0"/>
  </r>
  <r>
    <x v="9"/>
    <x v="2"/>
    <x v="12"/>
    <n v="0.30676912000000001"/>
    <n v="0.33926635999999999"/>
    <n v="0.27368905999999998"/>
    <n v="0.30338709000000003"/>
    <x v="0"/>
  </r>
  <r>
    <x v="9"/>
    <x v="2"/>
    <x v="13"/>
    <n v="0.18786791999999999"/>
    <n v="0.57588645000000005"/>
    <n v="0.29300331000000002"/>
    <n v="0.34998156000000002"/>
    <x v="0"/>
  </r>
  <r>
    <x v="10"/>
    <x v="0"/>
    <x v="0"/>
    <n v="0.13975752999999999"/>
    <n v="0.53718502000000001"/>
    <n v="0.24729707000000001"/>
    <n v="0.26611494000000002"/>
    <x v="0"/>
  </r>
  <r>
    <x v="10"/>
    <x v="0"/>
    <x v="1"/>
    <n v="0.1544711"/>
    <n v="0.46003939999999999"/>
    <n v="0.23844777"/>
    <n v="0.27526981"/>
    <x v="0"/>
  </r>
  <r>
    <x v="10"/>
    <x v="0"/>
    <x v="2"/>
    <n v="0.17980473"/>
    <n v="0.45121169999999999"/>
    <n v="0.27190104999999998"/>
    <n v="0.28503952999999999"/>
    <x v="0"/>
  </r>
  <r>
    <x v="10"/>
    <x v="0"/>
    <x v="3"/>
    <n v="-0.10663024"/>
    <n v="0.73799161000000002"/>
    <n v="0.37068867999999999"/>
    <n v="0.35452402999999999"/>
    <x v="0"/>
  </r>
  <r>
    <x v="10"/>
    <x v="0"/>
    <x v="4"/>
    <n v="0.13493337999999999"/>
    <n v="0.53165393000000005"/>
    <n v="0.24774159000000001"/>
    <n v="0.30889264"/>
    <x v="0"/>
  </r>
  <r>
    <x v="10"/>
    <x v="0"/>
    <x v="5"/>
    <n v="-0.3212583"/>
    <n v="0.26192015000000002"/>
    <n v="0.31609924"/>
    <n v="0.26880377999999999"/>
    <x v="0"/>
  </r>
  <r>
    <x v="10"/>
    <x v="0"/>
    <x v="6"/>
    <n v="0.17165241000000001"/>
    <n v="0.45960617999999998"/>
    <n v="0.26470123000000001"/>
    <n v="0.28240041999999999"/>
    <x v="0"/>
  </r>
  <r>
    <x v="10"/>
    <x v="0"/>
    <x v="7"/>
    <n v="0.17912682999999999"/>
    <n v="0.44684328000000001"/>
    <n v="0.26814518999999998"/>
    <n v="0.28088786999999998"/>
    <x v="0"/>
  </r>
  <r>
    <x v="10"/>
    <x v="0"/>
    <x v="8"/>
    <n v="0.17427469000000001"/>
    <n v="0.45981362999999997"/>
    <n v="0.26887536000000001"/>
    <n v="0.28653173999999998"/>
    <x v="0"/>
  </r>
  <r>
    <x v="10"/>
    <x v="0"/>
    <x v="9"/>
    <n v="0.10299591"/>
    <n v="0.58968293000000005"/>
    <n v="0.22031866999999999"/>
    <n v="0.29741357000000002"/>
    <x v="0"/>
  </r>
  <r>
    <x v="10"/>
    <x v="0"/>
    <x v="10"/>
    <n v="0.20491635"/>
    <n v="0.43044666999999998"/>
    <n v="0.29538246000000001"/>
    <n v="0.29920234000000001"/>
    <x v="0"/>
  </r>
  <r>
    <x v="10"/>
    <x v="0"/>
    <x v="11"/>
    <n v="0.11277477"/>
    <n v="0.55346278000000004"/>
    <n v="0.21895007"/>
    <n v="0.29357541999999998"/>
    <x v="0"/>
  </r>
  <r>
    <x v="10"/>
    <x v="0"/>
    <x v="12"/>
    <n v="-0.47920142999999998"/>
    <n v="0.23430028999999999"/>
    <n v="0.44155283000000001"/>
    <n v="0.29235662000000001"/>
    <x v="0"/>
  </r>
  <r>
    <x v="10"/>
    <x v="0"/>
    <x v="13"/>
    <n v="-0.36306525000000001"/>
    <n v="0.30846318"/>
    <n v="0.39753702000000002"/>
    <n v="0.28640483999999999"/>
    <x v="0"/>
  </r>
  <r>
    <x v="10"/>
    <x v="1"/>
    <x v="0"/>
    <n v="-0.38823962000000001"/>
    <n v="0.34150246000000001"/>
    <n v="0.42774877"/>
    <n v="0.33905073000000002"/>
    <x v="0"/>
  </r>
  <r>
    <x v="10"/>
    <x v="1"/>
    <x v="1"/>
    <n v="-0.48085296999999999"/>
    <n v="0.26392301000000001"/>
    <n v="0.45449400000000001"/>
    <n v="0.32058911000000001"/>
    <x v="0"/>
  </r>
  <r>
    <x v="10"/>
    <x v="1"/>
    <x v="2"/>
    <n v="-0.49104345999999999"/>
    <n v="0.26025830999999999"/>
    <n v="0.46016397999999997"/>
    <n v="0.32725726999999999"/>
    <x v="0"/>
  </r>
  <r>
    <x v="10"/>
    <x v="1"/>
    <x v="3"/>
    <n v="-0.50701574000000005"/>
    <n v="0.24760834000000001"/>
    <n v="0.4611594"/>
    <n v="0.38106688999999999"/>
    <x v="0"/>
  </r>
  <r>
    <x v="10"/>
    <x v="1"/>
    <x v="4"/>
    <n v="-8.0316650000000003E-2"/>
    <n v="0.75916713000000002"/>
    <n v="0.29152398000000002"/>
    <n v="0.34865497000000001"/>
    <x v="0"/>
  </r>
  <r>
    <x v="10"/>
    <x v="1"/>
    <x v="5"/>
    <n v="0.62526137999999998"/>
    <n v="7.0677779999999996E-2"/>
    <n v="0.33193594999999998"/>
    <n v="0.32196076000000001"/>
    <x v="0"/>
  </r>
  <r>
    <x v="10"/>
    <x v="1"/>
    <x v="6"/>
    <n v="-0.46769922000000003"/>
    <n v="0.28028427"/>
    <n v="0.45914908999999998"/>
    <n v="0.32547063999999998"/>
    <x v="0"/>
  </r>
  <r>
    <x v="10"/>
    <x v="1"/>
    <x v="7"/>
    <n v="-0.474825"/>
    <n v="0.26805825"/>
    <n v="0.45314253999999998"/>
    <n v="0.32192288000000002"/>
    <x v="0"/>
  </r>
  <r>
    <x v="10"/>
    <x v="1"/>
    <x v="8"/>
    <n v="-0.48941338000000001"/>
    <n v="0.26543670000000003"/>
    <n v="0.46422190000000002"/>
    <n v="0.32958585000000001"/>
    <x v="0"/>
  </r>
  <r>
    <x v="10"/>
    <x v="1"/>
    <x v="9"/>
    <n v="-0.50560932999999997"/>
    <n v="0.21482966000000001"/>
    <n v="0.42466271999999999"/>
    <n v="0.37595522999999997"/>
    <x v="0"/>
  </r>
  <r>
    <x v="10"/>
    <x v="1"/>
    <x v="10"/>
    <n v="-0.57563874000000004"/>
    <n v="0.15808541000000001"/>
    <n v="0.4159331"/>
    <n v="0.34206217999999999"/>
    <x v="0"/>
  </r>
  <r>
    <x v="10"/>
    <x v="1"/>
    <x v="11"/>
    <n v="-0.46219545000000001"/>
    <n v="0.25313786999999999"/>
    <n v="0.42593568999999998"/>
    <n v="0.31707907000000002"/>
    <x v="0"/>
  </r>
  <r>
    <x v="10"/>
    <x v="1"/>
    <x v="12"/>
    <n v="0.26792750999999998"/>
    <n v="0.39306574"/>
    <n v="0.33921824"/>
    <n v="0.33539541"/>
    <x v="0"/>
  </r>
  <r>
    <x v="10"/>
    <x v="1"/>
    <x v="13"/>
    <n v="0.73395438000000002"/>
    <n v="1.0789999999999999E-2"/>
    <n v="0.23463634999999999"/>
    <n v="0.29964572"/>
    <x v="0"/>
  </r>
  <r>
    <x v="10"/>
    <x v="2"/>
    <x v="0"/>
    <n v="-0.2474556"/>
    <n v="0.47939619"/>
    <n v="0.34908143000000003"/>
    <n v="0.38778298"/>
    <x v="0"/>
  </r>
  <r>
    <x v="10"/>
    <x v="2"/>
    <x v="1"/>
    <n v="-0.31616991999999999"/>
    <n v="0.36863695000000002"/>
    <n v="0.36385489999999998"/>
    <n v="0.38430523999999999"/>
    <x v="0"/>
  </r>
  <r>
    <x v="10"/>
    <x v="2"/>
    <x v="2"/>
    <n v="-0.29704698000000002"/>
    <n v="0.41307569"/>
    <n v="0.37785582000000001"/>
    <n v="0.40359869999999998"/>
    <x v="0"/>
  </r>
  <r>
    <x v="10"/>
    <x v="2"/>
    <x v="3"/>
    <n v="-0.64885541999999996"/>
    <n v="7.9172590000000001E-2"/>
    <n v="0.34365038999999997"/>
    <n v="0.22619122999999999"/>
    <x v="0"/>
  </r>
  <r>
    <x v="10"/>
    <x v="2"/>
    <x v="4"/>
    <n v="7.4939909999999998E-2"/>
    <n v="0.66686767999999996"/>
    <n v="0.18526970000000001"/>
    <n v="0.29551708999999998"/>
    <x v="0"/>
  </r>
  <r>
    <x v="10"/>
    <x v="2"/>
    <x v="5"/>
    <n v="0.27018503999999999"/>
    <n v="0.57067064999999995"/>
    <n v="0.50394826000000004"/>
    <n v="0.53874699000000004"/>
    <x v="0"/>
  </r>
  <r>
    <x v="10"/>
    <x v="2"/>
    <x v="6"/>
    <n v="-0.28246223999999998"/>
    <n v="0.42395662000000001"/>
    <n v="0.36831589999999997"/>
    <n v="0.39566744999999998"/>
    <x v="0"/>
  </r>
  <r>
    <x v="10"/>
    <x v="2"/>
    <x v="7"/>
    <n v="-0.28107766000000001"/>
    <n v="0.42567592999999998"/>
    <n v="0.36795266999999998"/>
    <n v="0.39597823999999998"/>
    <x v="0"/>
  </r>
  <r>
    <x v="10"/>
    <x v="2"/>
    <x v="8"/>
    <n v="-0.30183564000000002"/>
    <n v="0.40732831000000003"/>
    <n v="0.37897504999999998"/>
    <n v="0.40504465000000001"/>
    <x v="0"/>
  </r>
  <r>
    <x v="10"/>
    <x v="2"/>
    <x v="9"/>
    <n v="-0.40201405000000001"/>
    <n v="0.26752641999999999"/>
    <n v="0.36795123000000002"/>
    <n v="0.43837395000000001"/>
    <x v="0"/>
  </r>
  <r>
    <x v="10"/>
    <x v="2"/>
    <x v="10"/>
    <n v="-0.35508626999999998"/>
    <n v="0.35206831"/>
    <n v="0.39374509000000002"/>
    <n v="0.45241981999999997"/>
    <x v="0"/>
  </r>
  <r>
    <x v="10"/>
    <x v="2"/>
    <x v="11"/>
    <n v="-0.34569576000000002"/>
    <n v="0.31522483000000001"/>
    <n v="0.35287762"/>
    <n v="0.33230547999999999"/>
    <x v="0"/>
  </r>
  <r>
    <x v="10"/>
    <x v="2"/>
    <x v="12"/>
    <n v="-0.28403099999999998"/>
    <n v="0.47225433999999999"/>
    <n v="0.41426782000000001"/>
    <n v="0.408111"/>
    <x v="0"/>
  </r>
  <r>
    <x v="10"/>
    <x v="2"/>
    <x v="13"/>
    <n v="0.33358732000000002"/>
    <n v="0.47471481999999998"/>
    <n v="0.48938747999999999"/>
    <n v="0.59476644999999995"/>
    <x v="0"/>
  </r>
  <r>
    <x v="11"/>
    <x v="0"/>
    <x v="0"/>
    <n v="0.55442648000000005"/>
    <n v="0.13907479"/>
    <n v="0.32437906999999999"/>
    <n v="0.29283092999999999"/>
    <x v="0"/>
  </r>
  <r>
    <x v="11"/>
    <x v="0"/>
    <x v="1"/>
    <n v="0.20891984"/>
    <n v="0.73133654999999997"/>
    <n v="0.50777695"/>
    <n v="0.58815660999999997"/>
    <x v="0"/>
  </r>
  <r>
    <x v="11"/>
    <x v="0"/>
    <x v="2"/>
    <n v="0.19063103000000001"/>
    <n v="0.74960329000000003"/>
    <n v="0.49920146999999998"/>
    <n v="0.58611515000000003"/>
    <x v="0"/>
  </r>
  <r>
    <x v="11"/>
    <x v="0"/>
    <x v="3"/>
    <n v="8.0679500000000001E-2"/>
    <n v="0.87959792000000003"/>
    <n v="0.44851512999999998"/>
    <n v="0.60655466999999996"/>
    <x v="0"/>
  </r>
  <r>
    <x v="11"/>
    <x v="0"/>
    <x v="4"/>
    <n v="0.27360394999999998"/>
    <n v="0.65042226000000003"/>
    <n v="0.49961660000000002"/>
    <n v="0.62080685000000002"/>
    <x v="0"/>
  </r>
  <r>
    <x v="11"/>
    <x v="0"/>
    <x v="5"/>
    <n v="-0.70655663000000002"/>
    <n v="0.13772066999999999"/>
    <n v="0.32168479"/>
    <n v="0.65182054"/>
    <x v="0"/>
  </r>
  <r>
    <x v="11"/>
    <x v="0"/>
    <x v="6"/>
    <n v="0.21423855"/>
    <n v="0.72699873000000004"/>
    <n v="0.51189841999999997"/>
    <n v="0.58799816999999999"/>
    <x v="0"/>
  </r>
  <r>
    <x v="11"/>
    <x v="0"/>
    <x v="7"/>
    <n v="0.21929936"/>
    <n v="0.72174716999999999"/>
    <n v="0.51344213999999999"/>
    <n v="0.58832293999999996"/>
    <x v="0"/>
  </r>
  <r>
    <x v="11"/>
    <x v="0"/>
    <x v="8"/>
    <n v="0.18946566000000001"/>
    <n v="0.75029184999999998"/>
    <n v="0.4975927"/>
    <n v="0.58600571000000001"/>
    <x v="0"/>
  </r>
  <r>
    <x v="11"/>
    <x v="0"/>
    <x v="9"/>
    <n v="0.17603664999999999"/>
    <n v="0.76759980000000005"/>
    <n v="0.49856297999999999"/>
    <n v="0.60197363999999998"/>
    <x v="0"/>
  </r>
  <r>
    <x v="11"/>
    <x v="0"/>
    <x v="10"/>
    <n v="0.12846091000000001"/>
    <n v="0.81353807"/>
    <n v="0.45721623"/>
    <n v="0.62668098999999999"/>
    <x v="0"/>
  </r>
  <r>
    <x v="11"/>
    <x v="0"/>
    <x v="11"/>
    <n v="0.22594705000000001"/>
    <n v="0.71410328000000001"/>
    <n v="0.51387585999999996"/>
    <n v="0.58925512999999996"/>
    <x v="0"/>
  </r>
  <r>
    <x v="11"/>
    <x v="0"/>
    <x v="12"/>
    <n v="-0.64444710999999999"/>
    <n v="0.22132927999999999"/>
    <n v="0.38347065000000002"/>
    <n v="0.38824107000000002"/>
    <x v="0"/>
  </r>
  <r>
    <x v="11"/>
    <x v="0"/>
    <x v="13"/>
    <n v="-0.66716792000000003"/>
    <n v="0.23690823"/>
    <n v="0.41460152"/>
    <n v="0.61675409000000003"/>
    <x v="0"/>
  </r>
  <r>
    <x v="11"/>
    <x v="1"/>
    <x v="0"/>
    <n v="-0.38165718999999998"/>
    <n v="0.27421722999999998"/>
    <n v="0.34241468000000003"/>
    <n v="0.33786463999999999"/>
    <x v="0"/>
  </r>
  <r>
    <x v="11"/>
    <x v="1"/>
    <x v="1"/>
    <n v="-0.32113551000000001"/>
    <n v="0.60487955999999998"/>
    <n v="0.47535266999999998"/>
    <n v="0.59599785999999999"/>
    <x v="0"/>
  </r>
  <r>
    <x v="11"/>
    <x v="1"/>
    <x v="2"/>
    <n v="-0.35164252000000001"/>
    <n v="0.54552696000000001"/>
    <n v="0.44133204999999998"/>
    <n v="0.58115547000000001"/>
    <x v="0"/>
  </r>
  <r>
    <x v="11"/>
    <x v="1"/>
    <x v="3"/>
    <n v="-0.58628442000000003"/>
    <n v="0.17424997"/>
    <n v="0.28194112999999998"/>
    <n v="0.46184603000000002"/>
    <x v="0"/>
  </r>
  <r>
    <x v="11"/>
    <x v="1"/>
    <x v="4"/>
    <n v="-0.10354985999999999"/>
    <n v="0.88788138999999999"/>
    <n v="0.57603269999999995"/>
    <n v="0.70125979000000005"/>
    <x v="0"/>
  </r>
  <r>
    <x v="11"/>
    <x v="1"/>
    <x v="5"/>
    <n v="-0.24233732999999999"/>
    <n v="0.61533325000000005"/>
    <n v="0.36990853000000001"/>
    <n v="0.61179857999999998"/>
    <x v="0"/>
  </r>
  <r>
    <x v="11"/>
    <x v="1"/>
    <x v="6"/>
    <n v="-0.33270518999999998"/>
    <n v="0.58527328999999995"/>
    <n v="0.46558087999999997"/>
    <n v="0.58787889999999998"/>
    <x v="0"/>
  </r>
  <r>
    <x v="11"/>
    <x v="1"/>
    <x v="7"/>
    <n v="-0.32381932000000002"/>
    <n v="0.59988812999999996"/>
    <n v="0.47243735999999997"/>
    <n v="0.59125910999999998"/>
    <x v="0"/>
  </r>
  <r>
    <x v="11"/>
    <x v="1"/>
    <x v="8"/>
    <n v="-0.34969135000000001"/>
    <n v="0.54512366000000001"/>
    <n v="0.43841180000000002"/>
    <n v="0.58108778000000005"/>
    <x v="0"/>
  </r>
  <r>
    <x v="11"/>
    <x v="1"/>
    <x v="9"/>
    <n v="-0.40125328999999998"/>
    <n v="0.43341897000000001"/>
    <n v="0.37928696000000001"/>
    <n v="0.56049077000000003"/>
    <x v="0"/>
  </r>
  <r>
    <x v="11"/>
    <x v="1"/>
    <x v="10"/>
    <n v="-0.35391278999999998"/>
    <n v="0.46175948999999999"/>
    <n v="0.35861206000000001"/>
    <n v="0.62467139999999999"/>
    <x v="0"/>
  </r>
  <r>
    <x v="11"/>
    <x v="1"/>
    <x v="11"/>
    <n v="-0.27898592"/>
    <n v="0.67248591999999996"/>
    <n v="0.50978109000000005"/>
    <n v="0.62935231000000003"/>
    <x v="0"/>
  </r>
  <r>
    <x v="11"/>
    <x v="1"/>
    <x v="12"/>
    <n v="-0.78587235"/>
    <n v="1.1812599999999999E-2"/>
    <n v="0.12180054"/>
    <n v="0.54665328000000002"/>
    <x v="0"/>
  </r>
  <r>
    <x v="11"/>
    <x v="1"/>
    <x v="13"/>
    <n v="-0.10708932"/>
    <n v="0.84096369000000004"/>
    <n v="0.41774528999999999"/>
    <n v="0.61528223999999998"/>
    <x v="0"/>
  </r>
  <r>
    <x v="11"/>
    <x v="2"/>
    <x v="0"/>
    <n v="0.15356269"/>
    <n v="0.70226752999999997"/>
    <n v="0.42312050000000001"/>
    <n v="0.38165270000000001"/>
    <x v="0"/>
  </r>
  <r>
    <x v="11"/>
    <x v="2"/>
    <x v="1"/>
    <n v="-2.267856E-2"/>
    <n v="0.97177838000000005"/>
    <n v="0.72225209000000001"/>
    <n v="0.60400264000000004"/>
    <x v="0"/>
  </r>
  <r>
    <x v="11"/>
    <x v="2"/>
    <x v="2"/>
    <n v="-4.8087520000000002E-2"/>
    <n v="0.93782641"/>
    <n v="0.69427634999999999"/>
    <n v="0.59447388999999995"/>
    <x v="0"/>
  </r>
  <r>
    <x v="11"/>
    <x v="2"/>
    <x v="3"/>
    <n v="-0.22478855"/>
    <n v="0.65281486"/>
    <n v="0.55226889999999995"/>
    <n v="0.58360387999999996"/>
    <x v="0"/>
  </r>
  <r>
    <x v="11"/>
    <x v="2"/>
    <x v="4"/>
    <n v="0.11844825"/>
    <n v="0.86508041000000002"/>
    <n v="0.78337873000000002"/>
    <n v="0.66705707000000003"/>
    <x v="0"/>
  </r>
  <r>
    <x v="11"/>
    <x v="2"/>
    <x v="5"/>
    <n v="-0.54409819999999998"/>
    <n v="0.27066252000000002"/>
    <n v="0.49399442999999998"/>
    <n v="0.60366048999999999"/>
    <x v="0"/>
  </r>
  <r>
    <x v="11"/>
    <x v="2"/>
    <x v="6"/>
    <n v="-2.4842090000000001E-2"/>
    <n v="0.96897286000000005"/>
    <n v="0.71956914999999999"/>
    <n v="0.60087699999999999"/>
    <x v="0"/>
  </r>
  <r>
    <x v="11"/>
    <x v="2"/>
    <x v="7"/>
    <n v="-1.7603489999999999E-2"/>
    <n v="0.97817646999999996"/>
    <n v="0.72508125000000001"/>
    <n v="0.60232554999999999"/>
    <x v="0"/>
  </r>
  <r>
    <x v="11"/>
    <x v="2"/>
    <x v="8"/>
    <n v="-4.7886320000000003E-2"/>
    <n v="0.93779593999999999"/>
    <n v="0.69103196"/>
    <n v="0.59322664000000003"/>
    <x v="0"/>
  </r>
  <r>
    <x v="11"/>
    <x v="2"/>
    <x v="9"/>
    <n v="-8.017138E-2"/>
    <n v="0.89061838999999998"/>
    <n v="0.65572788000000004"/>
    <n v="0.59309241000000001"/>
    <x v="0"/>
  </r>
  <r>
    <x v="11"/>
    <x v="2"/>
    <x v="10"/>
    <n v="-8.7058960000000005E-2"/>
    <n v="0.86963999000000003"/>
    <n v="0.59622072000000004"/>
    <n v="0.62311689999999997"/>
    <x v="0"/>
  </r>
  <r>
    <x v="11"/>
    <x v="2"/>
    <x v="11"/>
    <n v="7.4019899999999998E-3"/>
    <n v="0.99111061"/>
    <n v="0.74861485999999999"/>
    <n v="0.61936880000000005"/>
    <x v="0"/>
  </r>
  <r>
    <x v="11"/>
    <x v="2"/>
    <x v="12"/>
    <n v="-0.76023257"/>
    <n v="7.5392979999999998E-2"/>
    <n v="0.34764171999999999"/>
    <n v="0.40710813000000001"/>
    <x v="0"/>
  </r>
  <r>
    <x v="11"/>
    <x v="2"/>
    <x v="13"/>
    <n v="-0.45687472000000001"/>
    <n v="0.43062824"/>
    <n v="0.61511733000000002"/>
    <n v="0.59334160000000002"/>
    <x v="0"/>
  </r>
  <r>
    <x v="12"/>
    <x v="0"/>
    <x v="0"/>
    <n v="0.55467232"/>
    <n v="0.204517"/>
    <n v="0.46215808000000003"/>
    <n v="0.26797775000000001"/>
    <x v="0"/>
  </r>
  <r>
    <x v="12"/>
    <x v="0"/>
    <x v="1"/>
    <n v="-0.46455109999999999"/>
    <n v="0.30539484"/>
    <n v="6.7946800000000002E-2"/>
    <n v="0.47212655999999997"/>
    <x v="0"/>
  </r>
  <r>
    <x v="12"/>
    <x v="0"/>
    <x v="2"/>
    <n v="-0.45243065999999998"/>
    <n v="0.3191253"/>
    <n v="6.8476410000000001E-2"/>
    <n v="0.46849387999999997"/>
    <x v="0"/>
  </r>
  <r>
    <x v="12"/>
    <x v="0"/>
    <x v="3"/>
    <n v="-0.32062986999999998"/>
    <n v="0.54515033000000002"/>
    <n v="8.5002889999999998E-2"/>
    <n v="0.64349911000000004"/>
    <x v="0"/>
  </r>
  <r>
    <x v="12"/>
    <x v="0"/>
    <x v="4"/>
    <n v="-0.16775517000000001"/>
    <n v="0.74505979"/>
    <n v="8.485798E-2"/>
    <n v="0.62115167000000004"/>
    <x v="0"/>
  </r>
  <r>
    <x v="12"/>
    <x v="0"/>
    <x v="5"/>
    <n v="0.34069316999999999"/>
    <n v="0.27407488000000002"/>
    <n v="4.601421E-2"/>
    <n v="0.53988278999999995"/>
    <x v="0"/>
  </r>
  <r>
    <x v="12"/>
    <x v="0"/>
    <x v="6"/>
    <n v="-0.28005981000000002"/>
    <n v="0.26581194000000002"/>
    <n v="3.7019969999999999E-2"/>
    <n v="0.52806947000000004"/>
    <x v="0"/>
  </r>
  <r>
    <x v="12"/>
    <x v="0"/>
    <x v="7"/>
    <n v="-0.26220954000000002"/>
    <n v="0.24736387000000001"/>
    <n v="3.3004029999999997E-2"/>
    <n v="0.52704938000000001"/>
    <x v="0"/>
  </r>
  <r>
    <x v="12"/>
    <x v="0"/>
    <x v="8"/>
    <n v="-0.45443509999999998"/>
    <n v="0.31771376000000001"/>
    <n v="6.8539509999999998E-2"/>
    <n v="0.46833921000000001"/>
    <x v="0"/>
  </r>
  <r>
    <x v="12"/>
    <x v="0"/>
    <x v="9"/>
    <n v="7.1268600000000001E-2"/>
    <n v="0.90614397999999996"/>
    <n v="0.1002979"/>
    <n v="0.67714613000000001"/>
    <x v="0"/>
  </r>
  <r>
    <x v="12"/>
    <x v="0"/>
    <x v="10"/>
    <n v="-0.12449237"/>
    <n v="0.73109521"/>
    <n v="5.9511639999999998E-2"/>
    <n v="0.53156793999999996"/>
    <x v="0"/>
  </r>
  <r>
    <x v="12"/>
    <x v="0"/>
    <x v="11"/>
    <n v="-0.53183577999999998"/>
    <n v="0.28564930999999999"/>
    <n v="7.3999999999999996E-2"/>
    <n v="0.51834617999999999"/>
    <x v="0"/>
  </r>
  <r>
    <x v="12"/>
    <x v="0"/>
    <x v="12"/>
    <n v="0.13519882"/>
    <n v="0.38177203999999998"/>
    <n v="2.3843110000000001E-2"/>
    <n v="0.51854971999999999"/>
    <x v="0"/>
  </r>
  <r>
    <x v="12"/>
    <x v="0"/>
    <x v="13"/>
    <n v="0.33106950000000002"/>
    <n v="0.26320162000000003"/>
    <n v="4.3464120000000002E-2"/>
    <n v="0.53783475000000003"/>
    <x v="0"/>
  </r>
  <r>
    <x v="12"/>
    <x v="1"/>
    <x v="0"/>
    <n v="0.34989044000000002"/>
    <n v="0.38441106000000003"/>
    <n v="0.41692272000000002"/>
    <n v="0.39490089"/>
    <x v="0"/>
  </r>
  <r>
    <x v="12"/>
    <x v="1"/>
    <x v="1"/>
    <n v="0.69329472000000003"/>
    <n v="8.7367689999999998E-2"/>
    <n v="0.27713421999999999"/>
    <n v="0.58168724000000005"/>
    <x v="0"/>
  </r>
  <r>
    <x v="12"/>
    <x v="1"/>
    <x v="2"/>
    <n v="0.43148950000000003"/>
    <n v="6.1562489999999997E-2"/>
    <n v="0.14799956"/>
    <n v="0.58700755999999998"/>
    <x v="0"/>
  </r>
  <r>
    <x v="12"/>
    <x v="1"/>
    <x v="3"/>
    <n v="5.1091299999999999E-3"/>
    <n v="0.99321908999999997"/>
    <n v="0.55446740000000005"/>
    <n v="0.64916035000000005"/>
    <x v="0"/>
  </r>
  <r>
    <x v="12"/>
    <x v="1"/>
    <x v="4"/>
    <n v="-0.14600763"/>
    <n v="0.80696159999999995"/>
    <n v="0.54800042999999998"/>
    <n v="0.62147828999999999"/>
    <x v="0"/>
  </r>
  <r>
    <x v="12"/>
    <x v="1"/>
    <x v="5"/>
    <n v="-0.81201117"/>
    <n v="6.3033199999999998E-2"/>
    <n v="0.28131840000000002"/>
    <n v="0.36912022"/>
    <x v="0"/>
  </r>
  <r>
    <x v="12"/>
    <x v="1"/>
    <x v="6"/>
    <n v="0.70814500000000002"/>
    <n v="8.8395230000000005E-2"/>
    <n v="0.28457676999999998"/>
    <n v="0.37110091000000001"/>
    <x v="0"/>
  </r>
  <r>
    <x v="12"/>
    <x v="1"/>
    <x v="7"/>
    <n v="0.70491084999999998"/>
    <n v="8.786207E-2"/>
    <n v="0.28249974"/>
    <n v="0.37145874000000001"/>
    <x v="0"/>
  </r>
  <r>
    <x v="12"/>
    <x v="1"/>
    <x v="8"/>
    <n v="0.43098757999999998"/>
    <n v="6.3686740000000006E-2"/>
    <n v="0.14997031"/>
    <n v="0.58701499000000001"/>
    <x v="0"/>
  </r>
  <r>
    <x v="12"/>
    <x v="1"/>
    <x v="9"/>
    <n v="0.19978061999999999"/>
    <n v="0.73283743999999995"/>
    <n v="0.53383055000000001"/>
    <n v="0.65670297"/>
    <x v="0"/>
  </r>
  <r>
    <x v="12"/>
    <x v="1"/>
    <x v="10"/>
    <n v="-0.48900155000000001"/>
    <n v="0.26193063"/>
    <n v="0.35518885"/>
    <n v="0.76949703999999997"/>
    <x v="0"/>
  </r>
  <r>
    <x v="12"/>
    <x v="1"/>
    <x v="11"/>
    <n v="0.71133329999999995"/>
    <n v="0.18271612000000001"/>
    <n v="0.41246304"/>
    <n v="0.44263603000000001"/>
    <x v="0"/>
  </r>
  <r>
    <x v="12"/>
    <x v="1"/>
    <x v="12"/>
    <n v="-0.66152460000000002"/>
    <n v="9.4485920000000001E-2"/>
    <n v="0.27408113000000001"/>
    <n v="0.45984035000000001"/>
    <x v="0"/>
  </r>
  <r>
    <x v="12"/>
    <x v="1"/>
    <x v="13"/>
    <n v="-0.80511155999999995"/>
    <n v="6.4705620000000005E-2"/>
    <n v="0.28205491999999999"/>
    <n v="0.36804413000000002"/>
    <x v="0"/>
  </r>
  <r>
    <x v="12"/>
    <x v="2"/>
    <x v="0"/>
    <n v="0.80796058000000004"/>
    <n v="2.3315289999999999E-2"/>
    <n v="0.31445150999999999"/>
    <n v="0.11214441999999999"/>
    <x v="0"/>
  </r>
  <r>
    <x v="12"/>
    <x v="2"/>
    <x v="1"/>
    <n v="0.65309408000000002"/>
    <n v="9.0924050000000006E-2"/>
    <n v="0.10410562"/>
    <n v="0.48284886999999999"/>
    <x v="0"/>
  </r>
  <r>
    <x v="12"/>
    <x v="2"/>
    <x v="2"/>
    <n v="0.32345462000000003"/>
    <n v="0.33489231000000003"/>
    <n v="0.11063895999999999"/>
    <n v="0.63723465000000001"/>
    <x v="0"/>
  </r>
  <r>
    <x v="12"/>
    <x v="2"/>
    <x v="3"/>
    <n v="-0.15643593"/>
    <n v="0.77915975999999998"/>
    <n v="0.19998614000000001"/>
    <n v="0.57456494999999996"/>
    <x v="0"/>
  </r>
  <r>
    <x v="12"/>
    <x v="2"/>
    <x v="4"/>
    <n v="-0.27255114000000003"/>
    <n v="0.63952416000000001"/>
    <n v="0.20580925999999999"/>
    <n v="0.56007258000000004"/>
    <x v="0"/>
  </r>
  <r>
    <x v="12"/>
    <x v="2"/>
    <x v="5"/>
    <n v="-0.86832617999999995"/>
    <n v="6.7320820000000003E-2"/>
    <n v="0.12116143"/>
    <n v="8.2680130000000004E-2"/>
    <x v="0"/>
  </r>
  <r>
    <x v="12"/>
    <x v="2"/>
    <x v="6"/>
    <n v="0.76592605000000002"/>
    <n v="9.662635E-2"/>
    <n v="0.12556223999999999"/>
    <n v="8.6791980000000005E-2"/>
    <x v="0"/>
  </r>
  <r>
    <x v="12"/>
    <x v="2"/>
    <x v="7"/>
    <n v="0.77085183000000002"/>
    <n v="9.6555669999999996E-2"/>
    <n v="0.12632684"/>
    <n v="8.6405129999999997E-2"/>
    <x v="0"/>
  </r>
  <r>
    <x v="12"/>
    <x v="2"/>
    <x v="8"/>
    <n v="0.32179189000000002"/>
    <n v="0.33973706999999997"/>
    <n v="0.11138494"/>
    <n v="0.63726285000000005"/>
    <x v="0"/>
  </r>
  <r>
    <x v="12"/>
    <x v="2"/>
    <x v="9"/>
    <n v="0.29247425999999999"/>
    <n v="0.56519814000000002"/>
    <n v="0.17792725000000001"/>
    <n v="0.60825225000000005"/>
    <x v="0"/>
  </r>
  <r>
    <x v="12"/>
    <x v="2"/>
    <x v="10"/>
    <n v="-0.69049534000000001"/>
    <n v="0.12555105999999999"/>
    <n v="0.12838253999999999"/>
    <n v="0.82692533999999995"/>
    <x v="0"/>
  </r>
  <r>
    <x v="12"/>
    <x v="2"/>
    <x v="11"/>
    <n v="0.64202758000000004"/>
    <n v="0.20452698"/>
    <n v="0.15575489000000001"/>
    <n v="0.44462621000000002"/>
    <x v="0"/>
  </r>
  <r>
    <x v="12"/>
    <x v="2"/>
    <x v="12"/>
    <n v="-0.77976783000000005"/>
    <n v="9.7162600000000002E-2"/>
    <n v="0.12816047999999999"/>
    <n v="0.28494144999999999"/>
    <x v="0"/>
  </r>
  <r>
    <x v="12"/>
    <x v="2"/>
    <x v="13"/>
    <n v="-0.86436858999999999"/>
    <n v="6.8817500000000004E-2"/>
    <n v="0.12175672999999999"/>
    <n v="7.9093720000000006E-2"/>
    <x v="0"/>
  </r>
  <r>
    <x v="13"/>
    <x v="0"/>
    <x v="0"/>
    <n v="0.82234845999999995"/>
    <n v="2.5531760000000001E-2"/>
    <n v="0.30823903000000002"/>
    <n v="9.7497109999999998E-2"/>
    <x v="0"/>
  </r>
  <r>
    <x v="13"/>
    <x v="0"/>
    <x v="1"/>
    <n v="0.75714769000000004"/>
    <n v="2.364523E-2"/>
    <n v="9.9713640000000006E-2"/>
    <n v="0.43376934"/>
    <x v="0"/>
  </r>
  <r>
    <x v="13"/>
    <x v="0"/>
    <x v="2"/>
    <n v="0.75108421000000003"/>
    <n v="2.6945139999999999E-2"/>
    <n v="0.10308489999999999"/>
    <n v="0.43279634"/>
    <x v="0"/>
  </r>
  <r>
    <x v="13"/>
    <x v="0"/>
    <x v="3"/>
    <n v="0.77063846000000003"/>
    <n v="1.5802179999999999E-2"/>
    <n v="8.9700580000000002E-2"/>
    <n v="0.44550907000000001"/>
    <x v="0"/>
  </r>
  <r>
    <x v="13"/>
    <x v="0"/>
    <x v="4"/>
    <n v="0.77846093999999999"/>
    <n v="1.242128E-2"/>
    <n v="8.4366120000000003E-2"/>
    <n v="0.44897738999999998"/>
    <x v="0"/>
  </r>
  <r>
    <x v="13"/>
    <x v="0"/>
    <x v="5"/>
    <n v="-0.47050690000000001"/>
    <n v="0.29692731999999999"/>
    <n v="0.18393606000000001"/>
    <n v="0.46210074000000001"/>
    <x v="0"/>
  </r>
  <r>
    <x v="13"/>
    <x v="0"/>
    <x v="6"/>
    <n v="0.74201929"/>
    <n v="3.2868830000000002E-2"/>
    <n v="0.10859494"/>
    <n v="0.43744680000000002"/>
    <x v="0"/>
  </r>
  <r>
    <x v="13"/>
    <x v="0"/>
    <x v="7"/>
    <n v="0.74209172000000001"/>
    <n v="3.2797199999999999E-2"/>
    <n v="0.10852792"/>
    <n v="0.43747354999999999"/>
    <x v="0"/>
  </r>
  <r>
    <x v="13"/>
    <x v="0"/>
    <x v="8"/>
    <n v="0.75554319999999997"/>
    <n v="2.3993469999999999E-2"/>
    <n v="9.9959820000000005E-2"/>
    <n v="0.43412733999999997"/>
    <x v="0"/>
  </r>
  <r>
    <x v="13"/>
    <x v="0"/>
    <x v="9"/>
    <n v="0.72745689000000002"/>
    <n v="4.6994000000000001E-2"/>
    <n v="0.1201098"/>
    <n v="0.42355311000000001"/>
    <x v="0"/>
  </r>
  <r>
    <x v="13"/>
    <x v="0"/>
    <x v="10"/>
    <n v="0.73419416000000004"/>
    <n v="3.2205459999999998E-2"/>
    <n v="0.10673515"/>
    <n v="0.45589713999999998"/>
    <x v="0"/>
  </r>
  <r>
    <x v="13"/>
    <x v="0"/>
    <x v="11"/>
    <n v="0.76542401000000004"/>
    <n v="1.9319840000000001E-2"/>
    <n v="9.4688439999999999E-2"/>
    <n v="0.43499776000000001"/>
    <x v="0"/>
  </r>
  <r>
    <x v="13"/>
    <x v="0"/>
    <x v="12"/>
    <n v="0.75285648999999999"/>
    <n v="1.2547529999999999E-2"/>
    <n v="8.1833840000000005E-2"/>
    <n v="0.69996765999999999"/>
    <x v="0"/>
  </r>
  <r>
    <x v="13"/>
    <x v="0"/>
    <x v="13"/>
    <n v="-0.65468431000000005"/>
    <n v="0.12777582000000001"/>
    <n v="0.16002620000000001"/>
    <n v="0.41849535999999998"/>
    <x v="0"/>
  </r>
  <r>
    <x v="13"/>
    <x v="1"/>
    <x v="0"/>
    <n v="-0.75911927999999995"/>
    <n v="3.3008299999999998E-3"/>
    <n v="0.18428689000000001"/>
    <n v="0.28087243000000001"/>
    <x v="0"/>
  </r>
  <r>
    <x v="13"/>
    <x v="1"/>
    <x v="1"/>
    <n v="0.63370214000000002"/>
    <n v="0.14693629999999999"/>
    <n v="0.22034302"/>
    <n v="0.28355539000000002"/>
    <x v="0"/>
  </r>
  <r>
    <x v="13"/>
    <x v="1"/>
    <x v="2"/>
    <n v="0.64073963"/>
    <n v="0.14662459999999999"/>
    <n v="0.22256388999999999"/>
    <n v="0.28087287999999999"/>
    <x v="0"/>
  </r>
  <r>
    <x v="13"/>
    <x v="1"/>
    <x v="3"/>
    <n v="0.60588114999999998"/>
    <n v="0.14273409000000001"/>
    <n v="0.20778244000000001"/>
    <n v="0.29874405999999998"/>
    <x v="0"/>
  </r>
  <r>
    <x v="13"/>
    <x v="1"/>
    <x v="4"/>
    <n v="0.57495929999999995"/>
    <n v="0.14971464000000001"/>
    <n v="0.20172420999999999"/>
    <n v="0.30755484"/>
    <x v="0"/>
  </r>
  <r>
    <x v="13"/>
    <x v="1"/>
    <x v="5"/>
    <n v="-0.80437132"/>
    <n v="1.956111E-2"/>
    <n v="0.13314313"/>
    <n v="0.18073622"/>
    <x v="0"/>
  </r>
  <r>
    <x v="13"/>
    <x v="1"/>
    <x v="6"/>
    <n v="0.65822851999999998"/>
    <n v="0.14148032999999999"/>
    <n v="0.22479663"/>
    <n v="0.27615410000000001"/>
    <x v="0"/>
  </r>
  <r>
    <x v="13"/>
    <x v="1"/>
    <x v="7"/>
    <n v="0.65807731999999997"/>
    <n v="0.14151045000000001"/>
    <n v="0.22476752999999999"/>
    <n v="0.27625292000000001"/>
    <x v="0"/>
  </r>
  <r>
    <x v="13"/>
    <x v="1"/>
    <x v="8"/>
    <n v="0.62806211999999995"/>
    <n v="0.15054506000000001"/>
    <n v="0.22094438"/>
    <n v="0.28428874999999998"/>
    <x v="0"/>
  </r>
  <r>
    <x v="13"/>
    <x v="1"/>
    <x v="9"/>
    <n v="0.67684787999999996"/>
    <n v="0.12862158000000001"/>
    <n v="0.22119003000000001"/>
    <n v="0.27120005000000003"/>
    <x v="0"/>
  </r>
  <r>
    <x v="13"/>
    <x v="1"/>
    <x v="10"/>
    <n v="0.62953528999999997"/>
    <n v="0.15466363"/>
    <n v="0.22438659"/>
    <n v="0.28618798000000001"/>
    <x v="0"/>
  </r>
  <r>
    <x v="13"/>
    <x v="1"/>
    <x v="11"/>
    <n v="0.62127619000000001"/>
    <n v="0.14720906"/>
    <n v="0.21621424"/>
    <n v="0.28862945000000001"/>
    <x v="0"/>
  </r>
  <r>
    <x v="13"/>
    <x v="1"/>
    <x v="12"/>
    <n v="0.18956801000000001"/>
    <n v="0.44929228999999998"/>
    <n v="0.14129654"/>
    <n v="0.53615701999999998"/>
    <x v="0"/>
  </r>
  <r>
    <x v="13"/>
    <x v="1"/>
    <x v="13"/>
    <n v="-0.78395197999999999"/>
    <n v="4.8337560000000002E-2"/>
    <n v="0.17423942000000001"/>
    <n v="0.25372929999999999"/>
    <x v="0"/>
  </r>
  <r>
    <x v="13"/>
    <x v="2"/>
    <x v="0"/>
    <n v="0.43250270000000002"/>
    <n v="0.29981481999999998"/>
    <n v="0.38904505"/>
    <n v="0.30817488999999998"/>
    <x v="0"/>
  </r>
  <r>
    <x v="13"/>
    <x v="2"/>
    <x v="1"/>
    <n v="0.94404111999999996"/>
    <n v="3.0738499999999999E-3"/>
    <n v="0.13248488999999999"/>
    <n v="0.21547942"/>
    <x v="0"/>
  </r>
  <r>
    <x v="13"/>
    <x v="2"/>
    <x v="2"/>
    <n v="0.94428824"/>
    <n v="2.8519499999999998E-3"/>
    <n v="0.12986805000000001"/>
    <n v="0.21571751"/>
    <x v="0"/>
  </r>
  <r>
    <x v="13"/>
    <x v="2"/>
    <x v="3"/>
    <n v="0.93565127000000003"/>
    <n v="3.0308000000000002E-3"/>
    <n v="0.13080832000000001"/>
    <n v="0.21667152000000001"/>
    <x v="0"/>
  </r>
  <r>
    <x v="13"/>
    <x v="2"/>
    <x v="4"/>
    <n v="0.92125319000000006"/>
    <n v="4.1514100000000003E-3"/>
    <n v="0.140293"/>
    <n v="0.21646197"/>
    <x v="0"/>
  </r>
  <r>
    <x v="13"/>
    <x v="2"/>
    <x v="5"/>
    <n v="-0.85129213999999997"/>
    <n v="1.9395329999999999E-2"/>
    <n v="0.20191634"/>
    <n v="0.32432756000000001"/>
    <x v="0"/>
  </r>
  <r>
    <x v="13"/>
    <x v="2"/>
    <x v="6"/>
    <n v="0.94914894000000005"/>
    <n v="2.45824E-3"/>
    <n v="0.12543003999999999"/>
    <n v="0.21608738"/>
    <x v="0"/>
  </r>
  <r>
    <x v="13"/>
    <x v="2"/>
    <x v="7"/>
    <n v="0.94910271999999996"/>
    <n v="2.4618999999999999E-3"/>
    <n v="0.125474"/>
    <n v="0.21608487000000001"/>
    <x v="0"/>
  </r>
  <r>
    <x v="13"/>
    <x v="2"/>
    <x v="8"/>
    <n v="0.93927077000000003"/>
    <n v="3.3089199999999999E-3"/>
    <n v="0.13446983000000001"/>
    <n v="0.21549033000000001"/>
    <x v="0"/>
  </r>
  <r>
    <x v="13"/>
    <x v="2"/>
    <x v="9"/>
    <n v="0.95084966000000004"/>
    <n v="1.2134400000000001E-3"/>
    <n v="0.10421904"/>
    <n v="0.22208116"/>
    <x v="0"/>
  </r>
  <r>
    <x v="13"/>
    <x v="2"/>
    <x v="10"/>
    <n v="0.92511891999999996"/>
    <n v="3.18579E-3"/>
    <n v="0.13109091"/>
    <n v="0.22229690999999999"/>
    <x v="0"/>
  </r>
  <r>
    <x v="13"/>
    <x v="2"/>
    <x v="11"/>
    <n v="0.941886"/>
    <n v="3.31299E-3"/>
    <n v="0.13488918"/>
    <n v="0.21552209"/>
    <x v="0"/>
  </r>
  <r>
    <x v="13"/>
    <x v="2"/>
    <x v="12"/>
    <n v="0.65472914999999998"/>
    <n v="1.9480250000000001E-2"/>
    <n v="0.155502"/>
    <n v="0.73923494000000001"/>
    <x v="0"/>
  </r>
  <r>
    <x v="13"/>
    <x v="2"/>
    <x v="13"/>
    <n v="-0.96840970999999998"/>
    <n v="4.6130999999999999E-4"/>
    <n v="8.2567199999999993E-2"/>
    <n v="0.21897211"/>
    <x v="0"/>
  </r>
  <r>
    <x v="14"/>
    <x v="0"/>
    <x v="0"/>
    <n v="0.21650278000000001"/>
    <n v="0.35957414999999998"/>
    <n v="0.24192340000000001"/>
    <n v="0.27097225000000003"/>
    <x v="0"/>
  </r>
  <r>
    <x v="14"/>
    <x v="0"/>
    <x v="1"/>
    <n v="0.23309092000000001"/>
    <n v="0.29477980999999998"/>
    <n v="0.22549612999999999"/>
    <n v="0.26009452999999999"/>
    <x v="0"/>
  </r>
  <r>
    <x v="14"/>
    <x v="0"/>
    <x v="2"/>
    <n v="0.18359395000000001"/>
    <n v="0.43477384000000002"/>
    <n v="0.24277879999999999"/>
    <n v="0.26911446999999999"/>
    <x v="0"/>
  </r>
  <r>
    <x v="14"/>
    <x v="0"/>
    <x v="3"/>
    <n v="0.22753301000000001"/>
    <n v="0.45764801999999999"/>
    <n v="0.31711761999999999"/>
    <n v="0.36069279999999998"/>
    <x v="0"/>
  </r>
  <r>
    <x v="14"/>
    <x v="0"/>
    <x v="4"/>
    <n v="0.32521950999999999"/>
    <n v="0.26880971999999997"/>
    <n v="0.29664010000000002"/>
    <n v="0.28538053000000002"/>
    <x v="0"/>
  </r>
  <r>
    <x v="14"/>
    <x v="0"/>
    <x v="5"/>
    <n v="-0.40094197999999998"/>
    <n v="0.22779537999999999"/>
    <n v="0.33228703999999998"/>
    <n v="0.29524329999999999"/>
    <x v="0"/>
  </r>
  <r>
    <x v="14"/>
    <x v="0"/>
    <x v="6"/>
    <n v="0.21650278000000001"/>
    <n v="0.35957414999999998"/>
    <n v="0.24192340000000001"/>
    <n v="0.27097225000000003"/>
    <x v="0"/>
  </r>
  <r>
    <x v="14"/>
    <x v="0"/>
    <x v="7"/>
    <n v="0.21427030999999999"/>
    <n v="0.36280794999999999"/>
    <n v="0.24115122999999999"/>
    <n v="0.27054727000000001"/>
    <x v="0"/>
  </r>
  <r>
    <x v="14"/>
    <x v="0"/>
    <x v="8"/>
    <n v="0.18510728000000001"/>
    <n v="0.42576995000000001"/>
    <n v="0.23982223"/>
    <n v="0.26849520999999998"/>
    <x v="0"/>
  </r>
  <r>
    <x v="14"/>
    <x v="0"/>
    <x v="9"/>
    <n v="5.0235090000000003E-2"/>
    <n v="0.84151904"/>
    <n v="0.26519276000000003"/>
    <n v="0.30339060000000001"/>
    <x v="0"/>
  </r>
  <r>
    <x v="14"/>
    <x v="0"/>
    <x v="10"/>
    <n v="9.9347439999999995E-2"/>
    <n v="0.66899474999999997"/>
    <n v="0.24395808999999999"/>
    <n v="0.27394297000000001"/>
    <x v="0"/>
  </r>
  <r>
    <x v="14"/>
    <x v="0"/>
    <x v="11"/>
    <n v="0.27432603"/>
    <n v="0.24126327"/>
    <n v="0.23473819000000001"/>
    <n v="0.26394462000000002"/>
    <x v="0"/>
  </r>
  <r>
    <x v="14"/>
    <x v="0"/>
    <x v="12"/>
    <n v="-0.31478305000000001"/>
    <n v="0.49772477999999998"/>
    <n v="0.48224444999999999"/>
    <n v="0.45323237999999999"/>
    <x v="0"/>
  </r>
  <r>
    <x v="14"/>
    <x v="0"/>
    <x v="13"/>
    <n v="-0.37960075999999998"/>
    <n v="0.23894941"/>
    <n v="0.32305430000000002"/>
    <n v="0.28059926000000002"/>
    <x v="0"/>
  </r>
  <r>
    <x v="14"/>
    <x v="1"/>
    <x v="0"/>
    <n v="-6.3052490000000003E-2"/>
    <n v="0.83057175000000005"/>
    <n v="0.28222720000000001"/>
    <n v="0.30919533999999999"/>
    <x v="0"/>
  </r>
  <r>
    <x v="14"/>
    <x v="1"/>
    <x v="1"/>
    <n v="-8.7951660000000001E-2"/>
    <n v="0.76176264000000005"/>
    <n v="0.27736295"/>
    <n v="0.30245256999999998"/>
    <x v="0"/>
  </r>
  <r>
    <x v="14"/>
    <x v="1"/>
    <x v="2"/>
    <n v="-3.1009269999999999E-2"/>
    <n v="0.91322274999999997"/>
    <n v="0.27287947000000001"/>
    <n v="0.30536466000000001"/>
    <x v="0"/>
  </r>
  <r>
    <x v="14"/>
    <x v="1"/>
    <x v="3"/>
    <n v="-0.22366386999999999"/>
    <n v="0.52469562000000003"/>
    <n v="0.33217500999999999"/>
    <n v="0.36699479000000002"/>
    <x v="0"/>
  </r>
  <r>
    <x v="14"/>
    <x v="1"/>
    <x v="4"/>
    <n v="-0.19309182"/>
    <n v="0.63778362"/>
    <n v="0.39018648"/>
    <n v="0.35715809999999998"/>
    <x v="0"/>
  </r>
  <r>
    <x v="14"/>
    <x v="1"/>
    <x v="5"/>
    <n v="0.34592404999999998"/>
    <n v="0.3712163"/>
    <n v="0.35997485000000001"/>
    <n v="0.31638554000000002"/>
    <x v="0"/>
  </r>
  <r>
    <x v="14"/>
    <x v="1"/>
    <x v="6"/>
    <n v="-6.3052490000000003E-2"/>
    <n v="0.83057175000000005"/>
    <n v="0.28222720000000001"/>
    <n v="0.30919533999999999"/>
    <x v="0"/>
  </r>
  <r>
    <x v="14"/>
    <x v="1"/>
    <x v="7"/>
    <n v="-6.147325E-2"/>
    <n v="0.83383859000000005"/>
    <n v="0.28066954"/>
    <n v="0.30848938999999997"/>
    <x v="0"/>
  </r>
  <r>
    <x v="14"/>
    <x v="1"/>
    <x v="8"/>
    <n v="-2.167285E-2"/>
    <n v="0.93902176999999998"/>
    <n v="0.27174463999999998"/>
    <n v="0.30540866"/>
    <x v="0"/>
  </r>
  <r>
    <x v="14"/>
    <x v="1"/>
    <x v="9"/>
    <n v="0.15750188000000001"/>
    <n v="0.54297178999999995"/>
    <n v="0.24492715000000001"/>
    <n v="0.32140192000000001"/>
    <x v="0"/>
  </r>
  <r>
    <x v="14"/>
    <x v="1"/>
    <x v="10"/>
    <n v="7.3089189999999998E-2"/>
    <n v="0.76245521000000005"/>
    <n v="0.2311907"/>
    <n v="0.30532137999999998"/>
    <x v="0"/>
  </r>
  <r>
    <x v="14"/>
    <x v="1"/>
    <x v="11"/>
    <n v="-0.14559573000000001"/>
    <n v="0.66324534000000002"/>
    <n v="0.31849145000000001"/>
    <n v="0.32908246000000002"/>
    <x v="0"/>
  </r>
  <r>
    <x v="14"/>
    <x v="1"/>
    <x v="12"/>
    <n v="0.15490882"/>
    <n v="0.75223242999999995"/>
    <n v="0.46899055000000001"/>
    <n v="0.46317715999999998"/>
    <x v="0"/>
  </r>
  <r>
    <x v="14"/>
    <x v="1"/>
    <x v="13"/>
    <n v="0.30562989000000002"/>
    <n v="0.42083335999999999"/>
    <n v="0.35536421000000001"/>
    <n v="0.31252683999999997"/>
    <x v="0"/>
  </r>
  <r>
    <x v="14"/>
    <x v="2"/>
    <x v="0"/>
    <n v="0.32699648999999997"/>
    <n v="0.17199009000000001"/>
    <n v="0.22666906000000001"/>
    <n v="0.28696157999999999"/>
    <x v="0"/>
  </r>
  <r>
    <x v="14"/>
    <x v="2"/>
    <x v="1"/>
    <n v="0.33313871"/>
    <n v="0.14279441000000001"/>
    <n v="0.21283236"/>
    <n v="0.28841211999999999"/>
    <x v="0"/>
  </r>
  <r>
    <x v="14"/>
    <x v="2"/>
    <x v="2"/>
    <n v="0.29845735000000001"/>
    <n v="0.22068107000000001"/>
    <n v="0.23407062000000001"/>
    <n v="0.28147833999999999"/>
    <x v="0"/>
  </r>
  <r>
    <x v="14"/>
    <x v="2"/>
    <x v="3"/>
    <n v="0.19532707999999999"/>
    <n v="0.49941119"/>
    <n v="0.28923918999999998"/>
    <n v="0.37992145999999999"/>
    <x v="0"/>
  </r>
  <r>
    <x v="14"/>
    <x v="2"/>
    <x v="4"/>
    <n v="0.39848889999999998"/>
    <n v="5.8952270000000001E-2"/>
    <n v="0.18653375"/>
    <n v="0.33361465000000001"/>
    <x v="0"/>
  </r>
  <r>
    <x v="14"/>
    <x v="2"/>
    <x v="5"/>
    <n v="-0.38961384999999998"/>
    <n v="0.20208983999999999"/>
    <n v="0.29190608000000001"/>
    <n v="0.31113004999999999"/>
    <x v="0"/>
  </r>
  <r>
    <x v="14"/>
    <x v="2"/>
    <x v="6"/>
    <n v="0.32699648999999997"/>
    <n v="0.17199009000000001"/>
    <n v="0.22666906000000001"/>
    <n v="0.28696157999999999"/>
    <x v="0"/>
  </r>
  <r>
    <x v="14"/>
    <x v="2"/>
    <x v="7"/>
    <n v="0.32450020000000002"/>
    <n v="0.17598029000000001"/>
    <n v="0.22734103"/>
    <n v="0.28722302"/>
    <x v="0"/>
  </r>
  <r>
    <x v="14"/>
    <x v="2"/>
    <x v="8"/>
    <n v="0.30995676999999999"/>
    <n v="0.19731414999999999"/>
    <n v="0.22945625"/>
    <n v="0.27973682"/>
    <x v="0"/>
  </r>
  <r>
    <x v="14"/>
    <x v="2"/>
    <x v="9"/>
    <n v="0.23808602000000001"/>
    <n v="0.35133616000000001"/>
    <n v="0.25147461999999998"/>
    <n v="0.28339863999999998"/>
    <x v="0"/>
  </r>
  <r>
    <x v="14"/>
    <x v="2"/>
    <x v="10"/>
    <n v="0.24619353999999999"/>
    <n v="0.29418588000000001"/>
    <n v="0.22897292"/>
    <n v="0.26085152"/>
    <x v="0"/>
  </r>
  <r>
    <x v="14"/>
    <x v="2"/>
    <x v="11"/>
    <n v="0.35241299999999998"/>
    <n v="8.0330830000000006E-2"/>
    <n v="0.18188874999999999"/>
    <n v="0.30433690000000002"/>
    <x v="0"/>
  </r>
  <r>
    <x v="14"/>
    <x v="2"/>
    <x v="12"/>
    <n v="-0.41584497999999998"/>
    <n v="0.30636745999999998"/>
    <n v="0.39746389999999998"/>
    <n v="0.39501967999999998"/>
    <x v="0"/>
  </r>
  <r>
    <x v="14"/>
    <x v="2"/>
    <x v="13"/>
    <n v="-0.38949607000000003"/>
    <n v="0.19276567"/>
    <n v="0.28503156000000002"/>
    <n v="0.29953141"/>
    <x v="0"/>
  </r>
  <r>
    <x v="15"/>
    <x v="0"/>
    <x v="0"/>
    <n v="0.12804051999999999"/>
    <n v="0.75615966999999995"/>
    <n v="0.39044335000000002"/>
    <n v="0.39033922999999998"/>
    <x v="0"/>
  </r>
  <r>
    <x v="15"/>
    <x v="0"/>
    <x v="1"/>
    <n v="9.5007949999999994E-2"/>
    <n v="0.80915247999999995"/>
    <n v="0.37303218999999999"/>
    <n v="0.3823722"/>
    <x v="0"/>
  </r>
  <r>
    <x v="15"/>
    <x v="0"/>
    <x v="2"/>
    <n v="0.10386561"/>
    <n v="0.80249976999999995"/>
    <n v="0.39373511"/>
    <n v="0.39848635999999998"/>
    <x v="0"/>
  </r>
  <r>
    <x v="15"/>
    <x v="0"/>
    <x v="3"/>
    <n v="7.5200799999999998E-2"/>
    <n v="0.83637145000000002"/>
    <n v="0.34547870000000003"/>
    <n v="0.38075615000000002"/>
    <x v="0"/>
  </r>
  <r>
    <x v="15"/>
    <x v="0"/>
    <x v="4"/>
    <n v="-0.56822132999999997"/>
    <n v="4.8818380000000001E-2"/>
    <n v="0.23503697000000001"/>
    <n v="0.35343478"/>
    <x v="0"/>
  </r>
  <r>
    <x v="15"/>
    <x v="0"/>
    <x v="5"/>
    <n v="0.21908491999999999"/>
    <n v="0.56624227000000005"/>
    <n v="0.35848784"/>
    <n v="0.37643693"/>
    <x v="0"/>
  </r>
  <r>
    <x v="15"/>
    <x v="0"/>
    <x v="6"/>
    <n v="0.12804051999999999"/>
    <n v="0.75615966999999995"/>
    <n v="0.39044335000000002"/>
    <n v="0.39033922999999998"/>
    <x v="0"/>
  </r>
  <r>
    <x v="15"/>
    <x v="0"/>
    <x v="7"/>
    <n v="0.15575386999999999"/>
    <n v="0.70410669999999997"/>
    <n v="0.38763787999999999"/>
    <n v="0.38387760999999998"/>
    <x v="0"/>
  </r>
  <r>
    <x v="15"/>
    <x v="0"/>
    <x v="8"/>
    <n v="8.6251229999999998E-2"/>
    <n v="0.83492792000000005"/>
    <n v="0.39271889999999998"/>
    <n v="0.40207682"/>
    <x v="0"/>
  </r>
  <r>
    <x v="15"/>
    <x v="0"/>
    <x v="9"/>
    <n v="6.7721829999999997E-2"/>
    <n v="0.87286598000000004"/>
    <n v="0.40182234"/>
    <n v="0.41939543000000001"/>
    <x v="0"/>
  </r>
  <r>
    <x v="15"/>
    <x v="0"/>
    <x v="10"/>
    <n v="-5.0940880000000001E-2"/>
    <n v="0.88831309000000003"/>
    <n v="0.34447097999999998"/>
    <n v="0.43290694000000002"/>
    <x v="0"/>
  </r>
  <r>
    <x v="15"/>
    <x v="0"/>
    <x v="11"/>
    <n v="1.6879669999999999E-2"/>
    <n v="0.95988145000000002"/>
    <n v="0.31888385000000002"/>
    <n v="0.35471643000000003"/>
    <x v="0"/>
  </r>
  <r>
    <x v="15"/>
    <x v="0"/>
    <x v="12"/>
    <n v="0.11486282"/>
    <n v="0.71293275"/>
    <n v="0.29518540999999998"/>
    <n v="0.33330029999999999"/>
    <x v="0"/>
  </r>
  <r>
    <x v="15"/>
    <x v="0"/>
    <x v="13"/>
    <n v="2.786601E-2"/>
    <n v="0.93609423000000003"/>
    <n v="0.33021929"/>
    <n v="0.37123949000000001"/>
    <x v="0"/>
  </r>
  <r>
    <x v="15"/>
    <x v="1"/>
    <x v="0"/>
    <n v="-0.45151227999999999"/>
    <n v="0.15551103999999999"/>
    <n v="0.32611501999999998"/>
    <n v="0.32344977000000003"/>
    <x v="0"/>
  </r>
  <r>
    <x v="15"/>
    <x v="1"/>
    <x v="1"/>
    <n v="-0.43317313000000002"/>
    <n v="0.19876541"/>
    <n v="0.35083596"/>
    <n v="0.33318590999999997"/>
    <x v="0"/>
  </r>
  <r>
    <x v="15"/>
    <x v="1"/>
    <x v="2"/>
    <n v="-0.41928989"/>
    <n v="0.19753367999999999"/>
    <n v="0.33853934000000002"/>
    <n v="0.33770394999999997"/>
    <x v="0"/>
  </r>
  <r>
    <x v="15"/>
    <x v="1"/>
    <x v="3"/>
    <n v="-0.43058543999999999"/>
    <n v="0.29872063999999998"/>
    <n v="0.44100645999999999"/>
    <n v="0.38019422000000003"/>
    <x v="0"/>
  </r>
  <r>
    <x v="15"/>
    <x v="1"/>
    <x v="4"/>
    <n v="3.0582700000000001E-3"/>
    <n v="0.99382221000000004"/>
    <n v="0.43816646999999997"/>
    <n v="0.41799972000000002"/>
    <x v="0"/>
  </r>
  <r>
    <x v="15"/>
    <x v="1"/>
    <x v="5"/>
    <n v="-0.21207103999999999"/>
    <n v="0.55856912000000003"/>
    <n v="0.39697526"/>
    <n v="0.34588261999999997"/>
    <x v="0"/>
  </r>
  <r>
    <x v="15"/>
    <x v="1"/>
    <x v="6"/>
    <n v="-0.45151227999999999"/>
    <n v="0.15551103999999999"/>
    <n v="0.32611501999999998"/>
    <n v="0.32344977000000003"/>
    <x v="0"/>
  </r>
  <r>
    <x v="15"/>
    <x v="1"/>
    <x v="7"/>
    <n v="-0.43362054"/>
    <n v="0.19224914000000001"/>
    <n v="0.34544849"/>
    <n v="0.32525407000000001"/>
    <x v="0"/>
  </r>
  <r>
    <x v="15"/>
    <x v="1"/>
    <x v="8"/>
    <n v="-0.42342769000000002"/>
    <n v="0.18939054999999999"/>
    <n v="0.33487031"/>
    <n v="0.34118212999999997"/>
    <x v="0"/>
  </r>
  <r>
    <x v="15"/>
    <x v="1"/>
    <x v="9"/>
    <n v="-0.37976010999999998"/>
    <n v="0.24512489000000001"/>
    <n v="0.34410632000000002"/>
    <n v="0.36721246000000002"/>
    <x v="0"/>
  </r>
  <r>
    <x v="15"/>
    <x v="1"/>
    <x v="10"/>
    <n v="-0.45759989000000001"/>
    <n v="7.6485910000000004E-2"/>
    <n v="0.25333170999999999"/>
    <n v="0.36996590000000001"/>
    <x v="0"/>
  </r>
  <r>
    <x v="15"/>
    <x v="1"/>
    <x v="11"/>
    <n v="-0.42241929"/>
    <n v="0.23561091000000001"/>
    <n v="0.37427607000000002"/>
    <n v="0.33893063000000001"/>
    <x v="0"/>
  </r>
  <r>
    <x v="15"/>
    <x v="1"/>
    <x v="12"/>
    <n v="-0.27079979999999998"/>
    <n v="0.57375337999999998"/>
    <n v="0.52764509000000004"/>
    <n v="0.42220385999999999"/>
    <x v="0"/>
  </r>
  <r>
    <x v="15"/>
    <x v="1"/>
    <x v="13"/>
    <n v="0.28464549"/>
    <n v="0.43048386999999999"/>
    <n v="0.3911519"/>
    <n v="0.34018061999999999"/>
    <x v="0"/>
  </r>
  <r>
    <x v="15"/>
    <x v="2"/>
    <x v="0"/>
    <n v="-0.26901100999999999"/>
    <n v="0.58061852000000003"/>
    <n v="0.44415939999999998"/>
    <n v="0.47729789"/>
    <x v="0"/>
  </r>
  <r>
    <x v="15"/>
    <x v="2"/>
    <x v="1"/>
    <n v="-0.28383999999999998"/>
    <n v="0.55729784000000004"/>
    <n v="0.44053111"/>
    <n v="0.47472079"/>
    <x v="0"/>
  </r>
  <r>
    <x v="15"/>
    <x v="2"/>
    <x v="2"/>
    <n v="-0.26372825999999999"/>
    <n v="0.59491519000000004"/>
    <n v="0.45282167000000001"/>
    <n v="0.49473826999999998"/>
    <x v="0"/>
  </r>
  <r>
    <x v="15"/>
    <x v="2"/>
    <x v="3"/>
    <n v="-0.29994852"/>
    <n v="0.54322466000000003"/>
    <n v="0.44895499"/>
    <n v="0.47699965"/>
    <x v="0"/>
  </r>
  <r>
    <x v="15"/>
    <x v="2"/>
    <x v="4"/>
    <n v="-0.52320292000000002"/>
    <n v="6.6979220000000006E-2"/>
    <n v="0.23095598000000001"/>
    <n v="0.29467438000000001"/>
    <x v="0"/>
  </r>
  <r>
    <x v="15"/>
    <x v="2"/>
    <x v="5"/>
    <n v="2.0734969999999998E-2"/>
    <n v="0.95223663000000003"/>
    <n v="0.31941414000000001"/>
    <n v="0.42854700000000001"/>
    <x v="0"/>
  </r>
  <r>
    <x v="15"/>
    <x v="2"/>
    <x v="6"/>
    <n v="-0.26901100999999999"/>
    <n v="0.58061852000000003"/>
    <n v="0.44415939999999998"/>
    <n v="0.47729789"/>
    <x v="0"/>
  </r>
  <r>
    <x v="15"/>
    <x v="2"/>
    <x v="7"/>
    <n v="-0.22801018000000001"/>
    <n v="0.63899384000000004"/>
    <n v="0.44481472999999999"/>
    <n v="0.46702845999999998"/>
    <x v="0"/>
  </r>
  <r>
    <x v="15"/>
    <x v="2"/>
    <x v="8"/>
    <n v="-0.28357960999999998"/>
    <n v="0.56668426999999999"/>
    <n v="0.45109670000000002"/>
    <n v="0.50310650000000001"/>
    <x v="0"/>
  </r>
  <r>
    <x v="15"/>
    <x v="2"/>
    <x v="9"/>
    <n v="-0.26324999999999998"/>
    <n v="0.60429873000000001"/>
    <n v="0.46402426000000002"/>
    <n v="0.53830893000000002"/>
    <x v="0"/>
  </r>
  <r>
    <x v="15"/>
    <x v="2"/>
    <x v="10"/>
    <n v="-0.43986347999999997"/>
    <n v="0.29363255999999999"/>
    <n v="0.37051024999999999"/>
    <n v="0.58330585000000001"/>
    <x v="0"/>
  </r>
  <r>
    <x v="15"/>
    <x v="2"/>
    <x v="11"/>
    <n v="-0.34691008000000001"/>
    <n v="0.45124228999999999"/>
    <n v="0.41586358000000001"/>
    <n v="0.44651058999999999"/>
    <x v="0"/>
  </r>
  <r>
    <x v="15"/>
    <x v="2"/>
    <x v="12"/>
    <n v="-0.12611373000000001"/>
    <n v="0.77597132000000002"/>
    <n v="0.40771810000000003"/>
    <n v="0.45059574000000002"/>
    <x v="0"/>
  </r>
  <r>
    <x v="15"/>
    <x v="2"/>
    <x v="13"/>
    <n v="0.27007658000000001"/>
    <n v="0.569434"/>
    <n v="0.43275686000000002"/>
    <n v="0.44722265"/>
    <x v="0"/>
  </r>
  <r>
    <x v="16"/>
    <x v="0"/>
    <x v="0"/>
    <n v="0.39884871"/>
    <n v="0.21705002000000001"/>
    <n v="0.34441221999999999"/>
    <n v="0.30952495000000002"/>
    <x v="0"/>
  </r>
  <r>
    <x v="16"/>
    <x v="0"/>
    <x v="1"/>
    <n v="0.37684255"/>
    <n v="0.24769447"/>
    <n v="0.35005237"/>
    <n v="0.31306300999999997"/>
    <x v="0"/>
  </r>
  <r>
    <x v="16"/>
    <x v="0"/>
    <x v="2"/>
    <n v="0.42793229999999999"/>
    <n v="0.19134244"/>
    <n v="0.34659533999999997"/>
    <n v="0.30978928"/>
    <x v="0"/>
  </r>
  <r>
    <x v="16"/>
    <x v="0"/>
    <x v="3"/>
    <n v="0.25007998999999997"/>
    <n v="0.45930271"/>
    <n v="0.37413629999999998"/>
    <n v="0.33380878000000003"/>
    <x v="0"/>
  </r>
  <r>
    <x v="16"/>
    <x v="0"/>
    <x v="4"/>
    <n v="-0.15302009999999999"/>
    <n v="0.62134352000000004"/>
    <n v="0.34696688999999997"/>
    <n v="0.30572839000000002"/>
    <x v="0"/>
  </r>
  <r>
    <x v="16"/>
    <x v="0"/>
    <x v="5"/>
    <n v="-0.84841180999999999"/>
    <n v="3.3565999999999999E-4"/>
    <n v="0.15300986"/>
    <n v="0.10498569000000001"/>
    <x v="0"/>
  </r>
  <r>
    <x v="16"/>
    <x v="0"/>
    <x v="6"/>
    <n v="0.39884871"/>
    <n v="0.21705002000000001"/>
    <n v="0.34441221999999999"/>
    <n v="0.30952495000000002"/>
    <x v="0"/>
  </r>
  <r>
    <x v="16"/>
    <x v="0"/>
    <x v="7"/>
    <n v="0.39939692999999998"/>
    <n v="0.21564589000000001"/>
    <n v="0.34370698999999999"/>
    <n v="0.30913351"/>
    <x v="0"/>
  </r>
  <r>
    <x v="16"/>
    <x v="0"/>
    <x v="8"/>
    <n v="0.42764311999999999"/>
    <n v="0.19133138"/>
    <n v="0.34635132000000002"/>
    <n v="0.30953291999999999"/>
    <x v="0"/>
  </r>
  <r>
    <x v="16"/>
    <x v="0"/>
    <x v="9"/>
    <n v="0.33806946999999998"/>
    <n v="0.36708550000000001"/>
    <n v="0.41073468000000002"/>
    <n v="0.35053635"/>
    <x v="0"/>
  </r>
  <r>
    <x v="16"/>
    <x v="0"/>
    <x v="10"/>
    <n v="0.44893258000000003"/>
    <n v="0.22513058999999999"/>
    <n v="0.39531526"/>
    <n v="0.33875117999999999"/>
    <x v="0"/>
  </r>
  <r>
    <x v="16"/>
    <x v="0"/>
    <x v="11"/>
    <n v="0.30439368999999999"/>
    <n v="0.35255660999999999"/>
    <n v="0.35810065000000002"/>
    <n v="0.32054422999999999"/>
    <x v="0"/>
  </r>
  <r>
    <x v="16"/>
    <x v="0"/>
    <x v="12"/>
    <n v="-0.73836553999999999"/>
    <n v="4.0601999999999999E-4"/>
    <n v="0.13739214999999999"/>
    <n v="0.16314587999999999"/>
    <x v="0"/>
  </r>
  <r>
    <x v="16"/>
    <x v="0"/>
    <x v="13"/>
    <n v="-0.75111338000000005"/>
    <n v="4.1101499999999999E-3"/>
    <n v="0.21022488"/>
    <n v="0.13891376999999999"/>
    <x v="0"/>
  </r>
  <r>
    <x v="16"/>
    <x v="1"/>
    <x v="0"/>
    <n v="0.66312592000000004"/>
    <n v="4.2882160000000002E-2"/>
    <n v="0.2487829"/>
    <n v="0.24895579000000001"/>
    <x v="0"/>
  </r>
  <r>
    <x v="16"/>
    <x v="1"/>
    <x v="1"/>
    <n v="0.64688159000000001"/>
    <n v="5.0925030000000003E-2"/>
    <n v="0.25476565000000001"/>
    <n v="0.25858730000000002"/>
    <x v="0"/>
  </r>
  <r>
    <x v="16"/>
    <x v="1"/>
    <x v="2"/>
    <n v="0.65441015999999996"/>
    <n v="4.6529609999999999E-2"/>
    <n v="0.25117386000000003"/>
    <n v="0.24636853"/>
    <x v="0"/>
  </r>
  <r>
    <x v="16"/>
    <x v="1"/>
    <x v="3"/>
    <n v="0.65314565000000002"/>
    <n v="5.1488590000000001E-2"/>
    <n v="0.25805309999999998"/>
    <n v="0.30459700000000001"/>
    <x v="0"/>
  </r>
  <r>
    <x v="16"/>
    <x v="1"/>
    <x v="4"/>
    <n v="0.40512241999999998"/>
    <n v="0.26385585"/>
    <n v="0.30895558000000001"/>
    <n v="0.40984384000000001"/>
    <x v="0"/>
  </r>
  <r>
    <x v="16"/>
    <x v="1"/>
    <x v="5"/>
    <n v="-0.24440877999999999"/>
    <n v="0.46573635000000002"/>
    <n v="0.29352855999999999"/>
    <n v="0.35885399000000001"/>
    <x v="0"/>
  </r>
  <r>
    <x v="16"/>
    <x v="1"/>
    <x v="6"/>
    <n v="0.66312592000000004"/>
    <n v="4.2882160000000002E-2"/>
    <n v="0.2487829"/>
    <n v="0.24895579000000001"/>
    <x v="0"/>
  </r>
  <r>
    <x v="16"/>
    <x v="1"/>
    <x v="7"/>
    <n v="0.66170178000000002"/>
    <n v="4.3474690000000003E-2"/>
    <n v="0.24919362"/>
    <n v="0.24905441"/>
    <x v="0"/>
  </r>
  <r>
    <x v="16"/>
    <x v="1"/>
    <x v="8"/>
    <n v="0.65056267999999995"/>
    <n v="4.8619339999999997E-2"/>
    <n v="0.25282930999999997"/>
    <n v="0.24648111"/>
    <x v="0"/>
  </r>
  <r>
    <x v="16"/>
    <x v="1"/>
    <x v="9"/>
    <n v="0.72167687999999997"/>
    <n v="2.128683E-2"/>
    <n v="0.22631952999999999"/>
    <n v="0.22782899000000001"/>
    <x v="0"/>
  </r>
  <r>
    <x v="16"/>
    <x v="1"/>
    <x v="10"/>
    <n v="0.65968729999999998"/>
    <n v="4.4756270000000001E-2"/>
    <n v="0.25045214999999998"/>
    <n v="0.24279548000000001"/>
    <x v="0"/>
  </r>
  <r>
    <x v="16"/>
    <x v="1"/>
    <x v="11"/>
    <n v="0.62668818000000004"/>
    <n v="6.2612459999999995E-2"/>
    <n v="0.26245255000000001"/>
    <n v="0.28108250000000001"/>
    <x v="0"/>
  </r>
  <r>
    <x v="16"/>
    <x v="1"/>
    <x v="12"/>
    <n v="0.16635842000000001"/>
    <n v="0.67023487000000004"/>
    <n v="0.34685617000000002"/>
    <n v="0.39890984000000002"/>
    <x v="0"/>
  </r>
  <r>
    <x v="16"/>
    <x v="1"/>
    <x v="13"/>
    <n v="-0.45278444000000001"/>
    <n v="0.10252783"/>
    <n v="0.22339518"/>
    <n v="0.26572359000000001"/>
    <x v="0"/>
  </r>
  <r>
    <x v="16"/>
    <x v="2"/>
    <x v="0"/>
    <n v="0.55839954999999997"/>
    <n v="7.9201179999999996E-2"/>
    <n v="0.30855708999999998"/>
    <n v="0.25515124"/>
    <x v="0"/>
  </r>
  <r>
    <x v="16"/>
    <x v="2"/>
    <x v="1"/>
    <n v="0.53422384999999994"/>
    <n v="9.7785570000000002E-2"/>
    <n v="0.31730247"/>
    <n v="0.26314122000000001"/>
    <x v="0"/>
  </r>
  <r>
    <x v="16"/>
    <x v="2"/>
    <x v="2"/>
    <n v="0.58050778000000003"/>
    <n v="7.2023690000000001E-2"/>
    <n v="0.31102489999999999"/>
    <n v="0.25323257999999998"/>
    <x v="0"/>
  </r>
  <r>
    <x v="16"/>
    <x v="2"/>
    <x v="3"/>
    <n v="0.42751908"/>
    <n v="0.21121139999999999"/>
    <n v="0.35241740999999999"/>
    <n v="0.31121053999999998"/>
    <x v="0"/>
  </r>
  <r>
    <x v="16"/>
    <x v="2"/>
    <x v="4"/>
    <n v="8.3051999999999996E-4"/>
    <n v="0.99782530000000003"/>
    <n v="0.33356036999999999"/>
    <n v="0.30551054"/>
    <x v="0"/>
  </r>
  <r>
    <x v="16"/>
    <x v="2"/>
    <x v="5"/>
    <n v="-0.80753501999999999"/>
    <n v="8.9010000000000001E-4"/>
    <n v="0.16602539999999999"/>
    <n v="0.11530325"/>
    <x v="0"/>
  </r>
  <r>
    <x v="16"/>
    <x v="2"/>
    <x v="6"/>
    <n v="0.55839954999999997"/>
    <n v="7.9201179999999996E-2"/>
    <n v="0.30855708999999998"/>
    <n v="0.25515124"/>
    <x v="0"/>
  </r>
  <r>
    <x v="16"/>
    <x v="2"/>
    <x v="7"/>
    <n v="0.55840546999999996"/>
    <n v="7.8957390000000002E-2"/>
    <n v="0.30824673000000002"/>
    <n v="0.25497420999999998"/>
    <x v="0"/>
  </r>
  <r>
    <x v="16"/>
    <x v="2"/>
    <x v="8"/>
    <n v="0.57900510000000005"/>
    <n v="7.2942800000000002E-2"/>
    <n v="0.31148319000000002"/>
    <n v="0.25297913"/>
    <x v="0"/>
  </r>
  <r>
    <x v="16"/>
    <x v="2"/>
    <x v="9"/>
    <n v="0.52535063000000004"/>
    <n v="0.13078287999999999"/>
    <n v="0.34824905"/>
    <n v="0.26994477"/>
    <x v="0"/>
  </r>
  <r>
    <x v="16"/>
    <x v="2"/>
    <x v="10"/>
    <n v="0.60024434999999998"/>
    <n v="8.141118E-2"/>
    <n v="0.33472004999999999"/>
    <n v="0.26526145000000001"/>
    <x v="0"/>
  </r>
  <r>
    <x v="16"/>
    <x v="2"/>
    <x v="11"/>
    <n v="0.46548653000000001"/>
    <n v="0.15402065000000001"/>
    <n v="0.3303719"/>
    <n v="0.28128627"/>
    <x v="0"/>
  </r>
  <r>
    <x v="16"/>
    <x v="2"/>
    <x v="12"/>
    <n v="-0.57918396999999999"/>
    <n v="1.7706590000000001E-2"/>
    <n v="0.21300536"/>
    <n v="0.23324837000000001"/>
    <x v="0"/>
  </r>
  <r>
    <x v="16"/>
    <x v="2"/>
    <x v="13"/>
    <n v="-0.79201226999999996"/>
    <n v="4.6744400000000002E-3"/>
    <n v="0.22005754"/>
    <n v="0.10911413"/>
    <x v="0"/>
  </r>
  <r>
    <x v="17"/>
    <x v="0"/>
    <x v="0"/>
    <n v="0.55473897000000005"/>
    <n v="6.108131E-2"/>
    <n v="0.14980251999999999"/>
    <n v="0.23226927999999999"/>
    <x v="0"/>
  </r>
  <r>
    <x v="17"/>
    <x v="0"/>
    <x v="1"/>
    <n v="0.70107918999999996"/>
    <n v="4.5993449999999998E-2"/>
    <n v="0.15898398"/>
    <n v="0.24055035"/>
    <x v="0"/>
  </r>
  <r>
    <x v="17"/>
    <x v="0"/>
    <x v="2"/>
    <n v="0.70408625999999996"/>
    <n v="4.5567900000000001E-2"/>
    <n v="0.15922938"/>
    <n v="0.24500786999999999"/>
    <x v="0"/>
  </r>
  <r>
    <x v="17"/>
    <x v="0"/>
    <x v="3"/>
    <n v="0.76756853999999997"/>
    <n v="1.97699E-2"/>
    <n v="0.13853810999999999"/>
    <n v="0.21682728000000001"/>
    <x v="0"/>
  </r>
  <r>
    <x v="17"/>
    <x v="0"/>
    <x v="4"/>
    <n v="0.79606096999999998"/>
    <n v="1.43456E-2"/>
    <n v="0.13286036000000001"/>
    <n v="0.20969697000000001"/>
    <x v="0"/>
  </r>
  <r>
    <x v="17"/>
    <x v="0"/>
    <x v="5"/>
    <n v="-0.31732834999999998"/>
    <n v="0.24181533"/>
    <n v="0.13902876"/>
    <n v="0.27846504"/>
    <x v="0"/>
  </r>
  <r>
    <x v="17"/>
    <x v="0"/>
    <x v="6"/>
    <n v="0.67352886999999995"/>
    <n v="5.7293049999999998E-2"/>
    <n v="0.16324959"/>
    <n v="0.23328598"/>
    <x v="0"/>
  </r>
  <r>
    <x v="17"/>
    <x v="0"/>
    <x v="7"/>
    <n v="0.67733695999999999"/>
    <n v="5.2673680000000001E-2"/>
    <n v="0.15997327"/>
    <n v="0.24535578999999999"/>
    <x v="0"/>
  </r>
  <r>
    <x v="17"/>
    <x v="0"/>
    <x v="8"/>
    <n v="0.71090536999999998"/>
    <n v="4.3804860000000001E-2"/>
    <n v="0.15892453000000001"/>
    <n v="0.24474483999999999"/>
    <x v="0"/>
  </r>
  <r>
    <x v="17"/>
    <x v="0"/>
    <x v="9"/>
    <n v="0.66160277000000001"/>
    <n v="7.6915010000000006E-2"/>
    <n v="0.17646676"/>
    <n v="0.22758481"/>
    <x v="0"/>
  </r>
  <r>
    <x v="17"/>
    <x v="0"/>
    <x v="10"/>
    <n v="0.62300003999999998"/>
    <n v="9.3308929999999998E-2"/>
    <n v="0.177811"/>
    <n v="0.24683653"/>
    <x v="0"/>
  </r>
  <r>
    <x v="17"/>
    <x v="0"/>
    <x v="11"/>
    <n v="0.72149567999999997"/>
    <n v="3.7457999999999998E-2"/>
    <n v="0.15422168"/>
    <n v="0.23631447999999999"/>
    <x v="0"/>
  </r>
  <r>
    <x v="17"/>
    <x v="0"/>
    <x v="12"/>
    <n v="0.24096153000000001"/>
    <n v="0.56396597999999998"/>
    <n v="0.22455275"/>
    <n v="0.41615161000000001"/>
    <x v="0"/>
  </r>
  <r>
    <x v="17"/>
    <x v="0"/>
    <x v="13"/>
    <n v="-0.52692136999999994"/>
    <n v="0.15891938"/>
    <n v="0.18638829000000001"/>
    <n v="0.25390748000000002"/>
    <x v="0"/>
  </r>
  <r>
    <x v="17"/>
    <x v="1"/>
    <x v="0"/>
    <n v="0.48158644"/>
    <n v="0.10793543999999999"/>
    <n v="0.28114863000000001"/>
    <n v="0.30038207"/>
    <x v="0"/>
  </r>
  <r>
    <x v="17"/>
    <x v="1"/>
    <x v="1"/>
    <n v="0.48071121999999999"/>
    <n v="0.11700768"/>
    <n v="0.29957519999999999"/>
    <n v="0.31871435999999997"/>
    <x v="0"/>
  </r>
  <r>
    <x v="17"/>
    <x v="1"/>
    <x v="2"/>
    <n v="0.48127652999999998"/>
    <n v="0.11155772999999999"/>
    <n v="0.29439085999999998"/>
    <n v="0.31962765999999998"/>
    <x v="0"/>
  </r>
  <r>
    <x v="17"/>
    <x v="1"/>
    <x v="3"/>
    <n v="0.44317941"/>
    <n v="0.16240599999999999"/>
    <n v="0.31737796000000001"/>
    <n v="0.33093274"/>
    <x v="0"/>
  </r>
  <r>
    <x v="17"/>
    <x v="1"/>
    <x v="4"/>
    <n v="0.53522966000000005"/>
    <n v="7.3468320000000004E-2"/>
    <n v="0.28179286999999997"/>
    <n v="0.26656569000000002"/>
    <x v="0"/>
  </r>
  <r>
    <x v="17"/>
    <x v="1"/>
    <x v="5"/>
    <n v="-0.78341996000000003"/>
    <n v="1.0883240000000001E-2"/>
    <n v="0.24568704999999999"/>
    <n v="0.18396889"/>
    <x v="0"/>
  </r>
  <r>
    <x v="17"/>
    <x v="1"/>
    <x v="6"/>
    <n v="0.47650776"/>
    <n v="0.13014174000000001"/>
    <n v="0.30997135999999997"/>
    <n v="0.32276856999999998"/>
    <x v="0"/>
  </r>
  <r>
    <x v="17"/>
    <x v="1"/>
    <x v="7"/>
    <n v="0.46665740999999999"/>
    <n v="0.13147685000000001"/>
    <n v="0.30484697999999999"/>
    <n v="0.32198829000000001"/>
    <x v="0"/>
  </r>
  <r>
    <x v="17"/>
    <x v="1"/>
    <x v="8"/>
    <n v="0.48841916000000002"/>
    <n v="0.10710127999999999"/>
    <n v="0.29412071000000001"/>
    <n v="0.31854547999999999"/>
    <x v="0"/>
  </r>
  <r>
    <x v="17"/>
    <x v="1"/>
    <x v="9"/>
    <n v="0.56996617000000005"/>
    <n v="5.5793950000000002E-2"/>
    <n v="0.27466559000000002"/>
    <n v="0.28497804999999998"/>
    <x v="0"/>
  </r>
  <r>
    <x v="17"/>
    <x v="1"/>
    <x v="10"/>
    <n v="0.51098579"/>
    <n v="8.9845289999999994E-2"/>
    <n v="0.28840735000000001"/>
    <n v="0.32514534"/>
    <x v="0"/>
  </r>
  <r>
    <x v="17"/>
    <x v="1"/>
    <x v="11"/>
    <n v="0.48478515"/>
    <n v="0.11456164000000001"/>
    <n v="0.29961786000000001"/>
    <n v="0.31326936"/>
    <x v="0"/>
  </r>
  <r>
    <x v="17"/>
    <x v="1"/>
    <x v="12"/>
    <n v="-0.59104133000000003"/>
    <n v="0.11869066"/>
    <n v="0.37041847999999999"/>
    <n v="0.32656638999999998"/>
    <x v="0"/>
  </r>
  <r>
    <x v="17"/>
    <x v="1"/>
    <x v="13"/>
    <n v="-0.71658794999999997"/>
    <n v="1.389307E-2"/>
    <n v="0.23792551000000001"/>
    <n v="0.17921945"/>
    <x v="0"/>
  </r>
  <r>
    <x v="17"/>
    <x v="2"/>
    <x v="0"/>
    <n v="0.62814272000000004"/>
    <n v="1.400738E-2"/>
    <n v="0.16986598999999999"/>
    <n v="0.21974599"/>
    <x v="0"/>
  </r>
  <r>
    <x v="17"/>
    <x v="2"/>
    <x v="1"/>
    <n v="0.68586815999999995"/>
    <n v="1.74921E-2"/>
    <n v="0.19319417"/>
    <n v="0.29784994999999997"/>
    <x v="0"/>
  </r>
  <r>
    <x v="17"/>
    <x v="2"/>
    <x v="2"/>
    <n v="0.68795656999999999"/>
    <n v="1.6626100000000001E-2"/>
    <n v="0.19139167000000001"/>
    <n v="0.30430579000000002"/>
    <x v="0"/>
  </r>
  <r>
    <x v="17"/>
    <x v="2"/>
    <x v="3"/>
    <n v="0.70351469"/>
    <n v="1.6720180000000001E-2"/>
    <n v="0.19598926999999999"/>
    <n v="0.29954565999999999"/>
    <x v="0"/>
  </r>
  <r>
    <x v="17"/>
    <x v="2"/>
    <x v="4"/>
    <n v="0.77273988000000005"/>
    <n v="4.7251699999999999E-3"/>
    <n v="0.16186418999999999"/>
    <n v="0.24870026000000001"/>
    <x v="0"/>
  </r>
  <r>
    <x v="17"/>
    <x v="2"/>
    <x v="5"/>
    <n v="-0.63311176000000002"/>
    <n v="3.5536940000000003E-2"/>
    <n v="0.21451787"/>
    <n v="0.20624332000000001"/>
    <x v="0"/>
  </r>
  <r>
    <x v="17"/>
    <x v="2"/>
    <x v="6"/>
    <n v="0.66729088999999997"/>
    <n v="2.2948730000000001E-2"/>
    <n v="0.20120121999999999"/>
    <n v="0.29001786000000002"/>
    <x v="0"/>
  </r>
  <r>
    <x v="17"/>
    <x v="2"/>
    <x v="7"/>
    <n v="0.66391020999999995"/>
    <n v="2.1173379999999999E-2"/>
    <n v="0.19612044000000001"/>
    <n v="0.29952617999999998"/>
    <x v="0"/>
  </r>
  <r>
    <x v="17"/>
    <x v="2"/>
    <x v="8"/>
    <n v="0.69603451000000005"/>
    <n v="1.5416900000000001E-2"/>
    <n v="0.19012920999999999"/>
    <n v="0.30398689000000001"/>
    <x v="0"/>
  </r>
  <r>
    <x v="17"/>
    <x v="2"/>
    <x v="9"/>
    <n v="0.71358138999999998"/>
    <n v="2.0148019999999999E-2"/>
    <n v="0.20817448999999999"/>
    <n v="0.25859411999999998"/>
    <x v="0"/>
  </r>
  <r>
    <x v="17"/>
    <x v="2"/>
    <x v="10"/>
    <n v="0.65727652999999997"/>
    <n v="2.808565E-2"/>
    <n v="0.20890557000000001"/>
    <n v="0.30214550000000001"/>
    <x v="0"/>
  </r>
  <r>
    <x v="17"/>
    <x v="2"/>
    <x v="11"/>
    <n v="0.70018188000000003"/>
    <n v="1.458548E-2"/>
    <n v="0.18873429999999999"/>
    <n v="0.29232225000000001"/>
    <x v="0"/>
  </r>
  <r>
    <x v="17"/>
    <x v="2"/>
    <x v="12"/>
    <n v="-0.19552523999999999"/>
    <n v="0.64006220999999996"/>
    <n v="0.36352525000000002"/>
    <n v="0.44716721999999998"/>
    <x v="0"/>
  </r>
  <r>
    <x v="17"/>
    <x v="2"/>
    <x v="13"/>
    <n v="-0.71809438000000003"/>
    <n v="2.704633E-2"/>
    <n v="0.22596843"/>
    <n v="0.14030753000000001"/>
    <x v="0"/>
  </r>
  <r>
    <x v="18"/>
    <x v="0"/>
    <x v="0"/>
    <n v="0.3842235"/>
    <n v="3.8129999999999998E-8"/>
    <n v="6.6793619999999998E-2"/>
    <n v="5.7817819999999999E-2"/>
    <x v="0"/>
  </r>
  <r>
    <x v="18"/>
    <x v="0"/>
    <x v="1"/>
    <n v="0.35060788999999998"/>
    <n v="2.9119999999999998E-6"/>
    <n v="6.6346470000000005E-2"/>
    <n v="7.1660440000000006E-2"/>
    <x v="0"/>
  </r>
  <r>
    <x v="18"/>
    <x v="0"/>
    <x v="2"/>
    <n v="0.30070954"/>
    <n v="1.6178000000000001E-4"/>
    <n v="7.1696120000000002E-2"/>
    <n v="7.5581659999999995E-2"/>
    <x v="0"/>
  </r>
  <r>
    <x v="18"/>
    <x v="0"/>
    <x v="3"/>
    <n v="0.36321207"/>
    <n v="4.318E-6"/>
    <n v="7.0061880000000007E-2"/>
    <n v="7.7074820000000002E-2"/>
    <x v="0"/>
  </r>
  <r>
    <x v="18"/>
    <x v="0"/>
    <x v="4"/>
    <n v="0.34977174999999999"/>
    <n v="1.8846999999999999E-4"/>
    <n v="8.4298860000000003E-2"/>
    <n v="7.4459189999999995E-2"/>
    <x v="0"/>
  </r>
  <r>
    <x v="18"/>
    <x v="0"/>
    <x v="5"/>
    <n v="-0.10212758"/>
    <n v="0.31140010000000001"/>
    <n v="9.3261469999999999E-2"/>
    <n v="9.6719949999999999E-2"/>
    <x v="0"/>
  </r>
  <r>
    <x v="18"/>
    <x v="0"/>
    <x v="6"/>
    <n v="0.35589334"/>
    <n v="9.4330000000000004E-7"/>
    <n v="6.3945020000000005E-2"/>
    <n v="6.9961819999999994E-2"/>
    <x v="0"/>
  </r>
  <r>
    <x v="18"/>
    <x v="0"/>
    <x v="7"/>
    <n v="0.35944187"/>
    <n v="5.8650000000000002E-7"/>
    <n v="6.3263639999999996E-2"/>
    <n v="6.8959300000000001E-2"/>
    <x v="0"/>
  </r>
  <r>
    <x v="18"/>
    <x v="0"/>
    <x v="8"/>
    <n v="0.28817439"/>
    <n v="4.8762000000000002E-4"/>
    <n v="7.4640280000000003E-2"/>
    <n v="7.6654940000000005E-2"/>
    <x v="0"/>
  </r>
  <r>
    <x v="18"/>
    <x v="0"/>
    <x v="9"/>
    <n v="0.14715250999999999"/>
    <n v="0.10411575000000001"/>
    <n v="8.3420330000000001E-2"/>
    <n v="8.6956710000000006E-2"/>
    <x v="0"/>
  </r>
  <r>
    <x v="18"/>
    <x v="0"/>
    <x v="10"/>
    <n v="0.10325586"/>
    <n v="0.20812501"/>
    <n v="7.5742959999999998E-2"/>
    <n v="7.7946920000000003E-2"/>
    <x v="0"/>
  </r>
  <r>
    <x v="18"/>
    <x v="0"/>
    <x v="11"/>
    <n v="0.38459631"/>
    <n v="1.229E-7"/>
    <n v="6.3524300000000006E-2"/>
    <n v="7.0267700000000002E-2"/>
    <x v="0"/>
  </r>
  <r>
    <x v="18"/>
    <x v="0"/>
    <x v="12"/>
    <n v="-5.1663300000000002E-3"/>
    <n v="0.95103439999999995"/>
    <n v="7.7935240000000003E-2"/>
    <n v="8.3134089999999994E-2"/>
    <x v="0"/>
  </r>
  <r>
    <x v="18"/>
    <x v="0"/>
    <x v="13"/>
    <n v="-0.18093096"/>
    <n v="8.5245319999999999E-2"/>
    <n v="9.6795080000000006E-2"/>
    <n v="0.10075203000000001"/>
    <x v="0"/>
  </r>
  <r>
    <x v="18"/>
    <x v="1"/>
    <x v="0"/>
    <n v="4.7755060000000002E-2"/>
    <n v="0.56465527000000004"/>
    <n v="8.6670650000000002E-2"/>
    <n v="8.5367419999999999E-2"/>
    <x v="0"/>
  </r>
  <r>
    <x v="18"/>
    <x v="1"/>
    <x v="1"/>
    <n v="9.5489519999999994E-2"/>
    <n v="0.30826991999999998"/>
    <n v="9.7741049999999996E-2"/>
    <n v="9.4056089999999995E-2"/>
    <x v="0"/>
  </r>
  <r>
    <x v="18"/>
    <x v="1"/>
    <x v="2"/>
    <n v="0.12780847000000001"/>
    <n v="0.17143855"/>
    <n v="9.7295439999999997E-2"/>
    <n v="9.3715209999999993E-2"/>
    <x v="0"/>
  </r>
  <r>
    <x v="18"/>
    <x v="1"/>
    <x v="3"/>
    <n v="-4.0897299999999998E-3"/>
    <n v="0.96547320999999997"/>
    <n v="9.8742609999999995E-2"/>
    <n v="9.5344300000000007E-2"/>
    <x v="0"/>
  </r>
  <r>
    <x v="18"/>
    <x v="1"/>
    <x v="4"/>
    <n v="-4.2836180000000001E-2"/>
    <n v="0.56299617000000002"/>
    <n v="7.7347990000000005E-2"/>
    <n v="7.8390979999999999E-2"/>
    <x v="0"/>
  </r>
  <r>
    <x v="18"/>
    <x v="1"/>
    <x v="5"/>
    <n v="-0.17864959"/>
    <n v="3.471105E-2"/>
    <n v="8.7606400000000001E-2"/>
    <n v="7.8358029999999995E-2"/>
    <x v="0"/>
  </r>
  <r>
    <x v="18"/>
    <x v="1"/>
    <x v="6"/>
    <n v="9.6111249999999995E-2"/>
    <n v="0.3050271"/>
    <n v="9.7717289999999998E-2"/>
    <n v="9.3329590000000004E-2"/>
    <x v="0"/>
  </r>
  <r>
    <x v="18"/>
    <x v="1"/>
    <x v="7"/>
    <n v="0.10477446999999999"/>
    <n v="0.26680651"/>
    <n v="9.8360020000000006E-2"/>
    <n v="9.3886269999999994E-2"/>
    <x v="0"/>
  </r>
  <r>
    <x v="18"/>
    <x v="1"/>
    <x v="8"/>
    <n v="0.1358375"/>
    <n v="0.13900071999999999"/>
    <n v="9.5522010000000004E-2"/>
    <n v="9.3322020000000006E-2"/>
    <x v="0"/>
  </r>
  <r>
    <x v="18"/>
    <x v="1"/>
    <x v="9"/>
    <n v="0.24393139"/>
    <n v="3.50899E-3"/>
    <n v="8.5804160000000004E-2"/>
    <n v="8.2843920000000001E-2"/>
    <x v="0"/>
  </r>
  <r>
    <x v="18"/>
    <x v="1"/>
    <x v="10"/>
    <n v="0.21049470000000001"/>
    <n v="7.2248499999999997E-3"/>
    <n v="8.0681539999999996E-2"/>
    <n v="8.6172440000000003E-2"/>
    <x v="0"/>
  </r>
  <r>
    <x v="18"/>
    <x v="1"/>
    <x v="11"/>
    <n v="5.1538550000000002E-2"/>
    <n v="0.57668129999999995"/>
    <n v="9.6426570000000003E-2"/>
    <n v="9.3370789999999995E-2"/>
    <x v="0"/>
  </r>
  <r>
    <x v="18"/>
    <x v="1"/>
    <x v="12"/>
    <n v="-0.12052778"/>
    <n v="0.15912486000000001"/>
    <n v="8.9098070000000001E-2"/>
    <n v="8.279715E-2"/>
    <x v="0"/>
  </r>
  <r>
    <x v="18"/>
    <x v="1"/>
    <x v="13"/>
    <n v="-0.21739496"/>
    <n v="1.6529180000000001E-2"/>
    <n v="9.3667840000000002E-2"/>
    <n v="8.3668350000000002E-2"/>
    <x v="0"/>
  </r>
  <r>
    <x v="18"/>
    <x v="2"/>
    <x v="0"/>
    <n v="0.42112168"/>
    <n v="1.562E-9"/>
    <n v="6.8823570000000001E-2"/>
    <n v="5.6674189999999999E-2"/>
    <x v="0"/>
  </r>
  <r>
    <x v="18"/>
    <x v="2"/>
    <x v="1"/>
    <n v="0.38286938999999998"/>
    <n v="5.0669999999999995E-7"/>
    <n v="7.7365660000000003E-2"/>
    <n v="6.7342609999999997E-2"/>
    <x v="0"/>
  </r>
  <r>
    <x v="18"/>
    <x v="2"/>
    <x v="2"/>
    <n v="0.35827509000000002"/>
    <n v="4.7509999999999999E-6"/>
    <n v="8.0217709999999998E-2"/>
    <n v="6.9425650000000005E-2"/>
    <x v="0"/>
  </r>
  <r>
    <x v="18"/>
    <x v="2"/>
    <x v="3"/>
    <n v="0.32955287"/>
    <n v="1.1635E-4"/>
    <n v="8.8736830000000003E-2"/>
    <n v="7.8059009999999998E-2"/>
    <x v="0"/>
  </r>
  <r>
    <x v="18"/>
    <x v="2"/>
    <x v="4"/>
    <n v="0.29202813999999999"/>
    <n v="3.1180000000000003E-5"/>
    <n v="7.2380749999999994E-2"/>
    <n v="4.9140120000000002E-2"/>
    <x v="0"/>
  </r>
  <r>
    <x v="18"/>
    <x v="2"/>
    <x v="5"/>
    <n v="-0.20974709"/>
    <n v="2.84354E-2"/>
    <n v="0.10142855000000001"/>
    <n v="8.5833359999999997E-2"/>
    <x v="0"/>
  </r>
  <r>
    <x v="18"/>
    <x v="2"/>
    <x v="6"/>
    <n v="0.38810865999999999"/>
    <n v="3.7179999999999998E-7"/>
    <n v="7.741439E-2"/>
    <n v="6.7217079999999998E-2"/>
    <x v="0"/>
  </r>
  <r>
    <x v="18"/>
    <x v="2"/>
    <x v="7"/>
    <n v="0.39699577000000003"/>
    <n v="2.0240000000000001E-7"/>
    <n v="7.7252249999999995E-2"/>
    <n v="6.7278400000000002E-2"/>
    <x v="0"/>
  </r>
  <r>
    <x v="18"/>
    <x v="2"/>
    <x v="8"/>
    <n v="0.35203810000000002"/>
    <n v="5.8089999999999998E-6"/>
    <n v="7.9621079999999997E-2"/>
    <n v="6.7849779999999998E-2"/>
    <x v="0"/>
  </r>
  <r>
    <x v="18"/>
    <x v="2"/>
    <x v="9"/>
    <n v="0.29344055000000002"/>
    <n v="4.8768999999999999E-4"/>
    <n v="8.7804560000000004E-2"/>
    <n v="7.0003570000000001E-2"/>
    <x v="0"/>
  </r>
  <r>
    <x v="18"/>
    <x v="2"/>
    <x v="10"/>
    <n v="0.23151631"/>
    <n v="4.1503900000000003E-3"/>
    <n v="8.4977559999999994E-2"/>
    <n v="7.1621870000000004E-2"/>
    <x v="0"/>
  </r>
  <r>
    <x v="18"/>
    <x v="2"/>
    <x v="11"/>
    <n v="0.38533682000000002"/>
    <n v="2.9869999999999999E-7"/>
    <n v="7.6171550000000005E-2"/>
    <n v="6.6730269999999994E-2"/>
    <x v="0"/>
  </r>
  <r>
    <x v="18"/>
    <x v="2"/>
    <x v="12"/>
    <n v="-8.321199E-2"/>
    <n v="0.28539110000000001"/>
    <n v="8.3163239999999999E-2"/>
    <n v="7.6957159999999997E-2"/>
    <x v="0"/>
  </r>
  <r>
    <x v="18"/>
    <x v="2"/>
    <x v="13"/>
    <n v="-0.30705612999999998"/>
    <n v="3.1728199999999998E-3"/>
    <n v="0.10938521"/>
    <n v="8.7947410000000004E-2"/>
    <x v="0"/>
  </r>
  <r>
    <x v="19"/>
    <x v="0"/>
    <x v="14"/>
    <n v="0.78821719000000001"/>
    <n v="3.1001279999999999E-2"/>
    <n v="0.33276085"/>
    <n v="0.19470668999999999"/>
    <x v="0"/>
  </r>
  <r>
    <x v="19"/>
    <x v="0"/>
    <x v="1"/>
    <n v="0.82277429999999996"/>
    <n v="1.145114E-2"/>
    <n v="0.27505185999999998"/>
    <n v="0.19900493"/>
    <x v="0"/>
  </r>
  <r>
    <x v="19"/>
    <x v="0"/>
    <x v="2"/>
    <n v="0.81862546999999997"/>
    <n v="1.3501050000000001E-2"/>
    <n v="0.2836958"/>
    <n v="0.19901497000000001"/>
    <x v="0"/>
  </r>
  <r>
    <x v="19"/>
    <x v="0"/>
    <x v="3"/>
    <n v="0.78343591999999995"/>
    <n v="2.7109540000000001E-2"/>
    <n v="0.31970401999999998"/>
    <n v="0.19420354000000001"/>
    <x v="0"/>
  </r>
  <r>
    <x v="19"/>
    <x v="0"/>
    <x v="4"/>
    <n v="0.71990381000000003"/>
    <n v="1.464326E-2"/>
    <n v="0.25403474999999998"/>
    <n v="0.21605832"/>
    <x v="0"/>
  </r>
  <r>
    <x v="19"/>
    <x v="0"/>
    <x v="5"/>
    <n v="-0.46338112999999997"/>
    <n v="2.0765100000000002E-3"/>
    <n v="0.11079538999999999"/>
    <n v="0.27951240999999999"/>
    <x v="0"/>
  </r>
  <r>
    <x v="19"/>
    <x v="0"/>
    <x v="6"/>
    <n v="0.82218541000000001"/>
    <n v="1.16755E-2"/>
    <n v="0.27601115999999998"/>
    <n v="0.19728756"/>
    <x v="0"/>
  </r>
  <r>
    <x v="19"/>
    <x v="0"/>
    <x v="7"/>
    <n v="0.82474868000000001"/>
    <n v="1.1561439999999999E-2"/>
    <n v="0.27628388999999998"/>
    <n v="0.19732642"/>
    <x v="0"/>
  </r>
  <r>
    <x v="19"/>
    <x v="0"/>
    <x v="8"/>
    <n v="0.81801193000000005"/>
    <n v="1.313488E-2"/>
    <n v="0.28176742999999999"/>
    <n v="0.20017840000000001"/>
    <x v="0"/>
  </r>
  <r>
    <x v="19"/>
    <x v="0"/>
    <x v="9"/>
    <n v="0.77615308999999999"/>
    <n v="1.7409850000000001E-2"/>
    <n v="0.28486006000000003"/>
    <n v="0.20052144999999999"/>
    <x v="0"/>
  </r>
  <r>
    <x v="19"/>
    <x v="0"/>
    <x v="10"/>
    <n v="0.78842643999999995"/>
    <n v="1.721837E-2"/>
    <n v="0.28862930999999997"/>
    <n v="0.20458125999999999"/>
    <x v="0"/>
  </r>
  <r>
    <x v="19"/>
    <x v="0"/>
    <x v="11"/>
    <n v="0.82283023"/>
    <n v="9.3014699999999992E-3"/>
    <n v="0.26315399"/>
    <n v="0.20005749"/>
    <x v="0"/>
  </r>
  <r>
    <x v="19"/>
    <x v="0"/>
    <x v="12"/>
    <n v="0.10016944999999999"/>
    <n v="0.81475302999999999"/>
    <n v="0.46789111999999999"/>
    <n v="0.45402179999999998"/>
    <x v="0"/>
  </r>
  <r>
    <x v="19"/>
    <x v="0"/>
    <x v="13"/>
    <n v="-0.63816331999999998"/>
    <n v="1.2358320000000001E-2"/>
    <n v="0.21689896"/>
    <n v="0.21536926000000001"/>
    <x v="0"/>
  </r>
  <r>
    <x v="19"/>
    <x v="1"/>
    <x v="14"/>
    <n v="0.22125132"/>
    <n v="0.50911662000000002"/>
    <n v="0.35568205000000003"/>
    <n v="0.36050467000000003"/>
    <x v="0"/>
  </r>
  <r>
    <x v="19"/>
    <x v="1"/>
    <x v="1"/>
    <n v="0.25336893999999999"/>
    <n v="0.44187444999999997"/>
    <n v="0.34760081999999998"/>
    <n v="0.35523018000000001"/>
    <x v="0"/>
  </r>
  <r>
    <x v="19"/>
    <x v="1"/>
    <x v="2"/>
    <n v="0.24855932"/>
    <n v="0.44799589000000001"/>
    <n v="0.34582688"/>
    <n v="0.35098444000000001"/>
    <x v="0"/>
  </r>
  <r>
    <x v="19"/>
    <x v="1"/>
    <x v="3"/>
    <n v="0.19291391999999999"/>
    <n v="0.58014522000000002"/>
    <n v="0.37197894999999997"/>
    <n v="0.37293017000000001"/>
    <x v="0"/>
  </r>
  <r>
    <x v="19"/>
    <x v="1"/>
    <x v="4"/>
    <n v="0.34980666999999999"/>
    <n v="0.19389596000000001"/>
    <n v="0.27222247999999999"/>
    <n v="0.33391583000000002"/>
    <x v="0"/>
  </r>
  <r>
    <x v="19"/>
    <x v="1"/>
    <x v="5"/>
    <n v="-0.64161614"/>
    <n v="2.9848860000000001E-2"/>
    <n v="0.26396111"/>
    <n v="0.31836757999999998"/>
    <x v="0"/>
  </r>
  <r>
    <x v="19"/>
    <x v="1"/>
    <x v="6"/>
    <n v="0.25119079999999999"/>
    <n v="0.44917290999999998"/>
    <n v="0.35043600000000003"/>
    <n v="0.35760849"/>
    <x v="0"/>
  </r>
  <r>
    <x v="19"/>
    <x v="1"/>
    <x v="7"/>
    <n v="0.24924627999999999"/>
    <n v="0.45483477999999999"/>
    <n v="0.35229527999999999"/>
    <n v="0.35870187999999997"/>
    <x v="0"/>
  </r>
  <r>
    <x v="19"/>
    <x v="1"/>
    <x v="8"/>
    <n v="0.25013299999999999"/>
    <n v="0.44060982999999998"/>
    <n v="0.34216945999999998"/>
    <n v="0.34829086999999997"/>
    <x v="0"/>
  </r>
  <r>
    <x v="19"/>
    <x v="1"/>
    <x v="9"/>
    <n v="0.25827178000000001"/>
    <n v="0.41622999999999999"/>
    <n v="0.33427878"/>
    <n v="0.34477126000000002"/>
    <x v="0"/>
  </r>
  <r>
    <x v="19"/>
    <x v="1"/>
    <x v="10"/>
    <n v="0.25148158999999998"/>
    <n v="0.42517920999999997"/>
    <n v="0.33214006000000001"/>
    <n v="0.33542227000000002"/>
    <x v="0"/>
  </r>
  <r>
    <x v="19"/>
    <x v="1"/>
    <x v="11"/>
    <n v="0.26793176000000002"/>
    <n v="0.41346967000000001"/>
    <n v="0.34463178"/>
    <n v="0.35735187000000002"/>
    <x v="0"/>
  </r>
  <r>
    <x v="19"/>
    <x v="1"/>
    <x v="12"/>
    <n v="-0.70545360999999995"/>
    <n v="1.7095619999999999E-2"/>
    <n v="0.25369798999999998"/>
    <n v="0.15556877"/>
    <x v="0"/>
  </r>
  <r>
    <x v="19"/>
    <x v="1"/>
    <x v="13"/>
    <n v="-0.49560870000000001"/>
    <n v="0.10785261"/>
    <n v="0.30068633"/>
    <n v="0.3726564"/>
    <x v="0"/>
  </r>
  <r>
    <x v="19"/>
    <x v="2"/>
    <x v="14"/>
    <n v="0.79730188000000002"/>
    <n v="2.385694E-2"/>
    <n v="0.31358304999999997"/>
    <n v="0.13510126"/>
    <x v="0"/>
  </r>
  <r>
    <x v="19"/>
    <x v="2"/>
    <x v="1"/>
    <n v="0.84291282999999995"/>
    <n v="5.5656899999999999E-3"/>
    <n v="0.24149924"/>
    <n v="0.11466935"/>
    <x v="0"/>
  </r>
  <r>
    <x v="19"/>
    <x v="2"/>
    <x v="2"/>
    <n v="0.83698362000000004"/>
    <n v="7.6533900000000004E-3"/>
    <n v="0.25568517000000002"/>
    <n v="0.11787752999999999"/>
    <x v="0"/>
  </r>
  <r>
    <x v="19"/>
    <x v="2"/>
    <x v="3"/>
    <n v="0.77963404000000003"/>
    <n v="2.4334910000000001E-2"/>
    <n v="0.30812145000000002"/>
    <n v="0.13735417"/>
    <x v="0"/>
  </r>
  <r>
    <x v="19"/>
    <x v="2"/>
    <x v="4"/>
    <n v="0.79842088"/>
    <n v="6.0388300000000002E-3"/>
    <n v="0.23249093000000001"/>
    <n v="0.11981095"/>
    <x v="0"/>
  </r>
  <r>
    <x v="19"/>
    <x v="2"/>
    <x v="5"/>
    <n v="-0.71187060000000002"/>
    <n v="1.6140000000000001E-5"/>
    <n v="7.7103770000000002E-2"/>
    <n v="0.23581099999999999"/>
    <x v="0"/>
  </r>
  <r>
    <x v="19"/>
    <x v="2"/>
    <x v="6"/>
    <n v="0.84136040000000001"/>
    <n v="5.75407E-3"/>
    <n v="0.24265001999999999"/>
    <n v="0.11696938"/>
    <x v="0"/>
  </r>
  <r>
    <x v="19"/>
    <x v="2"/>
    <x v="7"/>
    <n v="0.84268694"/>
    <n v="5.7375600000000001E-3"/>
    <n v="0.242894"/>
    <n v="0.11685647"/>
    <x v="0"/>
  </r>
  <r>
    <x v="19"/>
    <x v="2"/>
    <x v="8"/>
    <n v="0.83719288000000003"/>
    <n v="7.3439300000000002E-3"/>
    <n v="0.25359873999999999"/>
    <n v="0.11707056"/>
    <x v="0"/>
  </r>
  <r>
    <x v="19"/>
    <x v="2"/>
    <x v="9"/>
    <n v="0.80430502999999998"/>
    <n v="1.14436E-2"/>
    <n v="0.26739906000000002"/>
    <n v="0.13180575"/>
    <x v="0"/>
  </r>
  <r>
    <x v="19"/>
    <x v="2"/>
    <x v="10"/>
    <n v="0.81185481000000004"/>
    <n v="1.239111E-2"/>
    <n v="0.27461380000000002"/>
    <n v="0.13251741"/>
    <x v="0"/>
  </r>
  <r>
    <x v="19"/>
    <x v="2"/>
    <x v="11"/>
    <n v="0.84988395000000005"/>
    <n v="3.37492E-3"/>
    <n v="0.22108903999999999"/>
    <n v="0.10992726999999999"/>
    <x v="0"/>
  </r>
  <r>
    <x v="19"/>
    <x v="2"/>
    <x v="12"/>
    <n v="-0.24735825"/>
    <n v="0.51774810999999998"/>
    <n v="0.41056145999999999"/>
    <n v="0.39439921999999999"/>
    <x v="0"/>
  </r>
  <r>
    <x v="19"/>
    <x v="2"/>
    <x v="13"/>
    <n v="-0.79594697000000003"/>
    <n v="1.78809E-3"/>
    <n v="0.18426076999999999"/>
    <n v="0.14129662000000001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0B74A2-069B-4EBC-9AA0-5FF885DA9B92}" name="PivotTable1" cacheId="31" applyNumberFormats="0" applyBorderFormats="0" applyFontFormats="0" applyPatternFormats="0" applyAlignmentFormats="0" applyWidthHeightFormats="1" dataCaption="Values" updatedVersion="7" minRefreshableVersion="3" useAutoFormatting="1" rowGrandTotals="0" colGrandTotals="0" itemPrintTitles="1" createdVersion="5" indent="0" showHeaders="0" outline="1" outlineData="1" multipleFieldFilters="0">
  <location ref="J47:M62" firstHeaderRow="1" firstDataRow="2" firstDataCol="1" rowPageCount="2" colPageCount="1"/>
  <pivotFields count="8">
    <pivotField axis="axisPage" showAll="0">
      <items count="21">
        <item x="0"/>
        <item x="1"/>
        <item x="2"/>
        <item x="3"/>
        <item x="4"/>
        <item x="5"/>
        <item x="6"/>
        <item x="7"/>
        <item x="8"/>
        <item x="9"/>
        <item x="19"/>
        <item x="10"/>
        <item x="11"/>
        <item x="12"/>
        <item x="13"/>
        <item x="18"/>
        <item x="14"/>
        <item x="15"/>
        <item x="16"/>
        <item x="17"/>
        <item t="default"/>
      </items>
    </pivotField>
    <pivotField axis="axisCol" showAll="0">
      <items count="4">
        <item x="2"/>
        <item x="0"/>
        <item x="1"/>
        <item t="default"/>
      </items>
    </pivotField>
    <pivotField axis="axisRow" showAll="0" sortType="ascending">
      <items count="16">
        <item x="5"/>
        <item x="1"/>
        <item x="2"/>
        <item x="3"/>
        <item x="4"/>
        <item x="6"/>
        <item x="7"/>
        <item x="0"/>
        <item x="14"/>
        <item x="13"/>
        <item x="8"/>
        <item x="9"/>
        <item x="10"/>
        <item x="11"/>
        <item x="12"/>
        <item t="default"/>
      </items>
    </pivotField>
    <pivotField showAll="0" defaultSubtotal="0"/>
    <pivotField showAll="0"/>
    <pivotField dataField="1" showAll="0" defaultSubtotal="0"/>
    <pivotField showAll="0" defaultSubtotal="0"/>
    <pivotField axis="axisPage" showAll="0">
      <items count="2">
        <item x="0"/>
        <item t="default"/>
      </items>
    </pivotField>
  </pivotFields>
  <rowFields count="1">
    <field x="2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9"/>
    </i>
    <i>
      <x v="10"/>
    </i>
    <i>
      <x v="11"/>
    </i>
    <i>
      <x v="12"/>
    </i>
    <i>
      <x v="13"/>
    </i>
    <i>
      <x v="14"/>
    </i>
  </rowItems>
  <colFields count="1">
    <field x="1"/>
  </colFields>
  <colItems count="3">
    <i>
      <x/>
    </i>
    <i>
      <x v="1"/>
    </i>
    <i>
      <x v="2"/>
    </i>
  </colItems>
  <pageFields count="2">
    <pageField fld="0" item="15" hier="-1"/>
    <pageField fld="7" item="0" hier="-1"/>
  </pageFields>
  <dataFields count="1">
    <dataField name="Sum of Standard_Error_Reg" fld="5" baseField="0" baseItem="0"/>
  </dataFields>
  <formats count="9">
    <format dxfId="18">
      <pivotArea outline="0" collapsedLevelsAreSubtotals="1" fieldPosition="0"/>
    </format>
    <format dxfId="19">
      <pivotArea type="all" dataOnly="0" outline="0" fieldPosition="0"/>
    </format>
    <format dxfId="20">
      <pivotArea outline="0" collapsedLevelsAreSubtotals="1" fieldPosition="0"/>
    </format>
    <format dxfId="21">
      <pivotArea dataOnly="0" labelOnly="1" fieldPosition="0">
        <references count="1">
          <reference field="2" count="0"/>
        </references>
      </pivotArea>
    </format>
    <format dxfId="22">
      <pivotArea dataOnly="0" labelOnly="1" fieldPosition="0">
        <references count="1">
          <reference field="1" count="0"/>
        </references>
      </pivotArea>
    </format>
    <format dxfId="23">
      <pivotArea type="all" dataOnly="0" outline="0" fieldPosition="0"/>
    </format>
    <format dxfId="24">
      <pivotArea outline="0" collapsedLevelsAreSubtotals="1" fieldPosition="0"/>
    </format>
    <format dxfId="25">
      <pivotArea dataOnly="0" labelOnly="1" fieldPosition="0">
        <references count="1">
          <reference field="2" count="0"/>
        </references>
      </pivotArea>
    </format>
    <format dxfId="26">
      <pivotArea dataOnly="0" labelOnly="1" fieldPosition="0">
        <references count="1">
          <reference field="1" count="0"/>
        </references>
      </pivotArea>
    </format>
  </formats>
  <pivotTableStyleInfo name="PivotStyleLight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453ED9-D64F-4598-90AB-3905F8ABC15A}" name="PivotTable15" cacheId="31" applyNumberFormats="0" applyBorderFormats="0" applyFontFormats="0" applyPatternFormats="0" applyAlignmentFormats="0" applyWidthHeightFormats="1" dataCaption="Values" updatedVersion="7" minRefreshableVersion="3" useAutoFormatting="1" rowGrandTotals="0" colGrandTotals="0" itemPrintTitles="1" createdVersion="5" indent="0" showHeaders="0" outline="1" outlineData="1" multipleFieldFilters="0">
  <location ref="J25:M40" firstHeaderRow="1" firstDataRow="2" firstDataCol="1" rowPageCount="2" colPageCount="1"/>
  <pivotFields count="8">
    <pivotField axis="axisPage" showAll="0">
      <items count="21">
        <item x="0"/>
        <item x="1"/>
        <item x="2"/>
        <item x="3"/>
        <item x="4"/>
        <item x="5"/>
        <item x="6"/>
        <item x="7"/>
        <item x="8"/>
        <item x="9"/>
        <item x="19"/>
        <item x="10"/>
        <item x="11"/>
        <item x="12"/>
        <item x="13"/>
        <item x="18"/>
        <item x="14"/>
        <item x="15"/>
        <item x="16"/>
        <item x="17"/>
        <item t="default"/>
      </items>
    </pivotField>
    <pivotField axis="axisCol" showAll="0">
      <items count="4">
        <item x="2"/>
        <item x="0"/>
        <item x="1"/>
        <item t="default"/>
      </items>
    </pivotField>
    <pivotField axis="axisRow" showAll="0" sortType="ascending">
      <items count="16">
        <item x="5"/>
        <item x="1"/>
        <item x="2"/>
        <item x="3"/>
        <item x="4"/>
        <item x="6"/>
        <item x="7"/>
        <item x="0"/>
        <item x="14"/>
        <item x="13"/>
        <item x="8"/>
        <item x="9"/>
        <item x="10"/>
        <item x="11"/>
        <item x="12"/>
        <item t="default"/>
      </items>
    </pivotField>
    <pivotField showAll="0" defaultSubtotal="0"/>
    <pivotField showAll="0"/>
    <pivotField showAll="0" defaultSubtotal="0"/>
    <pivotField dataField="1" showAll="0" defaultSubtotal="0"/>
    <pivotField axis="axisPage" showAll="0">
      <items count="2">
        <item x="0"/>
        <item t="default"/>
      </items>
    </pivotField>
  </pivotFields>
  <rowFields count="1">
    <field x="2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9"/>
    </i>
    <i>
      <x v="10"/>
    </i>
    <i>
      <x v="11"/>
    </i>
    <i>
      <x v="12"/>
    </i>
    <i>
      <x v="13"/>
    </i>
    <i>
      <x v="14"/>
    </i>
  </rowItems>
  <colFields count="1">
    <field x="1"/>
  </colFields>
  <colItems count="3">
    <i>
      <x/>
    </i>
    <i>
      <x v="1"/>
    </i>
    <i>
      <x v="2"/>
    </i>
  </colItems>
  <pageFields count="2">
    <pageField fld="0" item="15" hier="-1"/>
    <pageField fld="7" item="0" hier="-1"/>
  </pageFields>
  <dataFields count="1">
    <dataField name="Average of Standard_Error_Boot" fld="6" subtotal="average" baseField="2" baseItem="22"/>
  </dataFields>
  <formats count="9">
    <format dxfId="206">
      <pivotArea outline="0" collapsedLevelsAreSubtotals="1" fieldPosition="0"/>
    </format>
    <format dxfId="205">
      <pivotArea type="all" dataOnly="0" outline="0" fieldPosition="0"/>
    </format>
    <format dxfId="204">
      <pivotArea outline="0" collapsedLevelsAreSubtotals="1" fieldPosition="0"/>
    </format>
    <format dxfId="203">
      <pivotArea dataOnly="0" labelOnly="1" fieldPosition="0">
        <references count="1">
          <reference field="2" count="0"/>
        </references>
      </pivotArea>
    </format>
    <format dxfId="202">
      <pivotArea dataOnly="0" labelOnly="1" fieldPosition="0">
        <references count="1">
          <reference field="1" count="0"/>
        </references>
      </pivotArea>
    </format>
    <format dxfId="201">
      <pivotArea type="all" dataOnly="0" outline="0" fieldPosition="0"/>
    </format>
    <format dxfId="200">
      <pivotArea outline="0" collapsedLevelsAreSubtotals="1" fieldPosition="0"/>
    </format>
    <format dxfId="199">
      <pivotArea dataOnly="0" labelOnly="1" fieldPosition="0">
        <references count="1">
          <reference field="2" count="0"/>
        </references>
      </pivotArea>
    </format>
    <format dxfId="198">
      <pivotArea dataOnly="0" labelOnly="1" fieldPosition="0">
        <references count="1">
          <reference field="1" count="0"/>
        </references>
      </pivotArea>
    </format>
  </formats>
  <pivotTableStyleInfo name="PivotStyleLight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E217B3-66E7-4FB2-A929-3FAEB65AB0D8}" name="PivotTable5" cacheId="31" applyNumberFormats="0" applyBorderFormats="0" applyFontFormats="0" applyPatternFormats="0" applyAlignmentFormats="0" applyWidthHeightFormats="1" dataCaption="Values" updatedVersion="7" minRefreshableVersion="3" useAutoFormatting="1" rowGrandTotals="0" colGrandTotals="0" itemPrintTitles="1" createdVersion="5" indent="0" showHeaders="0" outline="1" outlineData="1" multipleFieldFilters="0">
  <location ref="J5:M20" firstHeaderRow="1" firstDataRow="2" firstDataCol="1" rowPageCount="2" colPageCount="1"/>
  <pivotFields count="8">
    <pivotField axis="axisPage" showAll="0">
      <items count="21">
        <item x="0"/>
        <item x="1"/>
        <item x="2"/>
        <item x="3"/>
        <item x="4"/>
        <item x="5"/>
        <item x="6"/>
        <item x="7"/>
        <item x="8"/>
        <item x="9"/>
        <item x="19"/>
        <item x="10"/>
        <item x="11"/>
        <item x="12"/>
        <item x="13"/>
        <item x="18"/>
        <item x="14"/>
        <item x="15"/>
        <item x="16"/>
        <item x="17"/>
        <item t="default"/>
      </items>
    </pivotField>
    <pivotField axis="axisCol" showAll="0">
      <items count="4">
        <item x="2"/>
        <item x="0"/>
        <item x="1"/>
        <item t="default"/>
      </items>
    </pivotField>
    <pivotField axis="axisRow" showAll="0" sortType="ascending">
      <items count="16">
        <item x="5"/>
        <item x="1"/>
        <item x="2"/>
        <item x="3"/>
        <item x="4"/>
        <item x="6"/>
        <item x="7"/>
        <item x="0"/>
        <item x="14"/>
        <item x="13"/>
        <item x="8"/>
        <item x="9"/>
        <item x="10"/>
        <item x="11"/>
        <item x="12"/>
        <item t="default"/>
      </items>
    </pivotField>
    <pivotField dataField="1" showAll="0" defaultSubtotal="0"/>
    <pivotField showAll="0"/>
    <pivotField showAll="0" defaultSubtotal="0"/>
    <pivotField showAll="0" defaultSubtotal="0"/>
    <pivotField axis="axisPage" showAll="0">
      <items count="2">
        <item x="0"/>
        <item t="default"/>
      </items>
    </pivotField>
  </pivotFields>
  <rowFields count="1">
    <field x="2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9"/>
    </i>
    <i>
      <x v="10"/>
    </i>
    <i>
      <x v="11"/>
    </i>
    <i>
      <x v="12"/>
    </i>
    <i>
      <x v="13"/>
    </i>
    <i>
      <x v="14"/>
    </i>
  </rowItems>
  <colFields count="1">
    <field x="1"/>
  </colFields>
  <colItems count="3">
    <i>
      <x/>
    </i>
    <i>
      <x v="1"/>
    </i>
    <i>
      <x v="2"/>
    </i>
  </colItems>
  <pageFields count="2">
    <pageField fld="0" item="15" hier="-1"/>
    <pageField fld="7" item="0" hier="-1"/>
  </pageFields>
  <dataFields count="1">
    <dataField name="Average of Correlation" fld="3" subtotal="average" baseField="2" baseItem="27"/>
  </dataFields>
  <formats count="9">
    <format dxfId="215">
      <pivotArea outline="0" collapsedLevelsAreSubtotals="1" fieldPosition="0"/>
    </format>
    <format dxfId="214">
      <pivotArea type="all" dataOnly="0" outline="0" fieldPosition="0"/>
    </format>
    <format dxfId="213">
      <pivotArea outline="0" collapsedLevelsAreSubtotals="1" fieldPosition="0"/>
    </format>
    <format dxfId="212">
      <pivotArea dataOnly="0" labelOnly="1" fieldPosition="0">
        <references count="1">
          <reference field="2" count="0"/>
        </references>
      </pivotArea>
    </format>
    <format dxfId="211">
      <pivotArea dataOnly="0" labelOnly="1" fieldPosition="0">
        <references count="1">
          <reference field="1" count="0"/>
        </references>
      </pivotArea>
    </format>
    <format dxfId="210">
      <pivotArea type="all" dataOnly="0" outline="0" fieldPosition="0"/>
    </format>
    <format dxfId="209">
      <pivotArea outline="0" collapsedLevelsAreSubtotals="1" fieldPosition="0"/>
    </format>
    <format dxfId="208">
      <pivotArea dataOnly="0" labelOnly="1" fieldPosition="0">
        <references count="1">
          <reference field="2" count="0"/>
        </references>
      </pivotArea>
    </format>
    <format dxfId="207">
      <pivotArea dataOnly="0" labelOnly="1" fieldPosition="0">
        <references count="1">
          <reference field="1" count="0"/>
        </references>
      </pivotArea>
    </format>
  </formats>
  <pivotTableStyleInfo name="PivotStyleLight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C687B6-A5C7-495B-8750-CF4F61F669A0}" name="PivotTable11" cacheId="31" applyNumberFormats="0" applyBorderFormats="0" applyFontFormats="0" applyPatternFormats="0" applyAlignmentFormats="0" applyWidthHeightFormats="1" dataCaption="Values" updatedVersion="7" minRefreshableVersion="3" useAutoFormatting="1" rowGrandTotals="0" colGrandTotals="0" itemPrintTitles="1" createdVersion="5" indent="0" showHeaders="0" outline="1" outlineData="1" multipleFieldFilters="0">
  <location ref="O5:R20" firstHeaderRow="1" firstDataRow="2" firstDataCol="1" rowPageCount="2" colPageCount="1"/>
  <pivotFields count="8">
    <pivotField axis="axisPage" multipleItemSelectionAllowed="1" showAll="0">
      <items count="21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x="19"/>
        <item h="1" x="10"/>
        <item h="1" x="11"/>
        <item h="1" x="12"/>
        <item h="1" x="13"/>
        <item h="1" x="18"/>
        <item h="1" x="14"/>
        <item h="1" x="15"/>
        <item h="1" x="16"/>
        <item h="1" x="17"/>
        <item t="default"/>
      </items>
    </pivotField>
    <pivotField axis="axisCol" showAll="0">
      <items count="4">
        <item x="2"/>
        <item x="0"/>
        <item x="1"/>
        <item t="default"/>
      </items>
    </pivotField>
    <pivotField axis="axisRow" showAll="0" sortType="ascending">
      <items count="16">
        <item x="5"/>
        <item x="1"/>
        <item x="2"/>
        <item x="3"/>
        <item x="4"/>
        <item x="6"/>
        <item x="7"/>
        <item x="0"/>
        <item x="14"/>
        <item x="13"/>
        <item x="8"/>
        <item x="9"/>
        <item x="10"/>
        <item x="11"/>
        <item x="12"/>
        <item t="default"/>
      </items>
    </pivotField>
    <pivotField dataField="1" showAll="0" defaultSubtotal="0"/>
    <pivotField showAll="0"/>
    <pivotField showAll="0" defaultSubtotal="0"/>
    <pivotField showAll="0" defaultSubtotal="0"/>
    <pivotField axis="axisPage" showAll="0">
      <items count="2">
        <item x="0"/>
        <item t="default"/>
      </items>
    </pivotField>
  </pivotFields>
  <rowFields count="1">
    <field x="2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8"/>
    </i>
    <i>
      <x v="9"/>
    </i>
    <i>
      <x v="10"/>
    </i>
    <i>
      <x v="11"/>
    </i>
    <i>
      <x v="12"/>
    </i>
    <i>
      <x v="13"/>
    </i>
    <i>
      <x v="14"/>
    </i>
  </rowItems>
  <colFields count="1">
    <field x="1"/>
  </colFields>
  <colItems count="3">
    <i>
      <x/>
    </i>
    <i>
      <x v="1"/>
    </i>
    <i>
      <x v="2"/>
    </i>
  </colItems>
  <pageFields count="2">
    <pageField fld="0" hier="-1"/>
    <pageField fld="7" item="0" hier="-1"/>
  </pageFields>
  <dataFields count="1">
    <dataField name="Average of Correlation" fld="3" subtotal="average" baseField="2" baseItem="0"/>
  </dataFields>
  <formats count="9">
    <format dxfId="224">
      <pivotArea outline="0" collapsedLevelsAreSubtotals="1" fieldPosition="0"/>
    </format>
    <format dxfId="223">
      <pivotArea type="all" dataOnly="0" outline="0" fieldPosition="0"/>
    </format>
    <format dxfId="222">
      <pivotArea outline="0" collapsedLevelsAreSubtotals="1" fieldPosition="0"/>
    </format>
    <format dxfId="221">
      <pivotArea dataOnly="0" labelOnly="1" fieldPosition="0">
        <references count="1">
          <reference field="2" count="0"/>
        </references>
      </pivotArea>
    </format>
    <format dxfId="220">
      <pivotArea dataOnly="0" labelOnly="1" fieldPosition="0">
        <references count="1">
          <reference field="1" count="0"/>
        </references>
      </pivotArea>
    </format>
    <format dxfId="219">
      <pivotArea type="all" dataOnly="0" outline="0" fieldPosition="0"/>
    </format>
    <format dxfId="218">
      <pivotArea outline="0" collapsedLevelsAreSubtotals="1" fieldPosition="0"/>
    </format>
    <format dxfId="217">
      <pivotArea dataOnly="0" labelOnly="1" fieldPosition="0">
        <references count="1">
          <reference field="2" count="0"/>
        </references>
      </pivotArea>
    </format>
    <format dxfId="216">
      <pivotArea dataOnly="0" labelOnly="1" fieldPosition="0">
        <references count="1">
          <reference field="1" count="0"/>
        </references>
      </pivotArea>
    </format>
  </formats>
  <pivotTableStyleInfo name="PivotStyleLight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B876FA-BBAB-4E15-9B18-D486C573EDFE}" name="PivotTable12" cacheId="31" applyNumberFormats="0" applyBorderFormats="0" applyFontFormats="0" applyPatternFormats="0" applyAlignmentFormats="0" applyWidthHeightFormats="1" dataCaption="Values" updatedVersion="7" minRefreshableVersion="3" showDrill="0" useAutoFormatting="1" rowGrandTotals="0" colGrandTotals="0" itemPrintTitles="1" createdVersion="5" indent="0" showHeaders="0" outline="1" outlineData="1" multipleFieldFilters="0">
  <location ref="U5:X20" firstHeaderRow="1" firstDataRow="2" firstDataCol="1" rowPageCount="2" colPageCount="1"/>
  <pivotFields count="8">
    <pivotField axis="axisPage" multipleItemSelectionAllowed="1" showAll="0">
      <items count="21">
        <item x="0"/>
        <item x="1"/>
        <item x="2"/>
        <item x="3"/>
        <item x="4"/>
        <item x="5"/>
        <item x="6"/>
        <item x="7"/>
        <item x="8"/>
        <item x="9"/>
        <item h="1" x="19"/>
        <item x="10"/>
        <item x="11"/>
        <item x="12"/>
        <item x="13"/>
        <item h="1" x="18"/>
        <item x="14"/>
        <item x="15"/>
        <item x="16"/>
        <item x="17"/>
        <item t="default"/>
      </items>
    </pivotField>
    <pivotField axis="axisCol" showAll="0">
      <items count="4">
        <item x="2"/>
        <item x="0"/>
        <item x="1"/>
        <item t="default"/>
      </items>
    </pivotField>
    <pivotField axis="axisRow" showAll="0" sortType="ascending">
      <items count="16">
        <item x="5"/>
        <item x="1"/>
        <item x="2"/>
        <item x="3"/>
        <item x="4"/>
        <item x="6"/>
        <item x="7"/>
        <item x="0"/>
        <item x="14"/>
        <item x="13"/>
        <item x="8"/>
        <item x="9"/>
        <item x="10"/>
        <item x="11"/>
        <item x="12"/>
        <item t="default"/>
      </items>
    </pivotField>
    <pivotField dataField="1" showAll="0" defaultSubtotal="0"/>
    <pivotField showAll="0"/>
    <pivotField showAll="0" defaultSubtotal="0"/>
    <pivotField showAll="0" defaultSubtotal="0"/>
    <pivotField axis="axisPage" showAll="0">
      <items count="2">
        <item x="0"/>
        <item t="default"/>
      </items>
    </pivotField>
  </pivotFields>
  <rowFields count="1">
    <field x="2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9"/>
    </i>
    <i>
      <x v="10"/>
    </i>
    <i>
      <x v="11"/>
    </i>
    <i>
      <x v="12"/>
    </i>
    <i>
      <x v="13"/>
    </i>
    <i>
      <x v="14"/>
    </i>
  </rowItems>
  <colFields count="1">
    <field x="1"/>
  </colFields>
  <colItems count="3">
    <i>
      <x/>
    </i>
    <i>
      <x v="1"/>
    </i>
    <i>
      <x v="2"/>
    </i>
  </colItems>
  <pageFields count="2">
    <pageField fld="0" hier="-1"/>
    <pageField fld="7" item="0" hier="-1"/>
  </pageFields>
  <dataFields count="1">
    <dataField name="Average of Correlation" fld="3" subtotal="average" baseField="2" baseItem="0"/>
  </dataFields>
  <formats count="9">
    <format dxfId="54">
      <pivotArea outline="0" collapsedLevelsAreSubtotals="1" fieldPosition="0"/>
    </format>
    <format dxfId="55">
      <pivotArea type="all" dataOnly="0" outline="0" fieldPosition="0"/>
    </format>
    <format dxfId="56">
      <pivotArea outline="0" collapsedLevelsAreSubtotals="1" fieldPosition="0"/>
    </format>
    <format dxfId="57">
      <pivotArea dataOnly="0" labelOnly="1" fieldPosition="0">
        <references count="1">
          <reference field="2" count="0"/>
        </references>
      </pivotArea>
    </format>
    <format dxfId="58">
      <pivotArea dataOnly="0" labelOnly="1" fieldPosition="0">
        <references count="1">
          <reference field="1" count="0"/>
        </references>
      </pivotArea>
    </format>
    <format dxfId="59">
      <pivotArea type="all" dataOnly="0" outline="0" fieldPosition="0"/>
    </format>
    <format dxfId="60">
      <pivotArea outline="0" collapsedLevelsAreSubtotals="1" fieldPosition="0"/>
    </format>
    <format dxfId="61">
      <pivotArea dataOnly="0" labelOnly="1" fieldPosition="0">
        <references count="1">
          <reference field="2" count="0"/>
        </references>
      </pivotArea>
    </format>
    <format dxfId="62">
      <pivotArea dataOnly="0" labelOnly="1" fieldPosition="0">
        <references count="1">
          <reference field="1" count="0"/>
        </references>
      </pivotArea>
    </format>
  </formats>
  <pivotTableStyleInfo name="PivotStyleLight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590871-7FD8-41AA-87D7-9480B2E3F213}" name="PivotTable13" cacheId="31" applyNumberFormats="0" applyBorderFormats="0" applyFontFormats="0" applyPatternFormats="0" applyAlignmentFormats="0" applyWidthHeightFormats="1" dataCaption="Values" updatedVersion="7" minRefreshableVersion="3" useAutoFormatting="1" rowGrandTotals="0" colGrandTotals="0" itemPrintTitles="1" createdVersion="5" indent="0" showHeaders="0" outline="1" outlineData="1" multipleFieldFilters="0">
  <location ref="U25:X40" firstHeaderRow="1" firstDataRow="2" firstDataCol="1" rowPageCount="2" colPageCount="1"/>
  <pivotFields count="8">
    <pivotField axis="axisPage" multipleItemSelectionAllowed="1" showAll="0">
      <items count="21">
        <item x="0"/>
        <item x="1"/>
        <item x="2"/>
        <item x="3"/>
        <item x="4"/>
        <item x="5"/>
        <item x="6"/>
        <item x="7"/>
        <item x="8"/>
        <item x="9"/>
        <item h="1" x="19"/>
        <item x="10"/>
        <item x="11"/>
        <item x="12"/>
        <item x="13"/>
        <item h="1" x="18"/>
        <item x="14"/>
        <item x="15"/>
        <item x="16"/>
        <item x="17"/>
        <item t="default"/>
      </items>
    </pivotField>
    <pivotField axis="axisCol" showAll="0">
      <items count="4">
        <item x="2"/>
        <item x="0"/>
        <item x="1"/>
        <item t="default"/>
      </items>
    </pivotField>
    <pivotField axis="axisRow" showAll="0" sortType="ascending">
      <items count="16">
        <item x="5"/>
        <item x="1"/>
        <item x="2"/>
        <item x="3"/>
        <item x="4"/>
        <item x="6"/>
        <item x="7"/>
        <item x="0"/>
        <item x="14"/>
        <item x="13"/>
        <item x="8"/>
        <item x="9"/>
        <item x="10"/>
        <item x="11"/>
        <item x="12"/>
        <item t="default"/>
      </items>
    </pivotField>
    <pivotField showAll="0" defaultSubtotal="0"/>
    <pivotField showAll="0"/>
    <pivotField showAll="0" defaultSubtotal="0"/>
    <pivotField dataField="1" showAll="0" defaultSubtotal="0"/>
    <pivotField axis="axisPage" showAll="0">
      <items count="2">
        <item x="0"/>
        <item t="default"/>
      </items>
    </pivotField>
  </pivotFields>
  <rowFields count="1">
    <field x="2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9"/>
    </i>
    <i>
      <x v="10"/>
    </i>
    <i>
      <x v="11"/>
    </i>
    <i>
      <x v="12"/>
    </i>
    <i>
      <x v="13"/>
    </i>
    <i>
      <x v="14"/>
    </i>
  </rowItems>
  <colFields count="1">
    <field x="1"/>
  </colFields>
  <colItems count="3">
    <i>
      <x/>
    </i>
    <i>
      <x v="1"/>
    </i>
    <i>
      <x v="2"/>
    </i>
  </colItems>
  <pageFields count="2">
    <pageField fld="0" hier="-1"/>
    <pageField fld="7" item="0" hier="-1"/>
  </pageFields>
  <dataFields count="1">
    <dataField name="Average of Standard_Error_Boot" fld="6" subtotal="average" baseField="2" baseItem="22"/>
  </dataFields>
  <formats count="9">
    <format dxfId="233">
      <pivotArea outline="0" collapsedLevelsAreSubtotals="1" fieldPosition="0"/>
    </format>
    <format dxfId="232">
      <pivotArea type="all" dataOnly="0" outline="0" fieldPosition="0"/>
    </format>
    <format dxfId="231">
      <pivotArea outline="0" collapsedLevelsAreSubtotals="1" fieldPosition="0"/>
    </format>
    <format dxfId="230">
      <pivotArea dataOnly="0" labelOnly="1" fieldPosition="0">
        <references count="1">
          <reference field="2" count="0"/>
        </references>
      </pivotArea>
    </format>
    <format dxfId="229">
      <pivotArea dataOnly="0" labelOnly="1" fieldPosition="0">
        <references count="1">
          <reference field="1" count="0"/>
        </references>
      </pivotArea>
    </format>
    <format dxfId="228">
      <pivotArea type="all" dataOnly="0" outline="0" fieldPosition="0"/>
    </format>
    <format dxfId="227">
      <pivotArea outline="0" collapsedLevelsAreSubtotals="1" fieldPosition="0"/>
    </format>
    <format dxfId="226">
      <pivotArea dataOnly="0" labelOnly="1" fieldPosition="0">
        <references count="1">
          <reference field="2" count="0"/>
        </references>
      </pivotArea>
    </format>
    <format dxfId="225">
      <pivotArea dataOnly="0" labelOnly="1" fieldPosition="0">
        <references count="1">
          <reference field="1" count="0"/>
        </references>
      </pivotArea>
    </format>
  </formats>
  <pivotTableStyleInfo name="PivotStyleLight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492B83-F99F-45AC-B3DD-A8EDBAF234FF}" name="PivotTable14" cacheId="31" applyNumberFormats="0" applyBorderFormats="0" applyFontFormats="0" applyPatternFormats="0" applyAlignmentFormats="0" applyWidthHeightFormats="1" dataCaption="Values" updatedVersion="7" minRefreshableVersion="3" useAutoFormatting="1" rowGrandTotals="0" colGrandTotals="0" itemPrintTitles="1" createdVersion="5" indent="0" showHeaders="0" outline="1" outlineData="1" multipleFieldFilters="0">
  <location ref="O25:R40" firstHeaderRow="1" firstDataRow="2" firstDataCol="1" rowPageCount="2" colPageCount="1"/>
  <pivotFields count="8">
    <pivotField axis="axisPage" showAll="0">
      <items count="21">
        <item x="0"/>
        <item x="1"/>
        <item x="2"/>
        <item x="3"/>
        <item x="4"/>
        <item x="5"/>
        <item x="6"/>
        <item x="7"/>
        <item x="8"/>
        <item x="9"/>
        <item x="19"/>
        <item x="10"/>
        <item x="11"/>
        <item x="12"/>
        <item x="13"/>
        <item x="18"/>
        <item x="14"/>
        <item x="15"/>
        <item x="16"/>
        <item x="17"/>
        <item t="default"/>
      </items>
    </pivotField>
    <pivotField axis="axisCol" showAll="0">
      <items count="4">
        <item x="2"/>
        <item x="0"/>
        <item x="1"/>
        <item t="default"/>
      </items>
    </pivotField>
    <pivotField axis="axisRow" showAll="0">
      <items count="16">
        <item x="5"/>
        <item x="1"/>
        <item x="2"/>
        <item x="3"/>
        <item x="4"/>
        <item x="6"/>
        <item x="7"/>
        <item x="0"/>
        <item x="14"/>
        <item x="13"/>
        <item x="8"/>
        <item x="9"/>
        <item x="10"/>
        <item x="11"/>
        <item x="12"/>
        <item t="default"/>
      </items>
    </pivotField>
    <pivotField showAll="0" defaultSubtotal="0"/>
    <pivotField showAll="0"/>
    <pivotField showAll="0" defaultSubtotal="0"/>
    <pivotField dataField="1" showAll="0" defaultSubtotal="0"/>
    <pivotField axis="axisPage" showAll="0">
      <items count="2">
        <item x="0"/>
        <item t="default"/>
      </items>
    </pivotField>
  </pivotFields>
  <rowFields count="1">
    <field x="2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8"/>
    </i>
    <i>
      <x v="9"/>
    </i>
    <i>
      <x v="10"/>
    </i>
    <i>
      <x v="11"/>
    </i>
    <i>
      <x v="12"/>
    </i>
    <i>
      <x v="13"/>
    </i>
    <i>
      <x v="14"/>
    </i>
  </rowItems>
  <colFields count="1">
    <field x="1"/>
  </colFields>
  <colItems count="3">
    <i>
      <x/>
    </i>
    <i>
      <x v="1"/>
    </i>
    <i>
      <x v="2"/>
    </i>
  </colItems>
  <pageFields count="2">
    <pageField fld="0" item="10" hier="-1"/>
    <pageField fld="7" item="0" hier="-1"/>
  </pageFields>
  <dataFields count="1">
    <dataField name="Average of Standard_Error_Boot" fld="6" subtotal="average" baseField="2" baseItem="14"/>
  </dataFields>
  <formats count="9">
    <format dxfId="242">
      <pivotArea outline="0" collapsedLevelsAreSubtotals="1" fieldPosition="0"/>
    </format>
    <format dxfId="241">
      <pivotArea type="all" dataOnly="0" outline="0" fieldPosition="0"/>
    </format>
    <format dxfId="240">
      <pivotArea outline="0" collapsedLevelsAreSubtotals="1" fieldPosition="0"/>
    </format>
    <format dxfId="239">
      <pivotArea dataOnly="0" labelOnly="1" fieldPosition="0">
        <references count="1">
          <reference field="2" count="13">
            <x v="0"/>
            <x v="1"/>
            <x v="2"/>
            <x v="3"/>
            <x v="4"/>
            <x v="6"/>
            <x v="7"/>
            <x v="9"/>
            <x v="10"/>
            <x v="11"/>
            <x v="12"/>
            <x v="13"/>
            <x v="14"/>
          </reference>
        </references>
      </pivotArea>
    </format>
    <format dxfId="238">
      <pivotArea dataOnly="0" labelOnly="1" fieldPosition="0">
        <references count="1">
          <reference field="1" count="3">
            <x v="0"/>
            <x v="1"/>
            <x v="2"/>
          </reference>
        </references>
      </pivotArea>
    </format>
    <format dxfId="237">
      <pivotArea type="all" dataOnly="0" outline="0" fieldPosition="0"/>
    </format>
    <format dxfId="236">
      <pivotArea outline="0" collapsedLevelsAreSubtotals="1" fieldPosition="0"/>
    </format>
    <format dxfId="235">
      <pivotArea dataOnly="0" labelOnly="1" fieldPosition="0">
        <references count="1">
          <reference field="2" count="13">
            <x v="0"/>
            <x v="1"/>
            <x v="2"/>
            <x v="3"/>
            <x v="4"/>
            <x v="6"/>
            <x v="7"/>
            <x v="9"/>
            <x v="10"/>
            <x v="11"/>
            <x v="12"/>
            <x v="13"/>
            <x v="14"/>
          </reference>
        </references>
      </pivotArea>
    </format>
    <format dxfId="234">
      <pivotArea dataOnly="0" labelOnly="1" fieldPosition="0">
        <references count="1">
          <reference field="1" count="3">
            <x v="0"/>
            <x v="1"/>
            <x v="2"/>
          </reference>
        </references>
      </pivotArea>
    </format>
  </formats>
  <pivotTableStyleInfo name="PivotStyleLight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5.xml><?xml version="1.0" encoding="utf-8"?>
<a:themeOverride xmlns:a="http://schemas.openxmlformats.org/drawingml/2006/main">
  <a:clrScheme name="Office 2007-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libri Light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6.xml><?xml version="1.0" encoding="utf-8"?>
<a:themeOverride xmlns:a="http://schemas.openxmlformats.org/drawingml/2006/main">
  <a:clrScheme name="Office 2007-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libri Light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7.xml><?xml version="1.0" encoding="utf-8"?>
<a:themeOverride xmlns:a="http://schemas.openxmlformats.org/drawingml/2006/main">
  <a:clrScheme name="Office 2007-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libri Light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8.xml><?xml version="1.0" encoding="utf-8"?>
<a:themeOverride xmlns:a="http://schemas.openxmlformats.org/drawingml/2006/main">
  <a:clrScheme name="Office 2007-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libri Light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9.xml><?xml version="1.0" encoding="utf-8"?>
<a:themeOverride xmlns:a="http://schemas.openxmlformats.org/drawingml/2006/main">
  <a:clrScheme name="Office 2007-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libri Light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B24"/>
  <sheetViews>
    <sheetView showGridLines="0" workbookViewId="0">
      <selection activeCell="L45" sqref="A45:L45"/>
    </sheetView>
  </sheetViews>
  <sheetFormatPr defaultRowHeight="15" x14ac:dyDescent="0.25"/>
  <cols>
    <col min="4" max="4" width="10" bestFit="1" customWidth="1"/>
    <col min="27" max="27" width="11.28515625" style="6" bestFit="1" customWidth="1"/>
    <col min="28" max="28" width="10.5703125" style="5" bestFit="1" customWidth="1"/>
  </cols>
  <sheetData>
    <row r="1" spans="1:28" ht="15.75" thickBot="1" x14ac:dyDescent="0.3">
      <c r="B1" t="s">
        <v>64</v>
      </c>
      <c r="C1" t="s">
        <v>0</v>
      </c>
      <c r="D1" t="s">
        <v>1</v>
      </c>
      <c r="E1" t="s">
        <v>47</v>
      </c>
      <c r="F1" t="s">
        <v>48</v>
      </c>
      <c r="G1" t="s">
        <v>49</v>
      </c>
      <c r="H1" t="s">
        <v>50</v>
      </c>
      <c r="I1" t="s">
        <v>2</v>
      </c>
      <c r="J1" t="s">
        <v>51</v>
      </c>
      <c r="K1" t="s">
        <v>3</v>
      </c>
      <c r="L1" t="s">
        <v>4</v>
      </c>
      <c r="M1" t="s">
        <v>5</v>
      </c>
      <c r="N1" t="s">
        <v>52</v>
      </c>
      <c r="O1" t="s">
        <v>6</v>
      </c>
      <c r="P1" t="s">
        <v>53</v>
      </c>
      <c r="Q1" t="s">
        <v>7</v>
      </c>
      <c r="X1" s="8"/>
      <c r="Y1" s="9" t="s">
        <v>27</v>
      </c>
      <c r="Z1" s="9" t="s">
        <v>28</v>
      </c>
    </row>
    <row r="2" spans="1:28" ht="15.75" thickTop="1" x14ac:dyDescent="0.25">
      <c r="A2" t="s">
        <v>8</v>
      </c>
      <c r="B2" s="1"/>
      <c r="C2" s="1"/>
      <c r="D2" s="4">
        <f>+F2</f>
        <v>0.50182459999999995</v>
      </c>
      <c r="E2" s="1"/>
      <c r="F2" s="1">
        <v>0.50182459999999995</v>
      </c>
      <c r="G2" s="1">
        <v>0.49272936000000001</v>
      </c>
      <c r="H2" s="1">
        <v>0.48258118</v>
      </c>
      <c r="I2" s="1">
        <v>0.47371701999999999</v>
      </c>
      <c r="J2" s="1">
        <v>0.46265414999999999</v>
      </c>
      <c r="K2" s="1">
        <v>0.45273023000000001</v>
      </c>
      <c r="L2" s="1">
        <v>0.44495506000000001</v>
      </c>
      <c r="M2" s="1">
        <v>0.43572284</v>
      </c>
      <c r="N2" s="1">
        <v>0.42485290999999997</v>
      </c>
      <c r="O2" s="1">
        <v>0.4228384</v>
      </c>
      <c r="P2" s="1">
        <v>0.42666016000000001</v>
      </c>
      <c r="Q2" s="1"/>
      <c r="X2" s="11" t="s">
        <v>29</v>
      </c>
      <c r="Y2" s="7">
        <v>0.50182459999999995</v>
      </c>
      <c r="Z2" s="7">
        <v>0.4228384</v>
      </c>
      <c r="AA2" s="6">
        <f>+D2-Y2</f>
        <v>0</v>
      </c>
      <c r="AB2" s="5">
        <f>+O2-Z2</f>
        <v>0</v>
      </c>
    </row>
    <row r="3" spans="1:28" x14ac:dyDescent="0.25">
      <c r="A3" t="s">
        <v>9</v>
      </c>
      <c r="B3" s="1">
        <v>0.63002174</v>
      </c>
      <c r="C3" s="1">
        <v>0.58876695000000001</v>
      </c>
      <c r="D3" s="1">
        <v>0.6015836</v>
      </c>
      <c r="E3" s="1"/>
      <c r="F3" s="1">
        <v>0.55009872000000004</v>
      </c>
      <c r="G3" s="1">
        <v>0.58468209999999998</v>
      </c>
      <c r="H3" s="1">
        <v>0.56870805999999996</v>
      </c>
      <c r="I3" s="1">
        <v>0.55444921000000003</v>
      </c>
      <c r="J3" s="1">
        <v>0.51432275000000005</v>
      </c>
      <c r="K3" s="1">
        <v>0.49653070999999999</v>
      </c>
      <c r="L3" s="1"/>
      <c r="M3" s="1">
        <v>0.46260467999999999</v>
      </c>
      <c r="N3" s="1">
        <v>0.46704760000000001</v>
      </c>
      <c r="O3" s="1">
        <v>0.48060333999999999</v>
      </c>
      <c r="P3" s="1">
        <v>0.48395804999999997</v>
      </c>
      <c r="Q3" s="1">
        <v>0.45777488</v>
      </c>
      <c r="X3" s="11" t="s">
        <v>30</v>
      </c>
      <c r="Y3" s="7">
        <v>0.6015836</v>
      </c>
      <c r="Z3" s="7">
        <v>0.48060333999999999</v>
      </c>
      <c r="AA3" s="6">
        <f t="shared" ref="AA3:AA19" si="0">+D3-Y3</f>
        <v>0</v>
      </c>
      <c r="AB3" s="5">
        <f t="shared" ref="AB3:AB19" si="1">+O3-Z3</f>
        <v>0</v>
      </c>
    </row>
    <row r="4" spans="1:28" x14ac:dyDescent="0.25">
      <c r="A4" t="s">
        <v>10</v>
      </c>
      <c r="B4" s="1"/>
      <c r="C4" s="1">
        <v>0.59330161999999997</v>
      </c>
      <c r="D4" s="1">
        <v>0.58619825999999997</v>
      </c>
      <c r="E4" s="1">
        <v>0.58007763999999995</v>
      </c>
      <c r="F4" s="1">
        <v>0.56883448999999997</v>
      </c>
      <c r="G4" s="1">
        <v>0.56642555000000006</v>
      </c>
      <c r="H4" s="1">
        <v>0.55932090999999995</v>
      </c>
      <c r="I4" s="1">
        <v>0.55233233000000004</v>
      </c>
      <c r="J4" s="1">
        <v>0.54368455999999998</v>
      </c>
      <c r="K4" s="1">
        <v>0.53873230000000005</v>
      </c>
      <c r="L4" s="1"/>
      <c r="M4" s="1">
        <v>0.53094680999999999</v>
      </c>
      <c r="N4" s="1">
        <v>0.52665918</v>
      </c>
      <c r="O4" s="1">
        <v>0.52873862000000005</v>
      </c>
      <c r="P4" s="1">
        <v>0.51478924999999998</v>
      </c>
      <c r="Q4" s="1">
        <v>0.51350794</v>
      </c>
      <c r="X4" s="11" t="s">
        <v>31</v>
      </c>
      <c r="Y4" s="7">
        <v>0.58619825999999997</v>
      </c>
      <c r="Z4" s="7">
        <v>0.52873862000000005</v>
      </c>
      <c r="AA4" s="6">
        <f t="shared" si="0"/>
        <v>0</v>
      </c>
      <c r="AB4" s="5">
        <f t="shared" si="1"/>
        <v>0</v>
      </c>
    </row>
    <row r="5" spans="1:28" x14ac:dyDescent="0.25">
      <c r="A5" t="s">
        <v>11</v>
      </c>
      <c r="B5" s="1">
        <v>0.52772008999999998</v>
      </c>
      <c r="C5" s="1"/>
      <c r="D5" s="4">
        <f>+E5</f>
        <v>0.51489868000000005</v>
      </c>
      <c r="E5" s="1">
        <v>0.51489868000000005</v>
      </c>
      <c r="F5" s="1"/>
      <c r="G5" s="1"/>
      <c r="H5" s="1">
        <v>0.48217711000000002</v>
      </c>
      <c r="I5" s="1"/>
      <c r="J5" s="1"/>
      <c r="K5" s="1">
        <v>0.48972760999999998</v>
      </c>
      <c r="L5" s="1"/>
      <c r="M5" s="1">
        <v>0.47617691000000001</v>
      </c>
      <c r="N5" s="1"/>
      <c r="O5" s="1">
        <v>0.47263495</v>
      </c>
      <c r="P5" s="1"/>
      <c r="Q5" s="1">
        <v>0.47651670000000002</v>
      </c>
      <c r="X5" s="11" t="s">
        <v>32</v>
      </c>
      <c r="Y5" s="7">
        <v>0.54610462999999998</v>
      </c>
      <c r="Z5" s="7">
        <v>0.47235387000000001</v>
      </c>
      <c r="AA5" s="6">
        <f t="shared" si="0"/>
        <v>-3.1205949999999927E-2</v>
      </c>
      <c r="AB5" s="5">
        <f t="shared" si="1"/>
        <v>2.8107999999998912E-4</v>
      </c>
    </row>
    <row r="6" spans="1:28" x14ac:dyDescent="0.25">
      <c r="A6" t="s">
        <v>12</v>
      </c>
      <c r="B6" s="1"/>
      <c r="C6" s="1"/>
      <c r="D6" s="1">
        <v>0.58254918</v>
      </c>
      <c r="E6" s="1">
        <v>0.54408330999999999</v>
      </c>
      <c r="F6" s="1">
        <v>0.56113204999999999</v>
      </c>
      <c r="G6" s="1">
        <v>0.55040184000000003</v>
      </c>
      <c r="H6" s="1"/>
      <c r="I6" s="1"/>
      <c r="J6" s="1">
        <v>0.56042272000000004</v>
      </c>
      <c r="K6" s="1">
        <v>0.55918040000000002</v>
      </c>
      <c r="L6" s="1">
        <v>0.55499443999999998</v>
      </c>
      <c r="M6" s="1">
        <v>0.54175656000000005</v>
      </c>
      <c r="N6" s="1">
        <v>0.53540498999999997</v>
      </c>
      <c r="O6" s="1">
        <v>0.53487819999999997</v>
      </c>
      <c r="P6" s="1">
        <v>0.53497260000000002</v>
      </c>
      <c r="Q6" s="1">
        <v>0.51069376</v>
      </c>
      <c r="X6" s="11" t="s">
        <v>33</v>
      </c>
      <c r="Y6" s="7">
        <v>0.58254918</v>
      </c>
      <c r="Z6" s="7">
        <v>0.53487819999999997</v>
      </c>
      <c r="AA6" s="6">
        <f t="shared" si="0"/>
        <v>0</v>
      </c>
      <c r="AB6" s="5">
        <f t="shared" si="1"/>
        <v>0</v>
      </c>
    </row>
    <row r="7" spans="1:28" x14ac:dyDescent="0.25">
      <c r="A7" t="s">
        <v>13</v>
      </c>
      <c r="B7" s="1"/>
      <c r="C7" s="1"/>
      <c r="D7" s="4">
        <f>+L7</f>
        <v>0.48096070000000002</v>
      </c>
      <c r="E7" s="1"/>
      <c r="F7" s="1"/>
      <c r="G7" s="1"/>
      <c r="H7" s="1"/>
      <c r="I7" s="1"/>
      <c r="J7" s="1"/>
      <c r="K7" s="1"/>
      <c r="L7" s="1">
        <v>0.48096070000000002</v>
      </c>
      <c r="M7" s="1">
        <v>0.4859695</v>
      </c>
      <c r="N7" s="1">
        <v>0.48609362</v>
      </c>
      <c r="O7" s="1">
        <v>0.49175687000000001</v>
      </c>
      <c r="P7" s="1">
        <v>0.48529939</v>
      </c>
      <c r="Q7" s="1">
        <v>0.48174398000000002</v>
      </c>
      <c r="X7" s="11" t="s">
        <v>34</v>
      </c>
      <c r="Y7" s="7">
        <v>0.44089029000000002</v>
      </c>
      <c r="Z7" s="7">
        <v>0.49175687000000001</v>
      </c>
      <c r="AA7" s="6">
        <f>+D7-Y7</f>
        <v>4.0070410000000001E-2</v>
      </c>
      <c r="AB7" s="5">
        <f t="shared" si="1"/>
        <v>0</v>
      </c>
    </row>
    <row r="8" spans="1:28" x14ac:dyDescent="0.25">
      <c r="A8" t="s">
        <v>14</v>
      </c>
      <c r="B8" s="1">
        <v>0.52008920999999997</v>
      </c>
      <c r="C8" s="1">
        <v>0.50430967999999998</v>
      </c>
      <c r="D8" s="1">
        <v>0.50116819999999995</v>
      </c>
      <c r="E8" s="1">
        <v>0.52093621999999995</v>
      </c>
      <c r="F8" s="1">
        <v>0.51954526999999995</v>
      </c>
      <c r="G8" s="1">
        <v>0.49958972000000001</v>
      </c>
      <c r="H8" s="1">
        <v>0.51900062999999996</v>
      </c>
      <c r="I8" s="1">
        <v>0.48685249000000003</v>
      </c>
      <c r="J8" s="1">
        <v>0.48999913</v>
      </c>
      <c r="K8" s="1">
        <v>0.48859053000000002</v>
      </c>
      <c r="L8" s="1"/>
      <c r="M8" s="1">
        <v>0.47395080000000001</v>
      </c>
      <c r="N8" s="1">
        <v>0.45682989000000002</v>
      </c>
      <c r="O8" s="1">
        <v>0.47071565999999998</v>
      </c>
      <c r="P8" s="1">
        <v>0.44482581999999998</v>
      </c>
      <c r="Q8" s="1">
        <v>0.44880756999999999</v>
      </c>
      <c r="X8" s="11" t="s">
        <v>35</v>
      </c>
      <c r="Y8" s="7">
        <v>0.50116819999999995</v>
      </c>
      <c r="Z8" s="7">
        <v>0.47071565999999998</v>
      </c>
      <c r="AA8" s="6">
        <f t="shared" si="0"/>
        <v>0</v>
      </c>
      <c r="AB8" s="5">
        <f t="shared" si="1"/>
        <v>0</v>
      </c>
    </row>
    <row r="9" spans="1:28" x14ac:dyDescent="0.25">
      <c r="A9" t="s">
        <v>15</v>
      </c>
      <c r="B9" s="1"/>
      <c r="C9" s="1"/>
      <c r="D9" s="4">
        <f>+E9</f>
        <v>0.54991343000000004</v>
      </c>
      <c r="E9" s="1">
        <v>0.54991343000000004</v>
      </c>
      <c r="F9" s="1">
        <v>0.54117872</v>
      </c>
      <c r="G9" s="1">
        <v>0.54119187000000002</v>
      </c>
      <c r="H9" s="1">
        <v>0.53203290000000003</v>
      </c>
      <c r="I9" s="1">
        <v>0.54327815999999995</v>
      </c>
      <c r="J9" s="1">
        <v>0.50608752999999995</v>
      </c>
      <c r="K9" s="1">
        <v>0.49284985999999997</v>
      </c>
      <c r="L9" s="1">
        <v>0.49254531000000001</v>
      </c>
      <c r="M9" s="1">
        <v>0.46209179</v>
      </c>
      <c r="N9" s="1">
        <v>0.46572668</v>
      </c>
      <c r="O9" s="1">
        <v>0.47289024000000002</v>
      </c>
      <c r="P9" s="1">
        <v>0.45379404000000001</v>
      </c>
      <c r="Q9" s="1">
        <v>0.46544669999999999</v>
      </c>
      <c r="X9" s="11" t="s">
        <v>36</v>
      </c>
      <c r="Y9" s="7">
        <v>0.54991343000000004</v>
      </c>
      <c r="Z9" s="7">
        <v>0.47289024000000002</v>
      </c>
      <c r="AA9" s="6">
        <f t="shared" si="0"/>
        <v>0</v>
      </c>
      <c r="AB9" s="5">
        <f t="shared" si="1"/>
        <v>0</v>
      </c>
    </row>
    <row r="10" spans="1:28" x14ac:dyDescent="0.25">
      <c r="A10" t="s">
        <v>16</v>
      </c>
      <c r="B10" s="1">
        <v>0.54836390999999995</v>
      </c>
      <c r="C10" s="1"/>
      <c r="D10" s="4">
        <f>+H10</f>
        <v>0.54889489000000002</v>
      </c>
      <c r="E10" s="1"/>
      <c r="F10" s="1"/>
      <c r="G10" s="1"/>
      <c r="H10" s="1">
        <v>0.54889489000000002</v>
      </c>
      <c r="I10" s="1"/>
      <c r="J10" s="1"/>
      <c r="K10" s="1"/>
      <c r="L10" s="1"/>
      <c r="M10" s="1">
        <v>0.52354537000000001</v>
      </c>
      <c r="N10" s="1"/>
      <c r="O10" s="4">
        <f>+P10</f>
        <v>0.48657003999999998</v>
      </c>
      <c r="P10" s="1">
        <v>0.48657003999999998</v>
      </c>
      <c r="Q10" s="1"/>
      <c r="X10" s="11" t="s">
        <v>37</v>
      </c>
      <c r="Y10" s="7">
        <v>0.54889489000000002</v>
      </c>
      <c r="Z10" s="7">
        <v>0.48657003999999998</v>
      </c>
      <c r="AA10" s="6">
        <f t="shared" si="0"/>
        <v>0</v>
      </c>
      <c r="AB10" s="5">
        <f>+O10-Z10</f>
        <v>0</v>
      </c>
    </row>
    <row r="11" spans="1:28" x14ac:dyDescent="0.25">
      <c r="A11" t="s">
        <v>17</v>
      </c>
      <c r="B11" s="1"/>
      <c r="C11" s="1">
        <v>0.54079770000000005</v>
      </c>
      <c r="D11" s="1">
        <v>0.58779693</v>
      </c>
      <c r="E11" s="1">
        <v>0.58664510000000003</v>
      </c>
      <c r="F11" s="1">
        <v>0.58412765</v>
      </c>
      <c r="G11" s="1">
        <v>0.59509498000000005</v>
      </c>
      <c r="H11" s="1">
        <v>0.57421358</v>
      </c>
      <c r="I11" s="1">
        <v>0.56160790999999999</v>
      </c>
      <c r="J11" s="1">
        <v>0.55742568000000003</v>
      </c>
      <c r="K11" s="1">
        <v>0.51563250999999999</v>
      </c>
      <c r="L11" s="1">
        <v>0.53391564999999996</v>
      </c>
      <c r="M11" s="1">
        <v>0.57398718000000004</v>
      </c>
      <c r="N11" s="1">
        <v>0.57397703</v>
      </c>
      <c r="O11" s="1">
        <v>0.53671625000000001</v>
      </c>
      <c r="P11" s="1">
        <v>0.50973402999999995</v>
      </c>
      <c r="Q11" s="1">
        <v>0.50096061000000003</v>
      </c>
      <c r="X11" s="11" t="s">
        <v>38</v>
      </c>
      <c r="Y11" s="7">
        <v>0.58779693</v>
      </c>
      <c r="Z11" s="7">
        <v>0.53671625000000001</v>
      </c>
      <c r="AA11" s="6">
        <f t="shared" si="0"/>
        <v>0</v>
      </c>
      <c r="AB11" s="5">
        <f t="shared" si="1"/>
        <v>0</v>
      </c>
    </row>
    <row r="12" spans="1:28" x14ac:dyDescent="0.25">
      <c r="A12" t="s">
        <v>18</v>
      </c>
      <c r="B12" s="1">
        <v>0.53942997999999998</v>
      </c>
      <c r="C12" s="1"/>
      <c r="D12" s="1">
        <v>0.51246681000000005</v>
      </c>
      <c r="E12" s="1"/>
      <c r="F12" s="1">
        <v>0.50954098000000003</v>
      </c>
      <c r="G12" s="1">
        <v>0.51112955000000004</v>
      </c>
      <c r="H12" s="1">
        <v>0.49783226000000003</v>
      </c>
      <c r="I12" s="1"/>
      <c r="J12" s="1">
        <v>0.50525710000000001</v>
      </c>
      <c r="K12" s="1"/>
      <c r="L12" s="1">
        <v>0.47549319000000001</v>
      </c>
      <c r="M12" s="1"/>
      <c r="N12" s="1">
        <v>0.49355238000000001</v>
      </c>
      <c r="O12" s="4">
        <f>+P12</f>
        <v>0.49140387000000002</v>
      </c>
      <c r="P12" s="1">
        <v>0.49140387000000002</v>
      </c>
      <c r="Q12" s="1"/>
      <c r="X12" s="11" t="s">
        <v>39</v>
      </c>
      <c r="Y12" s="7">
        <v>0.51246681000000005</v>
      </c>
      <c r="Z12" s="7">
        <v>0.49140387000000002</v>
      </c>
      <c r="AA12" s="6">
        <f t="shared" si="0"/>
        <v>0</v>
      </c>
      <c r="AB12" s="5">
        <f t="shared" si="1"/>
        <v>0</v>
      </c>
    </row>
    <row r="13" spans="1:28" x14ac:dyDescent="0.25">
      <c r="A13" t="s">
        <v>19</v>
      </c>
      <c r="B13" s="1"/>
      <c r="C13" s="1">
        <v>0.53141592000000004</v>
      </c>
      <c r="D13" s="4">
        <f>+C13</f>
        <v>0.53141592000000004</v>
      </c>
      <c r="E13" s="1"/>
      <c r="F13" s="1"/>
      <c r="G13" s="1">
        <v>0.49219562</v>
      </c>
      <c r="H13" s="1"/>
      <c r="I13" s="1"/>
      <c r="J13" s="1"/>
      <c r="K13" s="1">
        <v>0.44170883999999999</v>
      </c>
      <c r="L13" s="1"/>
      <c r="M13" s="1"/>
      <c r="N13" s="1"/>
      <c r="O13" s="4">
        <f>+P13</f>
        <v>0.46564378000000001</v>
      </c>
      <c r="P13" s="1">
        <v>0.46564378000000001</v>
      </c>
      <c r="Q13" s="1"/>
      <c r="X13" s="11" t="s">
        <v>40</v>
      </c>
      <c r="Y13" s="7">
        <v>0.48880179000000001</v>
      </c>
      <c r="Z13" s="7">
        <v>0.46564378000000001</v>
      </c>
      <c r="AA13" s="6">
        <f t="shared" si="0"/>
        <v>4.2614130000000028E-2</v>
      </c>
      <c r="AB13" s="5">
        <f t="shared" si="1"/>
        <v>0</v>
      </c>
    </row>
    <row r="14" spans="1:28" x14ac:dyDescent="0.25">
      <c r="A14" t="s">
        <v>20</v>
      </c>
      <c r="B14" s="1"/>
      <c r="C14" s="1"/>
      <c r="D14" s="4">
        <f>+J14</f>
        <v>0.52632168000000001</v>
      </c>
      <c r="E14" s="1"/>
      <c r="F14" s="1"/>
      <c r="G14" s="1"/>
      <c r="H14" s="1"/>
      <c r="I14" s="1"/>
      <c r="J14" s="1">
        <v>0.52632168000000001</v>
      </c>
      <c r="K14" s="1">
        <v>0.52031280000000002</v>
      </c>
      <c r="L14" s="1">
        <v>0.51911792999999995</v>
      </c>
      <c r="M14" s="1">
        <v>0.51830704999999999</v>
      </c>
      <c r="N14" s="1">
        <v>0.51901818</v>
      </c>
      <c r="O14" s="1">
        <v>0.51664858999999996</v>
      </c>
      <c r="P14" s="1">
        <v>0.50696801999999996</v>
      </c>
      <c r="Q14" s="1">
        <v>0.50981854999999998</v>
      </c>
      <c r="X14" s="11" t="s">
        <v>41</v>
      </c>
      <c r="Y14" s="7">
        <v>0.52867695999999997</v>
      </c>
      <c r="Z14" s="7">
        <v>0.51664858999999996</v>
      </c>
      <c r="AA14" s="6">
        <f t="shared" si="0"/>
        <v>-2.3552799999999596E-3</v>
      </c>
      <c r="AB14" s="5">
        <f t="shared" si="1"/>
        <v>0</v>
      </c>
    </row>
    <row r="15" spans="1:28" x14ac:dyDescent="0.25">
      <c r="A15" t="s">
        <v>21</v>
      </c>
      <c r="B15" s="1"/>
      <c r="C15" s="1"/>
      <c r="D15" s="4">
        <f>+F15</f>
        <v>0.51196593999999995</v>
      </c>
      <c r="E15" s="1"/>
      <c r="F15" s="1">
        <v>0.51196593999999995</v>
      </c>
      <c r="G15" s="1">
        <v>0.51838856</v>
      </c>
      <c r="H15" s="1">
        <v>0.51666634</v>
      </c>
      <c r="I15" s="1">
        <v>0.51352755000000005</v>
      </c>
      <c r="J15" s="1">
        <v>0.48549455000000002</v>
      </c>
      <c r="K15" s="1">
        <v>0.47957114000000001</v>
      </c>
      <c r="L15" s="1">
        <v>0.46206256000000001</v>
      </c>
      <c r="M15" s="1">
        <v>0.45476773999999998</v>
      </c>
      <c r="N15" s="1">
        <v>0.45105739</v>
      </c>
      <c r="O15" s="1">
        <v>0.44726811</v>
      </c>
      <c r="P15" s="1">
        <v>0.44136618</v>
      </c>
      <c r="Q15" s="1">
        <v>0.44290905000000003</v>
      </c>
      <c r="X15" s="11" t="s">
        <v>42</v>
      </c>
      <c r="Y15" s="7">
        <v>0.51196593999999995</v>
      </c>
      <c r="Z15" s="7">
        <v>0.44726811</v>
      </c>
      <c r="AA15" s="6">
        <f t="shared" si="0"/>
        <v>0</v>
      </c>
      <c r="AB15" s="5">
        <f t="shared" si="1"/>
        <v>0</v>
      </c>
    </row>
    <row r="16" spans="1:28" x14ac:dyDescent="0.25">
      <c r="A16" t="s">
        <v>22</v>
      </c>
      <c r="B16" s="1"/>
      <c r="C16" s="1">
        <v>0.54830040000000002</v>
      </c>
      <c r="D16" s="1">
        <v>0.57335537000000003</v>
      </c>
      <c r="E16" s="1">
        <v>0.55551609999999996</v>
      </c>
      <c r="F16" s="1">
        <v>0.52587450999999996</v>
      </c>
      <c r="G16" s="1">
        <v>0.51372454999999995</v>
      </c>
      <c r="H16" s="1">
        <v>0.53634501000000001</v>
      </c>
      <c r="I16" s="1">
        <v>0.52089498999999995</v>
      </c>
      <c r="J16" s="1">
        <v>0.51036471999999999</v>
      </c>
      <c r="K16" s="1">
        <v>0.49665879000000002</v>
      </c>
      <c r="L16" s="1">
        <v>0.51834696999999996</v>
      </c>
      <c r="M16" s="1">
        <v>0.52601081999999999</v>
      </c>
      <c r="N16" s="1">
        <v>0.48167592999999997</v>
      </c>
      <c r="O16" s="1">
        <v>0.48296661000000002</v>
      </c>
      <c r="P16" s="1">
        <v>0.51671718</v>
      </c>
      <c r="Q16" s="1">
        <v>0.47981648999999998</v>
      </c>
      <c r="X16" s="11" t="s">
        <v>43</v>
      </c>
      <c r="Y16" s="7">
        <v>0.57335537000000003</v>
      </c>
      <c r="Z16" s="7">
        <v>0.48296661000000002</v>
      </c>
      <c r="AA16" s="6">
        <f t="shared" si="0"/>
        <v>0</v>
      </c>
      <c r="AB16" s="5">
        <f t="shared" si="1"/>
        <v>0</v>
      </c>
    </row>
    <row r="17" spans="1:28" x14ac:dyDescent="0.25">
      <c r="A17" t="s">
        <v>23</v>
      </c>
      <c r="B17" s="1">
        <v>0.51307807999999999</v>
      </c>
      <c r="C17" s="1">
        <v>0.51144626000000004</v>
      </c>
      <c r="D17" s="1">
        <v>0.51535317999999997</v>
      </c>
      <c r="E17" s="1">
        <v>0.50722341999999998</v>
      </c>
      <c r="F17" s="1">
        <v>0.47381546000000002</v>
      </c>
      <c r="G17" s="1">
        <v>0.47884643999999998</v>
      </c>
      <c r="H17" s="1">
        <v>0.45443613999999999</v>
      </c>
      <c r="I17" s="1">
        <v>0.45238268999999998</v>
      </c>
      <c r="J17" s="1">
        <v>0.46654286</v>
      </c>
      <c r="K17" s="1">
        <v>0.45928237999999999</v>
      </c>
      <c r="L17" s="1">
        <v>0.44525523</v>
      </c>
      <c r="M17" s="1">
        <v>0.42429789000000001</v>
      </c>
      <c r="N17" s="1">
        <v>0.41800945</v>
      </c>
      <c r="O17" s="1">
        <v>0.43512373999999998</v>
      </c>
      <c r="P17" s="1">
        <v>0.41835668999999998</v>
      </c>
      <c r="Q17" s="1">
        <v>0.40752209</v>
      </c>
      <c r="X17" s="11" t="s">
        <v>44</v>
      </c>
      <c r="Y17" s="7">
        <v>0.51535317999999997</v>
      </c>
      <c r="Z17" s="7">
        <v>0.43512373999999998</v>
      </c>
      <c r="AA17" s="6">
        <f t="shared" si="0"/>
        <v>0</v>
      </c>
      <c r="AB17" s="5">
        <f t="shared" si="1"/>
        <v>0</v>
      </c>
    </row>
    <row r="18" spans="1:28" x14ac:dyDescent="0.25">
      <c r="A18" t="s">
        <v>24</v>
      </c>
      <c r="B18" s="1">
        <v>0.44388198000000001</v>
      </c>
      <c r="C18" s="1">
        <v>0.46167232000000002</v>
      </c>
      <c r="D18" s="1">
        <v>0.46655236999999999</v>
      </c>
      <c r="E18" s="1">
        <v>0.46218712000000001</v>
      </c>
      <c r="F18" s="1">
        <v>0.47134747999999999</v>
      </c>
      <c r="G18" s="1">
        <v>0.45867450999999998</v>
      </c>
      <c r="H18" s="1">
        <v>0.47397528999999999</v>
      </c>
      <c r="I18" s="1">
        <v>0.47909996999999999</v>
      </c>
      <c r="J18" s="1">
        <v>0.46468576</v>
      </c>
      <c r="K18" s="1">
        <v>0.46476558000000001</v>
      </c>
      <c r="L18" s="1">
        <v>0.45482158</v>
      </c>
      <c r="M18" s="1">
        <v>0.43591302999999998</v>
      </c>
      <c r="N18" s="1">
        <v>0.41522930000000002</v>
      </c>
      <c r="O18" s="1">
        <v>0.42083306999999998</v>
      </c>
      <c r="P18" s="1">
        <v>0.41795824999999998</v>
      </c>
      <c r="Q18" s="1">
        <v>0.42006956000000001</v>
      </c>
      <c r="X18" s="11" t="s">
        <v>45</v>
      </c>
      <c r="Y18" s="7">
        <v>0.46655236999999999</v>
      </c>
      <c r="Z18" s="7">
        <v>0.42083306999999998</v>
      </c>
      <c r="AA18" s="6">
        <f t="shared" si="0"/>
        <v>0</v>
      </c>
      <c r="AB18" s="5">
        <f t="shared" si="1"/>
        <v>0</v>
      </c>
    </row>
    <row r="19" spans="1:28" x14ac:dyDescent="0.25">
      <c r="A19" t="s">
        <v>25</v>
      </c>
      <c r="B19" s="1">
        <v>0.44648387</v>
      </c>
      <c r="C19" s="1">
        <v>0.46893898000000001</v>
      </c>
      <c r="D19" s="1">
        <v>0.4815468</v>
      </c>
      <c r="E19" s="1">
        <v>0.47090917999999998</v>
      </c>
      <c r="F19" s="1">
        <v>0.46377694000000003</v>
      </c>
      <c r="G19" s="1">
        <v>0.48376624000000001</v>
      </c>
      <c r="H19" s="1">
        <v>0.43927473</v>
      </c>
      <c r="I19" s="1">
        <v>0.41931698000000001</v>
      </c>
      <c r="J19" s="1">
        <v>0.40520031000000001</v>
      </c>
      <c r="K19" s="1">
        <v>0.40729585000000001</v>
      </c>
      <c r="L19" s="1">
        <v>0.39077666999999999</v>
      </c>
      <c r="M19" s="1">
        <v>0.39415910999999998</v>
      </c>
      <c r="N19" s="1">
        <v>0.40829281000000001</v>
      </c>
      <c r="O19" s="4">
        <f>+N19</f>
        <v>0.40829281000000001</v>
      </c>
      <c r="P19" s="1"/>
      <c r="Q19" s="1"/>
      <c r="X19" s="12" t="s">
        <v>46</v>
      </c>
      <c r="Y19" s="10">
        <v>0.4815468</v>
      </c>
      <c r="Z19" s="10">
        <v>0.40829281000000001</v>
      </c>
      <c r="AA19" s="6">
        <f t="shared" si="0"/>
        <v>0</v>
      </c>
      <c r="AB19" s="5">
        <f t="shared" si="1"/>
        <v>0</v>
      </c>
    </row>
    <row r="22" spans="1:28" x14ac:dyDescent="0.25">
      <c r="A22" s="2" t="s">
        <v>26</v>
      </c>
      <c r="B22" s="25"/>
      <c r="C22" s="25"/>
    </row>
    <row r="23" spans="1:28" x14ac:dyDescent="0.25">
      <c r="A23" s="3">
        <v>0.4</v>
      </c>
      <c r="B23" s="26"/>
      <c r="C23" s="26"/>
    </row>
    <row r="24" spans="1:28" x14ac:dyDescent="0.25">
      <c r="A24" s="3">
        <v>0.6</v>
      </c>
      <c r="B24" s="26"/>
      <c r="C24" s="26"/>
    </row>
  </sheetData>
  <conditionalFormatting sqref="AA2:AA19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B2:AB1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J27"/>
  <sheetViews>
    <sheetView showGridLines="0" workbookViewId="0">
      <selection activeCell="D51" sqref="D51"/>
    </sheetView>
  </sheetViews>
  <sheetFormatPr defaultRowHeight="15" x14ac:dyDescent="0.25"/>
  <cols>
    <col min="1" max="1" width="5" bestFit="1" customWidth="1"/>
    <col min="2" max="10" width="11.28515625" bestFit="1" customWidth="1"/>
  </cols>
  <sheetData>
    <row r="1" spans="1:10" x14ac:dyDescent="0.25">
      <c r="B1" t="s">
        <v>54</v>
      </c>
      <c r="C1" t="s">
        <v>55</v>
      </c>
      <c r="D1" t="s">
        <v>56</v>
      </c>
      <c r="E1" t="s">
        <v>57</v>
      </c>
      <c r="F1" t="s">
        <v>58</v>
      </c>
      <c r="G1" t="s">
        <v>59</v>
      </c>
      <c r="H1" t="s">
        <v>60</v>
      </c>
      <c r="I1" t="s">
        <v>61</v>
      </c>
      <c r="J1" t="s">
        <v>62</v>
      </c>
    </row>
    <row r="2" spans="1:10" x14ac:dyDescent="0.25">
      <c r="A2" t="s">
        <v>8</v>
      </c>
      <c r="B2" s="15">
        <v>95.730140000000006</v>
      </c>
      <c r="C2" s="15">
        <v>96.883189999999999</v>
      </c>
      <c r="D2" s="15">
        <v>97.525989999999993</v>
      </c>
      <c r="E2" s="15">
        <v>89.662819999999996</v>
      </c>
      <c r="F2" s="15">
        <v>95.546229999999994</v>
      </c>
      <c r="G2" s="15">
        <v>87.601699999999994</v>
      </c>
      <c r="H2" s="15">
        <v>83.662099999999995</v>
      </c>
      <c r="I2" s="15">
        <v>75.039439999999999</v>
      </c>
      <c r="J2" s="15">
        <v>78.533159999999995</v>
      </c>
    </row>
    <row r="3" spans="1:10" x14ac:dyDescent="0.25">
      <c r="A3" t="s">
        <v>9</v>
      </c>
      <c r="B3" s="15">
        <v>90.07732</v>
      </c>
      <c r="C3" s="15">
        <v>91.390730000000005</v>
      </c>
      <c r="D3" s="15">
        <v>86.814019999999999</v>
      </c>
      <c r="E3" s="15">
        <v>68.598619999999997</v>
      </c>
      <c r="F3" s="15">
        <v>63.668430000000001</v>
      </c>
      <c r="G3" s="15">
        <v>72.116259999999997</v>
      </c>
      <c r="H3" s="15">
        <v>78.10284</v>
      </c>
      <c r="I3" s="15">
        <v>63.432839999999999</v>
      </c>
      <c r="J3" s="15">
        <v>52.990659999999998</v>
      </c>
    </row>
    <row r="4" spans="1:10" x14ac:dyDescent="0.25">
      <c r="A4" t="s">
        <v>10</v>
      </c>
      <c r="B4" s="15">
        <v>92.622960000000006</v>
      </c>
      <c r="C4" s="15">
        <v>86.378039999999999</v>
      </c>
      <c r="D4" s="15">
        <v>85.964910000000003</v>
      </c>
      <c r="E4" s="15">
        <v>86.277869999999993</v>
      </c>
      <c r="F4" s="15">
        <v>83.375960000000006</v>
      </c>
      <c r="G4" s="15">
        <v>77.913049999999998</v>
      </c>
      <c r="H4" s="15">
        <v>85.135140000000007</v>
      </c>
      <c r="I4" s="15">
        <v>80.952380000000005</v>
      </c>
      <c r="J4" s="15">
        <v>92.326530000000005</v>
      </c>
    </row>
    <row r="5" spans="1:10" x14ac:dyDescent="0.25">
      <c r="A5" t="s">
        <v>11</v>
      </c>
      <c r="B5" s="15">
        <v>88.393770000000004</v>
      </c>
      <c r="C5" s="15">
        <v>90.204470000000001</v>
      </c>
      <c r="D5" s="15">
        <v>90.867090000000005</v>
      </c>
      <c r="E5" s="15">
        <v>90.230310000000003</v>
      </c>
      <c r="F5" s="15">
        <v>85.074929999999995</v>
      </c>
      <c r="G5" s="15">
        <v>87.898740000000004</v>
      </c>
      <c r="H5" s="15">
        <v>94.086110000000005</v>
      </c>
      <c r="I5" s="15">
        <v>89.508210000000005</v>
      </c>
      <c r="J5" s="15">
        <v>94.941569999999999</v>
      </c>
    </row>
    <row r="6" spans="1:10" x14ac:dyDescent="0.25">
      <c r="A6" t="s">
        <v>12</v>
      </c>
      <c r="B6" s="15">
        <v>84.786550000000005</v>
      </c>
      <c r="C6" s="15">
        <v>95.81241</v>
      </c>
      <c r="D6" s="15">
        <v>90.709680000000006</v>
      </c>
      <c r="E6" s="15">
        <v>81.378489999999999</v>
      </c>
      <c r="F6" s="15">
        <v>80.838480000000004</v>
      </c>
      <c r="G6" s="15">
        <v>84.779049999999998</v>
      </c>
      <c r="H6" s="15">
        <v>87.821979999999996</v>
      </c>
      <c r="I6" s="15">
        <v>85.383899999999997</v>
      </c>
      <c r="J6" s="15">
        <v>85.589370000000002</v>
      </c>
    </row>
    <row r="7" spans="1:10" x14ac:dyDescent="0.25">
      <c r="A7" t="s">
        <v>13</v>
      </c>
      <c r="B7" s="15">
        <v>77.281940000000006</v>
      </c>
      <c r="C7" s="15">
        <v>84.517489999999995</v>
      </c>
      <c r="D7" s="15">
        <v>75</v>
      </c>
      <c r="E7" s="15">
        <v>70.427700000000002</v>
      </c>
      <c r="F7" s="15">
        <v>69.556030000000007</v>
      </c>
      <c r="G7" s="15">
        <v>73.084879999999998</v>
      </c>
      <c r="H7" s="15">
        <v>75.436800000000005</v>
      </c>
      <c r="I7" s="15">
        <v>84.137190000000004</v>
      </c>
      <c r="J7" s="15">
        <v>81.294970000000006</v>
      </c>
    </row>
    <row r="8" spans="1:10" x14ac:dyDescent="0.25">
      <c r="A8" t="s">
        <v>14</v>
      </c>
      <c r="B8" s="15"/>
      <c r="C8" s="15"/>
      <c r="D8" s="13">
        <v>74.32978</v>
      </c>
      <c r="E8" s="15">
        <v>74.32978</v>
      </c>
      <c r="F8" s="15">
        <v>71.554130000000001</v>
      </c>
      <c r="G8" s="15">
        <v>87.693129999999996</v>
      </c>
      <c r="H8" s="15">
        <v>92.418300000000002</v>
      </c>
      <c r="I8" s="15">
        <v>72.611469999999997</v>
      </c>
      <c r="J8" s="15">
        <v>74.406750000000002</v>
      </c>
    </row>
    <row r="9" spans="1:10" x14ac:dyDescent="0.25">
      <c r="A9" t="s">
        <v>15</v>
      </c>
      <c r="B9" s="15">
        <v>87.455830000000006</v>
      </c>
      <c r="C9" s="15">
        <v>89.981669999999994</v>
      </c>
      <c r="D9" s="15">
        <v>88.320390000000003</v>
      </c>
      <c r="E9" s="15">
        <v>77.392039999999994</v>
      </c>
      <c r="F9" s="15">
        <v>71.041120000000006</v>
      </c>
      <c r="G9" s="15">
        <v>65.532290000000003</v>
      </c>
      <c r="H9" s="15">
        <v>55.584409999999998</v>
      </c>
      <c r="I9" s="14">
        <v>43.67841</v>
      </c>
      <c r="J9" s="15">
        <v>46.210039999999999</v>
      </c>
    </row>
    <row r="10" spans="1:10" x14ac:dyDescent="0.25">
      <c r="A10" t="s">
        <v>16</v>
      </c>
      <c r="B10" s="15">
        <v>62.970939999999999</v>
      </c>
      <c r="C10" s="15">
        <v>85.035960000000003</v>
      </c>
      <c r="D10" s="15">
        <v>87.138099999999994</v>
      </c>
      <c r="E10" s="15">
        <v>75.562010000000001</v>
      </c>
      <c r="F10" s="15">
        <v>85.217269999999999</v>
      </c>
      <c r="G10" s="15">
        <v>82.779660000000007</v>
      </c>
      <c r="H10" s="15">
        <v>83.17747</v>
      </c>
      <c r="I10" s="15">
        <v>76.253879999999995</v>
      </c>
      <c r="J10" s="15">
        <v>78.605419999999995</v>
      </c>
    </row>
    <row r="11" spans="1:10" x14ac:dyDescent="0.25">
      <c r="A11" t="s">
        <v>17</v>
      </c>
      <c r="B11" s="15">
        <v>75.644999999999996</v>
      </c>
      <c r="C11" s="15">
        <v>91.724000000000004</v>
      </c>
      <c r="D11" s="15">
        <v>81.613979999999998</v>
      </c>
      <c r="E11" s="15">
        <v>78.85266</v>
      </c>
      <c r="F11" s="15">
        <v>79.390820000000005</v>
      </c>
      <c r="G11" s="15">
        <v>78.82235</v>
      </c>
      <c r="H11" s="15">
        <v>87.641959999999997</v>
      </c>
      <c r="I11" s="15">
        <v>87.051810000000003</v>
      </c>
      <c r="J11" s="15">
        <v>79.836330000000004</v>
      </c>
    </row>
    <row r="12" spans="1:10" x14ac:dyDescent="0.25">
      <c r="A12" t="s">
        <v>18</v>
      </c>
      <c r="B12" s="15">
        <v>71.216340000000002</v>
      </c>
      <c r="C12" s="15">
        <v>82.625609999999995</v>
      </c>
      <c r="D12" s="15">
        <v>92.273700000000005</v>
      </c>
      <c r="E12" s="15">
        <v>74.957120000000003</v>
      </c>
      <c r="F12" s="15">
        <v>84.364260000000002</v>
      </c>
      <c r="G12" s="15">
        <v>84.563190000000006</v>
      </c>
      <c r="H12" s="15">
        <v>84.721029999999999</v>
      </c>
      <c r="I12" s="15">
        <v>79.964849999999998</v>
      </c>
      <c r="J12" s="15">
        <v>82.423209999999997</v>
      </c>
    </row>
    <row r="13" spans="1:10" x14ac:dyDescent="0.25">
      <c r="A13" t="s">
        <v>19</v>
      </c>
      <c r="B13" s="15">
        <v>62.538069999999998</v>
      </c>
      <c r="C13" s="15">
        <v>84.591520000000003</v>
      </c>
      <c r="D13" s="15">
        <v>78.390299999999996</v>
      </c>
      <c r="E13" s="15">
        <v>69.577060000000003</v>
      </c>
      <c r="F13" s="15">
        <v>80.7119</v>
      </c>
      <c r="G13" s="15">
        <v>73.796490000000006</v>
      </c>
      <c r="H13" s="15">
        <v>72.703130000000002</v>
      </c>
      <c r="I13" s="15">
        <v>54.9497</v>
      </c>
      <c r="J13" s="15">
        <v>57.824069999999999</v>
      </c>
    </row>
    <row r="14" spans="1:10" x14ac:dyDescent="0.25">
      <c r="A14" t="s">
        <v>20</v>
      </c>
      <c r="B14" s="15">
        <v>79.079080000000005</v>
      </c>
      <c r="C14" s="15">
        <v>94.866069999999993</v>
      </c>
      <c r="D14" s="15">
        <v>91.79562</v>
      </c>
      <c r="E14" s="15">
        <v>81.713260000000005</v>
      </c>
      <c r="F14" s="15">
        <v>73.024240000000006</v>
      </c>
      <c r="G14" s="15">
        <v>66.701350000000005</v>
      </c>
      <c r="H14" s="15">
        <v>66.145830000000004</v>
      </c>
      <c r="I14" s="15">
        <v>63.213529999999999</v>
      </c>
      <c r="J14" s="15">
        <v>62.108559999999997</v>
      </c>
    </row>
    <row r="15" spans="1:10" x14ac:dyDescent="0.25">
      <c r="A15" t="s">
        <v>21</v>
      </c>
      <c r="B15" s="15">
        <v>85.798240000000007</v>
      </c>
      <c r="C15" s="15">
        <v>94.630200000000002</v>
      </c>
      <c r="D15" s="15">
        <v>86.060919999999996</v>
      </c>
      <c r="E15" s="15">
        <v>91.262979999999999</v>
      </c>
      <c r="F15" s="15">
        <v>88.849559999999997</v>
      </c>
      <c r="G15" s="15">
        <v>85.548609999999996</v>
      </c>
      <c r="H15" s="15">
        <v>85.826089999999994</v>
      </c>
      <c r="I15" s="15">
        <v>82.005369999999999</v>
      </c>
      <c r="J15" s="15">
        <v>82.273949999999999</v>
      </c>
    </row>
    <row r="16" spans="1:10" x14ac:dyDescent="0.25">
      <c r="A16" t="s">
        <v>22</v>
      </c>
      <c r="B16" s="15">
        <v>88.026820000000001</v>
      </c>
      <c r="C16" s="15">
        <v>94.464699999999993</v>
      </c>
      <c r="D16" s="15">
        <v>92.275170000000003</v>
      </c>
      <c r="E16" s="15">
        <v>93.774919999999995</v>
      </c>
      <c r="F16" s="15">
        <v>82.643550000000005</v>
      </c>
      <c r="G16" s="15">
        <v>79.688190000000006</v>
      </c>
      <c r="H16" s="15">
        <v>77.247990000000001</v>
      </c>
      <c r="I16" s="15">
        <v>90.216220000000007</v>
      </c>
      <c r="J16" s="15">
        <v>85.678319999999999</v>
      </c>
    </row>
    <row r="17" spans="1:10" x14ac:dyDescent="0.25">
      <c r="A17" t="s">
        <v>23</v>
      </c>
      <c r="B17" s="15">
        <v>60.909089999999999</v>
      </c>
      <c r="C17" s="15">
        <v>83.627110000000002</v>
      </c>
      <c r="D17" s="15">
        <v>81.354699999999994</v>
      </c>
      <c r="E17" s="15">
        <v>72.958439999999996</v>
      </c>
      <c r="F17" s="15">
        <v>73.908580000000001</v>
      </c>
      <c r="G17" s="15">
        <v>82.044470000000004</v>
      </c>
      <c r="H17" s="15">
        <v>81.586429999999993</v>
      </c>
      <c r="I17" s="15">
        <v>69.912880000000001</v>
      </c>
      <c r="J17" s="15">
        <v>76.740939999999995</v>
      </c>
    </row>
    <row r="18" spans="1:10" x14ac:dyDescent="0.25">
      <c r="A18" t="s">
        <v>24</v>
      </c>
      <c r="B18" s="15">
        <v>78.871799999999993</v>
      </c>
      <c r="C18" s="15">
        <v>91.863259999999997</v>
      </c>
      <c r="D18" s="15">
        <v>91.61054</v>
      </c>
      <c r="E18" s="15">
        <v>79.505300000000005</v>
      </c>
      <c r="F18" s="15">
        <v>66.188339999999997</v>
      </c>
      <c r="G18" s="15">
        <v>72.783690000000007</v>
      </c>
      <c r="H18" s="15">
        <v>71.543270000000007</v>
      </c>
      <c r="I18" s="15">
        <v>63.44464</v>
      </c>
      <c r="J18" s="15">
        <v>65.706810000000004</v>
      </c>
    </row>
    <row r="19" spans="1:10" x14ac:dyDescent="0.25">
      <c r="A19" t="s">
        <v>25</v>
      </c>
      <c r="B19" s="15">
        <v>85.227270000000004</v>
      </c>
      <c r="C19" s="15">
        <v>72.188540000000003</v>
      </c>
      <c r="D19" s="15">
        <v>74.600369999999998</v>
      </c>
      <c r="E19" s="15">
        <v>43.096890000000002</v>
      </c>
      <c r="F19" s="15">
        <v>66.365520000000004</v>
      </c>
      <c r="G19" s="15">
        <v>59.727310000000003</v>
      </c>
      <c r="H19" s="15">
        <v>67.350399999999993</v>
      </c>
      <c r="I19" s="15">
        <v>55.622309999999999</v>
      </c>
      <c r="J19" s="15">
        <v>74.032679999999999</v>
      </c>
    </row>
    <row r="21" spans="1:10" x14ac:dyDescent="0.25">
      <c r="A21" s="18" t="s">
        <v>63</v>
      </c>
      <c r="B21" s="16"/>
      <c r="C21" s="17">
        <v>38.67841</v>
      </c>
    </row>
    <row r="22" spans="1:10" x14ac:dyDescent="0.25">
      <c r="A22" s="19"/>
      <c r="B22" s="20"/>
      <c r="C22" s="20"/>
    </row>
    <row r="23" spans="1:10" x14ac:dyDescent="0.25">
      <c r="A23" s="19"/>
      <c r="B23" s="20"/>
      <c r="C23" s="20"/>
    </row>
    <row r="24" spans="1:10" x14ac:dyDescent="0.25">
      <c r="A24" s="19"/>
      <c r="B24" s="20"/>
      <c r="C24" s="20"/>
    </row>
    <row r="25" spans="1:10" x14ac:dyDescent="0.25">
      <c r="A25" s="21" t="s">
        <v>26</v>
      </c>
      <c r="B25" s="22"/>
      <c r="C25" s="20"/>
    </row>
    <row r="26" spans="1:10" x14ac:dyDescent="0.25">
      <c r="A26" s="23">
        <v>30</v>
      </c>
      <c r="B26" s="23"/>
      <c r="C26" s="20"/>
    </row>
    <row r="27" spans="1:10" x14ac:dyDescent="0.25">
      <c r="A27" s="23">
        <v>100</v>
      </c>
      <c r="B27" s="23"/>
      <c r="C27" s="20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0"/>
  <dimension ref="A1:Y841"/>
  <sheetViews>
    <sheetView showGridLines="0" tabSelected="1" topLeftCell="G7" zoomScale="90" zoomScaleNormal="90" workbookViewId="0">
      <selection activeCell="N28" sqref="N28"/>
    </sheetView>
  </sheetViews>
  <sheetFormatPr defaultColWidth="9.140625" defaultRowHeight="16.5" x14ac:dyDescent="0.3"/>
  <cols>
    <col min="1" max="1" width="8" style="24" bestFit="1" customWidth="1"/>
    <col min="2" max="2" width="21.5703125" style="24" bestFit="1" customWidth="1"/>
    <col min="3" max="3" width="30.7109375" style="24" bestFit="1" customWidth="1"/>
    <col min="4" max="4" width="11.7109375" style="24" bestFit="1" customWidth="1"/>
    <col min="5" max="5" width="11" style="24" bestFit="1" customWidth="1"/>
    <col min="6" max="6" width="18.7109375" style="24" bestFit="1" customWidth="1"/>
    <col min="7" max="7" width="19.5703125" style="24" bestFit="1" customWidth="1"/>
    <col min="8" max="9" width="16.42578125" style="24" bestFit="1" customWidth="1"/>
    <col min="10" max="10" width="32.7109375" style="78" bestFit="1" customWidth="1"/>
    <col min="11" max="11" width="26" style="78" bestFit="1" customWidth="1"/>
    <col min="12" max="12" width="15.7109375" style="78" bestFit="1" customWidth="1"/>
    <col min="13" max="13" width="15.5703125" style="78" bestFit="1" customWidth="1"/>
    <col min="14" max="14" width="16" style="78" customWidth="1"/>
    <col min="15" max="15" width="31.140625" style="78" bestFit="1" customWidth="1"/>
    <col min="16" max="16" width="26" style="78" bestFit="1" customWidth="1"/>
    <col min="17" max="17" width="15.7109375" style="78" bestFit="1" customWidth="1"/>
    <col min="18" max="18" width="15.5703125" style="78" bestFit="1" customWidth="1"/>
    <col min="19" max="19" width="15.5703125" style="78" customWidth="1"/>
    <col min="20" max="20" width="9.140625" style="78"/>
    <col min="21" max="21" width="36" style="78" bestFit="1" customWidth="1"/>
    <col min="22" max="22" width="26" style="78" bestFit="1" customWidth="1"/>
    <col min="23" max="23" width="15.7109375" style="78" bestFit="1" customWidth="1"/>
    <col min="24" max="24" width="15.5703125" style="78" bestFit="1" customWidth="1"/>
    <col min="25" max="25" width="9.140625" style="135"/>
    <col min="26" max="16384" width="9.140625" style="24"/>
  </cols>
  <sheetData>
    <row r="1" spans="1:24" x14ac:dyDescent="0.3">
      <c r="A1" s="24" t="s">
        <v>96</v>
      </c>
      <c r="B1" s="24" t="s">
        <v>97</v>
      </c>
      <c r="C1" s="24" t="s">
        <v>98</v>
      </c>
      <c r="D1" s="24" t="s">
        <v>99</v>
      </c>
      <c r="E1" s="24" t="s">
        <v>100</v>
      </c>
      <c r="F1" s="24" t="s">
        <v>101</v>
      </c>
      <c r="G1" s="24" t="s">
        <v>102</v>
      </c>
      <c r="H1" s="24" t="s">
        <v>103</v>
      </c>
    </row>
    <row r="2" spans="1:24" x14ac:dyDescent="0.3">
      <c r="A2" s="24" t="s">
        <v>8</v>
      </c>
      <c r="B2" s="24" t="s">
        <v>95</v>
      </c>
      <c r="C2" s="24" t="s">
        <v>79</v>
      </c>
      <c r="D2" s="138">
        <v>0.87054346000000005</v>
      </c>
      <c r="E2" s="138">
        <v>2.9997700000000001E-3</v>
      </c>
      <c r="F2" s="138">
        <v>0.22319443999999999</v>
      </c>
      <c r="G2" s="138">
        <v>7.4073589999999995E-2</v>
      </c>
      <c r="H2" s="24" t="s">
        <v>104</v>
      </c>
      <c r="J2" s="140" t="s">
        <v>96</v>
      </c>
      <c r="K2" s="141" t="s">
        <v>107</v>
      </c>
      <c r="O2" s="140" t="s">
        <v>96</v>
      </c>
      <c r="P2" s="141" t="s">
        <v>108</v>
      </c>
      <c r="U2" s="140" t="s">
        <v>96</v>
      </c>
      <c r="V2" s="141" t="s">
        <v>110</v>
      </c>
    </row>
    <row r="3" spans="1:24" x14ac:dyDescent="0.3">
      <c r="A3" s="24" t="s">
        <v>8</v>
      </c>
      <c r="B3" s="24" t="s">
        <v>95</v>
      </c>
      <c r="C3" s="24" t="s">
        <v>84</v>
      </c>
      <c r="D3" s="138">
        <v>0.65639340999999995</v>
      </c>
      <c r="E3" s="138">
        <v>0.15822828</v>
      </c>
      <c r="F3" s="138">
        <v>0.25570694999999999</v>
      </c>
      <c r="G3" s="138">
        <v>0.33318423000000003</v>
      </c>
      <c r="H3" s="24" t="s">
        <v>104</v>
      </c>
      <c r="J3" s="140" t="s">
        <v>103</v>
      </c>
      <c r="K3" s="141" t="s">
        <v>104</v>
      </c>
      <c r="O3" s="140" t="s">
        <v>103</v>
      </c>
      <c r="P3" s="141" t="s">
        <v>104</v>
      </c>
      <c r="U3" s="140" t="s">
        <v>103</v>
      </c>
      <c r="V3" s="141" t="s">
        <v>104</v>
      </c>
    </row>
    <row r="4" spans="1:24" x14ac:dyDescent="0.3">
      <c r="A4" s="24" t="s">
        <v>8</v>
      </c>
      <c r="B4" s="24" t="s">
        <v>95</v>
      </c>
      <c r="C4" s="24" t="s">
        <v>83</v>
      </c>
      <c r="D4" s="138">
        <v>0.73839825999999997</v>
      </c>
      <c r="E4" s="138">
        <v>0.12113061999999999</v>
      </c>
      <c r="F4" s="138">
        <v>0.25386284999999997</v>
      </c>
      <c r="G4" s="138">
        <v>0.30684045999999998</v>
      </c>
      <c r="H4" s="24" t="s">
        <v>104</v>
      </c>
    </row>
    <row r="5" spans="1:24" x14ac:dyDescent="0.3">
      <c r="A5" s="24" t="s">
        <v>8</v>
      </c>
      <c r="B5" s="24" t="s">
        <v>95</v>
      </c>
      <c r="C5" s="24" t="s">
        <v>82</v>
      </c>
      <c r="D5" s="138">
        <v>0.33042867999999997</v>
      </c>
      <c r="E5" s="138">
        <v>0.24425010999999999</v>
      </c>
      <c r="F5" s="138">
        <v>0.16348329</v>
      </c>
      <c r="G5" s="138">
        <v>0.39791341000000002</v>
      </c>
      <c r="H5" s="24" t="s">
        <v>104</v>
      </c>
      <c r="J5" s="140" t="s">
        <v>111</v>
      </c>
      <c r="K5" s="141"/>
      <c r="L5" s="141"/>
      <c r="M5" s="141"/>
      <c r="N5" s="141"/>
      <c r="O5" s="140" t="s">
        <v>111</v>
      </c>
      <c r="P5" s="141"/>
      <c r="Q5" s="141"/>
      <c r="R5" s="141"/>
      <c r="S5"/>
      <c r="U5" s="140" t="s">
        <v>111</v>
      </c>
      <c r="V5" s="141"/>
      <c r="W5" s="141"/>
      <c r="X5" s="141"/>
    </row>
    <row r="6" spans="1:24" x14ac:dyDescent="0.3">
      <c r="A6" s="24" t="s">
        <v>8</v>
      </c>
      <c r="B6" s="24" t="s">
        <v>95</v>
      </c>
      <c r="C6" s="24" t="s">
        <v>81</v>
      </c>
      <c r="D6" s="138">
        <v>0.33724121000000001</v>
      </c>
      <c r="E6" s="138">
        <v>0.24005929000000001</v>
      </c>
      <c r="F6" s="138">
        <v>0.16508159</v>
      </c>
      <c r="G6" s="138">
        <v>0.39790150000000002</v>
      </c>
      <c r="H6" s="24" t="s">
        <v>104</v>
      </c>
      <c r="J6" s="141"/>
      <c r="K6" s="141" t="s">
        <v>106</v>
      </c>
      <c r="L6" s="141" t="s">
        <v>95</v>
      </c>
      <c r="M6" s="141" t="s">
        <v>105</v>
      </c>
      <c r="N6" s="141"/>
      <c r="O6" s="141"/>
      <c r="P6" s="141" t="s">
        <v>106</v>
      </c>
      <c r="Q6" s="141" t="s">
        <v>95</v>
      </c>
      <c r="R6" s="141" t="s">
        <v>105</v>
      </c>
      <c r="S6"/>
      <c r="U6" s="141"/>
      <c r="V6" s="141" t="s">
        <v>106</v>
      </c>
      <c r="W6" s="141" t="s">
        <v>95</v>
      </c>
      <c r="X6" s="141" t="s">
        <v>105</v>
      </c>
    </row>
    <row r="7" spans="1:24" x14ac:dyDescent="0.3">
      <c r="A7" s="24" t="s">
        <v>8</v>
      </c>
      <c r="B7" s="24" t="s">
        <v>95</v>
      </c>
      <c r="C7" s="24" t="s">
        <v>85</v>
      </c>
      <c r="D7" s="138">
        <v>7.5763549999999999E-2</v>
      </c>
      <c r="E7" s="138">
        <v>0.86448393999999995</v>
      </c>
      <c r="F7" s="138">
        <v>0.28105469</v>
      </c>
      <c r="G7" s="138">
        <v>0.51697309000000002</v>
      </c>
      <c r="H7" s="24" t="s">
        <v>104</v>
      </c>
      <c r="J7" s="142" t="s">
        <v>85</v>
      </c>
      <c r="K7" s="143">
        <v>-0.20974709</v>
      </c>
      <c r="L7" s="143">
        <v>-0.10212758</v>
      </c>
      <c r="M7" s="143">
        <v>-0.17864959</v>
      </c>
      <c r="N7" s="143"/>
      <c r="O7" s="142" t="s">
        <v>85</v>
      </c>
      <c r="P7" s="143">
        <v>-0.71187060000000002</v>
      </c>
      <c r="Q7" s="143">
        <v>-0.46338112999999997</v>
      </c>
      <c r="R7" s="143">
        <v>-0.64161614</v>
      </c>
      <c r="S7"/>
      <c r="U7" s="142" t="s">
        <v>85</v>
      </c>
      <c r="V7" s="143">
        <v>-0.17873519722222225</v>
      </c>
      <c r="W7" s="143">
        <v>-0.10050412277777777</v>
      </c>
      <c r="X7" s="143">
        <v>-0.21770696944444445</v>
      </c>
    </row>
    <row r="8" spans="1:24" x14ac:dyDescent="0.3">
      <c r="A8" s="24" t="s">
        <v>8</v>
      </c>
      <c r="B8" s="24" t="s">
        <v>95</v>
      </c>
      <c r="C8" s="24" t="s">
        <v>92</v>
      </c>
      <c r="D8" s="138">
        <v>0.68050695000000005</v>
      </c>
      <c r="E8" s="138">
        <v>0.14363119999999999</v>
      </c>
      <c r="F8" s="138">
        <v>0.25297813000000002</v>
      </c>
      <c r="G8" s="138">
        <v>0.32658166999999999</v>
      </c>
      <c r="H8" s="24" t="s">
        <v>104</v>
      </c>
      <c r="J8" s="142" t="s">
        <v>84</v>
      </c>
      <c r="K8" s="143">
        <v>0.38286938999999998</v>
      </c>
      <c r="L8" s="143">
        <v>0.35060788999999998</v>
      </c>
      <c r="M8" s="143">
        <v>9.5489519999999994E-2</v>
      </c>
      <c r="N8" s="143"/>
      <c r="O8" s="142" t="s">
        <v>84</v>
      </c>
      <c r="P8" s="143">
        <v>0.84291282999999995</v>
      </c>
      <c r="Q8" s="143">
        <v>0.82277429999999996</v>
      </c>
      <c r="R8" s="143">
        <v>0.25336893999999999</v>
      </c>
      <c r="S8"/>
      <c r="U8" s="142" t="s">
        <v>84</v>
      </c>
      <c r="V8" s="143">
        <v>0.37413652166666667</v>
      </c>
      <c r="W8" s="143">
        <v>0.25562001333333328</v>
      </c>
      <c r="X8" s="143">
        <v>0.14988997444444443</v>
      </c>
    </row>
    <row r="9" spans="1:24" x14ac:dyDescent="0.3">
      <c r="A9" s="24" t="s">
        <v>8</v>
      </c>
      <c r="B9" s="24" t="s">
        <v>95</v>
      </c>
      <c r="C9" s="24" t="s">
        <v>80</v>
      </c>
      <c r="D9" s="138">
        <v>0.68472661000000001</v>
      </c>
      <c r="E9" s="138">
        <v>0.13460905000000001</v>
      </c>
      <c r="F9" s="138">
        <v>0.24693585000000001</v>
      </c>
      <c r="G9" s="138">
        <v>0.32560616999999997</v>
      </c>
      <c r="H9" s="24" t="s">
        <v>104</v>
      </c>
      <c r="J9" s="142" t="s">
        <v>83</v>
      </c>
      <c r="K9" s="143">
        <v>0.35827509000000002</v>
      </c>
      <c r="L9" s="143">
        <v>0.30070954</v>
      </c>
      <c r="M9" s="143">
        <v>0.12780847000000001</v>
      </c>
      <c r="N9" s="143"/>
      <c r="O9" s="142" t="s">
        <v>83</v>
      </c>
      <c r="P9" s="143">
        <v>0.83698362000000004</v>
      </c>
      <c r="Q9" s="143">
        <v>0.81862546999999997</v>
      </c>
      <c r="R9" s="143">
        <v>0.24855932</v>
      </c>
      <c r="S9"/>
      <c r="U9" s="142" t="s">
        <v>83</v>
      </c>
      <c r="V9" s="143">
        <v>0.38038920444444441</v>
      </c>
      <c r="W9" s="143">
        <v>0.27993893777777779</v>
      </c>
      <c r="X9" s="143">
        <v>0.12715948444444447</v>
      </c>
    </row>
    <row r="10" spans="1:24" x14ac:dyDescent="0.3">
      <c r="A10" s="24" t="s">
        <v>8</v>
      </c>
      <c r="B10" s="24" t="s">
        <v>95</v>
      </c>
      <c r="C10" s="24" t="s">
        <v>77</v>
      </c>
      <c r="D10" s="138">
        <v>0.73180902000000003</v>
      </c>
      <c r="E10" s="138">
        <v>0.12601968</v>
      </c>
      <c r="F10" s="138">
        <v>0.25609278000000002</v>
      </c>
      <c r="G10" s="138">
        <v>0.30877320000000003</v>
      </c>
      <c r="H10" s="24" t="s">
        <v>104</v>
      </c>
      <c r="J10" s="142" t="s">
        <v>82</v>
      </c>
      <c r="K10" s="143">
        <v>0.32955287</v>
      </c>
      <c r="L10" s="143">
        <v>0.36321207</v>
      </c>
      <c r="M10" s="143">
        <v>-4.0897299999999998E-3</v>
      </c>
      <c r="N10" s="143"/>
      <c r="O10" s="142" t="s">
        <v>82</v>
      </c>
      <c r="P10" s="143">
        <v>0.77963404000000003</v>
      </c>
      <c r="Q10" s="143">
        <v>0.78343591999999995</v>
      </c>
      <c r="R10" s="143">
        <v>0.19291391999999999</v>
      </c>
      <c r="S10"/>
      <c r="U10" s="142" t="s">
        <v>82</v>
      </c>
      <c r="V10" s="143">
        <v>0.18410750944444448</v>
      </c>
      <c r="W10" s="143">
        <v>0.19662595055555557</v>
      </c>
      <c r="X10" s="143">
        <v>9.7643888888888891E-2</v>
      </c>
    </row>
    <row r="11" spans="1:24" x14ac:dyDescent="0.3">
      <c r="A11" s="24" t="s">
        <v>8</v>
      </c>
      <c r="B11" s="24" t="s">
        <v>95</v>
      </c>
      <c r="C11" s="24" t="s">
        <v>76</v>
      </c>
      <c r="D11" s="138">
        <v>0.64560554000000003</v>
      </c>
      <c r="E11" s="138">
        <v>0.18261255000000001</v>
      </c>
      <c r="F11" s="138">
        <v>0.27057647000000001</v>
      </c>
      <c r="G11" s="138">
        <v>0.32794294000000002</v>
      </c>
      <c r="H11" s="24" t="s">
        <v>104</v>
      </c>
      <c r="J11" s="142" t="s">
        <v>81</v>
      </c>
      <c r="K11" s="143">
        <v>0.29202813999999999</v>
      </c>
      <c r="L11" s="143">
        <v>0.34977174999999999</v>
      </c>
      <c r="M11" s="143">
        <v>-4.2836180000000001E-2</v>
      </c>
      <c r="N11" s="143"/>
      <c r="O11" s="142" t="s">
        <v>81</v>
      </c>
      <c r="P11" s="143">
        <v>0.79842088</v>
      </c>
      <c r="Q11" s="143">
        <v>0.71990381000000003</v>
      </c>
      <c r="R11" s="143">
        <v>0.34980666999999999</v>
      </c>
      <c r="S11"/>
      <c r="U11" s="142" t="s">
        <v>81</v>
      </c>
      <c r="V11" s="143">
        <v>0.17752865388888886</v>
      </c>
      <c r="W11" s="143">
        <v>9.4932472777777804E-2</v>
      </c>
      <c r="X11" s="143">
        <v>0.19226702444444449</v>
      </c>
    </row>
    <row r="12" spans="1:24" x14ac:dyDescent="0.3">
      <c r="A12" s="24" t="s">
        <v>8</v>
      </c>
      <c r="B12" s="24" t="s">
        <v>95</v>
      </c>
      <c r="C12" s="24" t="s">
        <v>75</v>
      </c>
      <c r="D12" s="138">
        <v>0.94497792999999997</v>
      </c>
      <c r="E12" s="138">
        <v>2.73041E-3</v>
      </c>
      <c r="F12" s="138">
        <v>9.662867E-2</v>
      </c>
      <c r="G12" s="138">
        <v>0.23558140999999999</v>
      </c>
      <c r="H12" s="24" t="s">
        <v>104</v>
      </c>
      <c r="J12" s="142" t="s">
        <v>92</v>
      </c>
      <c r="K12" s="143">
        <v>0.38810865999999999</v>
      </c>
      <c r="L12" s="143">
        <v>0.35589334</v>
      </c>
      <c r="M12" s="143">
        <v>9.6111249999999995E-2</v>
      </c>
      <c r="N12" s="143"/>
      <c r="O12" s="142" t="s">
        <v>92</v>
      </c>
      <c r="P12" s="143">
        <v>0.84136040000000001</v>
      </c>
      <c r="Q12" s="143">
        <v>0.82218541000000001</v>
      </c>
      <c r="R12" s="143">
        <v>0.25119079999999999</v>
      </c>
      <c r="S12"/>
      <c r="U12" s="142" t="s">
        <v>92</v>
      </c>
      <c r="V12" s="143">
        <v>0.39156120166666664</v>
      </c>
      <c r="W12" s="143">
        <v>0.27793982500000003</v>
      </c>
      <c r="X12" s="143">
        <v>0.14657071555555556</v>
      </c>
    </row>
    <row r="13" spans="1:24" x14ac:dyDescent="0.3">
      <c r="A13" s="24" t="s">
        <v>8</v>
      </c>
      <c r="B13" s="24" t="s">
        <v>95</v>
      </c>
      <c r="C13" s="24" t="s">
        <v>74</v>
      </c>
      <c r="D13" s="138">
        <v>0.55168571</v>
      </c>
      <c r="E13" s="138">
        <v>0.19410440000000001</v>
      </c>
      <c r="F13" s="138">
        <v>0.23889557</v>
      </c>
      <c r="G13" s="138">
        <v>0.36420185999999999</v>
      </c>
      <c r="H13" s="24" t="s">
        <v>104</v>
      </c>
      <c r="J13" s="142" t="s">
        <v>80</v>
      </c>
      <c r="K13" s="143">
        <v>0.39699577000000003</v>
      </c>
      <c r="L13" s="143">
        <v>0.35944187</v>
      </c>
      <c r="M13" s="143">
        <v>0.10477446999999999</v>
      </c>
      <c r="N13" s="143"/>
      <c r="O13" s="142" t="s">
        <v>80</v>
      </c>
      <c r="P13" s="143">
        <v>0.84268694</v>
      </c>
      <c r="Q13" s="143">
        <v>0.82474868000000001</v>
      </c>
      <c r="R13" s="143">
        <v>0.24924627999999999</v>
      </c>
      <c r="S13"/>
      <c r="U13" s="142" t="s">
        <v>80</v>
      </c>
      <c r="V13" s="143">
        <v>0.39834651166666668</v>
      </c>
      <c r="W13" s="143">
        <v>0.28663914888888886</v>
      </c>
      <c r="X13" s="143">
        <v>0.14344371722222221</v>
      </c>
    </row>
    <row r="14" spans="1:24" x14ac:dyDescent="0.3">
      <c r="A14" s="24" t="s">
        <v>8</v>
      </c>
      <c r="B14" s="24" t="s">
        <v>95</v>
      </c>
      <c r="C14" s="24" t="s">
        <v>73</v>
      </c>
      <c r="D14" s="138">
        <v>0.22766850999999999</v>
      </c>
      <c r="E14" s="138">
        <v>0.37800808000000002</v>
      </c>
      <c r="F14" s="138">
        <v>0.15513046</v>
      </c>
      <c r="G14" s="138">
        <v>0.44228411000000001</v>
      </c>
      <c r="H14" s="24" t="s">
        <v>104</v>
      </c>
      <c r="J14" s="142" t="s">
        <v>79</v>
      </c>
      <c r="K14" s="143">
        <v>0.42112168</v>
      </c>
      <c r="L14" s="143">
        <v>0.3842235</v>
      </c>
      <c r="M14" s="143">
        <v>4.7755060000000002E-2</v>
      </c>
      <c r="N14" s="143"/>
      <c r="O14" s="142" t="s">
        <v>2146</v>
      </c>
      <c r="P14" s="143">
        <v>0.79730188000000002</v>
      </c>
      <c r="Q14" s="143">
        <v>0.78821719000000001</v>
      </c>
      <c r="R14" s="143">
        <v>0.22125132</v>
      </c>
      <c r="S14"/>
      <c r="U14" s="142" t="s">
        <v>79</v>
      </c>
      <c r="V14" s="143">
        <v>0.29742304944444442</v>
      </c>
      <c r="W14" s="143">
        <v>0.3525540872222222</v>
      </c>
      <c r="X14" s="143">
        <v>-4.3345307777777772E-2</v>
      </c>
    </row>
    <row r="15" spans="1:24" x14ac:dyDescent="0.3">
      <c r="A15" s="24" t="s">
        <v>8</v>
      </c>
      <c r="B15" s="24" t="s">
        <v>95</v>
      </c>
      <c r="C15" s="24" t="s">
        <v>78</v>
      </c>
      <c r="D15" s="138">
        <v>-0.39899032000000001</v>
      </c>
      <c r="E15" s="138">
        <v>0.1731065</v>
      </c>
      <c r="F15" s="138">
        <v>0.16262866000000001</v>
      </c>
      <c r="G15" s="138">
        <v>0.44749127999999999</v>
      </c>
      <c r="H15" s="24" t="s">
        <v>104</v>
      </c>
      <c r="J15" s="142" t="s">
        <v>78</v>
      </c>
      <c r="K15" s="143">
        <v>-0.30705612999999998</v>
      </c>
      <c r="L15" s="143">
        <v>-0.18093096</v>
      </c>
      <c r="M15" s="143">
        <v>-0.21739496</v>
      </c>
      <c r="N15" s="143"/>
      <c r="O15" s="142" t="s">
        <v>78</v>
      </c>
      <c r="P15" s="143">
        <v>-0.79594697000000003</v>
      </c>
      <c r="Q15" s="143">
        <v>-0.63816331999999998</v>
      </c>
      <c r="R15" s="143">
        <v>-0.49560870000000001</v>
      </c>
      <c r="S15"/>
      <c r="U15" s="142" t="s">
        <v>78</v>
      </c>
      <c r="V15" s="143">
        <v>-0.22281383055555551</v>
      </c>
      <c r="W15" s="143">
        <v>-0.15634588611111111</v>
      </c>
      <c r="X15" s="143">
        <v>-0.21840790111111108</v>
      </c>
    </row>
    <row r="16" spans="1:24" x14ac:dyDescent="0.3">
      <c r="A16" s="24" t="s">
        <v>8</v>
      </c>
      <c r="B16" s="24" t="s">
        <v>105</v>
      </c>
      <c r="C16" s="24" t="s">
        <v>79</v>
      </c>
      <c r="D16" s="138">
        <v>-0.84233095000000002</v>
      </c>
      <c r="E16" s="138">
        <v>3.5270800000000001E-3</v>
      </c>
      <c r="F16" s="138">
        <v>0.22708075</v>
      </c>
      <c r="G16" s="138">
        <v>0.12643317000000001</v>
      </c>
      <c r="H16" s="24" t="s">
        <v>104</v>
      </c>
      <c r="J16" s="142" t="s">
        <v>77</v>
      </c>
      <c r="K16" s="143">
        <v>0.35203810000000002</v>
      </c>
      <c r="L16" s="143">
        <v>0.28817439</v>
      </c>
      <c r="M16" s="143">
        <v>0.1358375</v>
      </c>
      <c r="N16" s="143"/>
      <c r="O16" s="142" t="s">
        <v>77</v>
      </c>
      <c r="P16" s="143">
        <v>0.83719288000000003</v>
      </c>
      <c r="Q16" s="143">
        <v>0.81801193000000005</v>
      </c>
      <c r="R16" s="143">
        <v>0.25013299999999999</v>
      </c>
      <c r="S16"/>
      <c r="U16" s="142" t="s">
        <v>77</v>
      </c>
      <c r="V16" s="143">
        <v>0.37997319500000004</v>
      </c>
      <c r="W16" s="143">
        <v>0.28152541333333336</v>
      </c>
      <c r="X16" s="143">
        <v>0.1250616033333333</v>
      </c>
    </row>
    <row r="17" spans="1:24" x14ac:dyDescent="0.3">
      <c r="A17" s="24" t="s">
        <v>8</v>
      </c>
      <c r="B17" s="24" t="s">
        <v>105</v>
      </c>
      <c r="C17" s="24" t="s">
        <v>84</v>
      </c>
      <c r="D17" s="138">
        <v>-0.18618719</v>
      </c>
      <c r="E17" s="138">
        <v>0.65536379</v>
      </c>
      <c r="F17" s="138">
        <v>0.1787646</v>
      </c>
      <c r="G17" s="138">
        <v>0.46881157000000001</v>
      </c>
      <c r="H17" s="24" t="s">
        <v>104</v>
      </c>
      <c r="J17" s="142" t="s">
        <v>76</v>
      </c>
      <c r="K17" s="143">
        <v>0.29344055000000002</v>
      </c>
      <c r="L17" s="143">
        <v>0.14715250999999999</v>
      </c>
      <c r="M17" s="143">
        <v>0.24393139</v>
      </c>
      <c r="N17" s="143"/>
      <c r="O17" s="142" t="s">
        <v>76</v>
      </c>
      <c r="P17" s="143">
        <v>0.80430502999999998</v>
      </c>
      <c r="Q17" s="143">
        <v>0.77615308999999999</v>
      </c>
      <c r="R17" s="143">
        <v>0.25827178000000001</v>
      </c>
      <c r="S17"/>
      <c r="U17" s="142" t="s">
        <v>76</v>
      </c>
      <c r="V17" s="143">
        <v>0.35801551722222225</v>
      </c>
      <c r="W17" s="143">
        <v>0.29120725944444448</v>
      </c>
      <c r="X17" s="143">
        <v>0.12068013166666668</v>
      </c>
    </row>
    <row r="18" spans="1:24" x14ac:dyDescent="0.3">
      <c r="A18" s="24" t="s">
        <v>8</v>
      </c>
      <c r="B18" s="24" t="s">
        <v>105</v>
      </c>
      <c r="C18" s="24" t="s">
        <v>83</v>
      </c>
      <c r="D18" s="138">
        <v>-0.27528534999999998</v>
      </c>
      <c r="E18" s="138">
        <v>0.55637013000000002</v>
      </c>
      <c r="F18" s="138">
        <v>0.19849559</v>
      </c>
      <c r="G18" s="138">
        <v>0.45948862000000001</v>
      </c>
      <c r="H18" s="24" t="s">
        <v>104</v>
      </c>
      <c r="J18" s="142" t="s">
        <v>75</v>
      </c>
      <c r="K18" s="143">
        <v>0.23151631</v>
      </c>
      <c r="L18" s="143">
        <v>0.10325586</v>
      </c>
      <c r="M18" s="143">
        <v>0.21049470000000001</v>
      </c>
      <c r="N18" s="143"/>
      <c r="O18" s="142" t="s">
        <v>75</v>
      </c>
      <c r="P18" s="143">
        <v>0.81185481000000004</v>
      </c>
      <c r="Q18" s="143">
        <v>0.78842643999999995</v>
      </c>
      <c r="R18" s="143">
        <v>0.25148158999999998</v>
      </c>
      <c r="S18"/>
      <c r="U18" s="142" t="s">
        <v>75</v>
      </c>
      <c r="V18" s="143">
        <v>0.30272834055555559</v>
      </c>
      <c r="W18" s="143">
        <v>0.29751996166666667</v>
      </c>
      <c r="X18" s="143">
        <v>7.167801111111112E-2</v>
      </c>
    </row>
    <row r="19" spans="1:24" x14ac:dyDescent="0.3">
      <c r="A19" s="24" t="s">
        <v>8</v>
      </c>
      <c r="B19" s="24" t="s">
        <v>105</v>
      </c>
      <c r="C19" s="24" t="s">
        <v>82</v>
      </c>
      <c r="D19" s="138">
        <v>6.9700700000000004E-2</v>
      </c>
      <c r="E19" s="138">
        <v>0.77537540999999999</v>
      </c>
      <c r="F19" s="138">
        <v>0.10553475</v>
      </c>
      <c r="G19" s="138">
        <v>0.52054338</v>
      </c>
      <c r="H19" s="24" t="s">
        <v>104</v>
      </c>
      <c r="J19" s="142" t="s">
        <v>74</v>
      </c>
      <c r="K19" s="143">
        <v>0.38533682000000002</v>
      </c>
      <c r="L19" s="143">
        <v>0.38459631</v>
      </c>
      <c r="M19" s="143">
        <v>5.1538550000000002E-2</v>
      </c>
      <c r="N19" s="143"/>
      <c r="O19" s="142" t="s">
        <v>74</v>
      </c>
      <c r="P19" s="143">
        <v>0.84988395000000005</v>
      </c>
      <c r="Q19" s="143">
        <v>0.82283023</v>
      </c>
      <c r="R19" s="143">
        <v>0.26793176000000002</v>
      </c>
      <c r="S19"/>
      <c r="U19" s="142" t="s">
        <v>74</v>
      </c>
      <c r="V19" s="143">
        <v>0.32585760166666666</v>
      </c>
      <c r="W19" s="143">
        <v>0.19587608833333331</v>
      </c>
      <c r="X19" s="143">
        <v>0.18094955111111111</v>
      </c>
    </row>
    <row r="20" spans="1:24" x14ac:dyDescent="0.3">
      <c r="A20" s="24" t="s">
        <v>8</v>
      </c>
      <c r="B20" s="24" t="s">
        <v>105</v>
      </c>
      <c r="C20" s="24" t="s">
        <v>81</v>
      </c>
      <c r="D20" s="138">
        <v>6.122594E-2</v>
      </c>
      <c r="E20" s="138">
        <v>0.80705603000000004</v>
      </c>
      <c r="F20" s="138">
        <v>0.10847689000000001</v>
      </c>
      <c r="G20" s="138">
        <v>0.52510365000000003</v>
      </c>
      <c r="H20" s="24" t="s">
        <v>104</v>
      </c>
      <c r="J20" s="142" t="s">
        <v>73</v>
      </c>
      <c r="K20" s="143">
        <v>-8.321199E-2</v>
      </c>
      <c r="L20" s="143">
        <v>-5.1663300000000002E-3</v>
      </c>
      <c r="M20" s="143">
        <v>-0.12052778</v>
      </c>
      <c r="N20" s="143"/>
      <c r="O20" s="142" t="s">
        <v>73</v>
      </c>
      <c r="P20" s="143">
        <v>-0.24735825</v>
      </c>
      <c r="Q20" s="143">
        <v>0.10016944999999999</v>
      </c>
      <c r="R20" s="143">
        <v>-0.70545360999999995</v>
      </c>
      <c r="U20" s="142" t="s">
        <v>73</v>
      </c>
      <c r="V20" s="143">
        <v>-5.9462841111111095E-2</v>
      </c>
      <c r="W20" s="143">
        <v>4.0251902777777772E-2</v>
      </c>
      <c r="X20" s="143">
        <v>-0.11892652166666667</v>
      </c>
    </row>
    <row r="21" spans="1:24" x14ac:dyDescent="0.3">
      <c r="A21" s="24" t="s">
        <v>8</v>
      </c>
      <c r="B21" s="24" t="s">
        <v>105</v>
      </c>
      <c r="C21" s="24" t="s">
        <v>85</v>
      </c>
      <c r="D21" s="138">
        <v>1.7739029999999999E-2</v>
      </c>
      <c r="E21" s="138">
        <v>0.97525428000000003</v>
      </c>
      <c r="F21" s="138">
        <v>0.24846070000000001</v>
      </c>
      <c r="G21" s="138">
        <v>0.62729424</v>
      </c>
      <c r="H21" s="24" t="s">
        <v>104</v>
      </c>
    </row>
    <row r="22" spans="1:24" x14ac:dyDescent="0.3">
      <c r="A22" s="24" t="s">
        <v>8</v>
      </c>
      <c r="B22" s="24" t="s">
        <v>105</v>
      </c>
      <c r="C22" s="24" t="s">
        <v>92</v>
      </c>
      <c r="D22" s="138">
        <v>-0.20355614</v>
      </c>
      <c r="E22" s="138">
        <v>0.63275134</v>
      </c>
      <c r="F22" s="138">
        <v>0.18217296999999999</v>
      </c>
      <c r="G22" s="138">
        <v>0.46648237999999997</v>
      </c>
      <c r="H22" s="24" t="s">
        <v>104</v>
      </c>
      <c r="J22" s="140" t="s">
        <v>96</v>
      </c>
      <c r="K22" s="141" t="s">
        <v>107</v>
      </c>
      <c r="O22" s="140" t="s">
        <v>96</v>
      </c>
      <c r="P22" s="141" t="s">
        <v>108</v>
      </c>
      <c r="U22" s="140" t="s">
        <v>96</v>
      </c>
      <c r="V22" s="141" t="s">
        <v>110</v>
      </c>
    </row>
    <row r="23" spans="1:24" x14ac:dyDescent="0.3">
      <c r="A23" s="24" t="s">
        <v>8</v>
      </c>
      <c r="B23" s="24" t="s">
        <v>105</v>
      </c>
      <c r="C23" s="24" t="s">
        <v>80</v>
      </c>
      <c r="D23" s="138">
        <v>-0.19949506</v>
      </c>
      <c r="E23" s="138">
        <v>0.63210776000000002</v>
      </c>
      <c r="F23" s="138">
        <v>0.17819049000000001</v>
      </c>
      <c r="G23" s="138">
        <v>0.46204659999999997</v>
      </c>
      <c r="H23" s="24" t="s">
        <v>104</v>
      </c>
      <c r="J23" s="140" t="s">
        <v>103</v>
      </c>
      <c r="K23" s="141" t="s">
        <v>104</v>
      </c>
      <c r="O23" s="140" t="s">
        <v>103</v>
      </c>
      <c r="P23" s="141" t="s">
        <v>104</v>
      </c>
      <c r="U23" s="140" t="s">
        <v>103</v>
      </c>
      <c r="V23" s="141" t="s">
        <v>104</v>
      </c>
    </row>
    <row r="24" spans="1:24" x14ac:dyDescent="0.3">
      <c r="A24" s="24" t="s">
        <v>8</v>
      </c>
      <c r="B24" s="24" t="s">
        <v>105</v>
      </c>
      <c r="C24" s="24" t="s">
        <v>77</v>
      </c>
      <c r="D24" s="138">
        <v>-0.27019976000000001</v>
      </c>
      <c r="E24" s="138">
        <v>0.5633243</v>
      </c>
      <c r="F24" s="138">
        <v>0.19847891000000001</v>
      </c>
      <c r="G24" s="138">
        <v>0.46096559999999998</v>
      </c>
      <c r="H24" s="24" t="s">
        <v>104</v>
      </c>
    </row>
    <row r="25" spans="1:24" x14ac:dyDescent="0.3">
      <c r="A25" s="24" t="s">
        <v>8</v>
      </c>
      <c r="B25" s="24" t="s">
        <v>105</v>
      </c>
      <c r="C25" s="24" t="s">
        <v>76</v>
      </c>
      <c r="D25" s="138">
        <v>-0.22149516999999999</v>
      </c>
      <c r="E25" s="138">
        <v>0.64270917999999999</v>
      </c>
      <c r="F25" s="138">
        <v>0.20437274</v>
      </c>
      <c r="G25" s="138">
        <v>0.49499149999999997</v>
      </c>
      <c r="H25" s="24" t="s">
        <v>104</v>
      </c>
      <c r="J25" s="140" t="s">
        <v>109</v>
      </c>
      <c r="K25" s="141"/>
      <c r="L25" s="141"/>
      <c r="M25" s="141"/>
      <c r="N25" s="141"/>
      <c r="O25" s="140" t="s">
        <v>109</v>
      </c>
      <c r="P25" s="141"/>
      <c r="Q25" s="141"/>
      <c r="R25" s="141"/>
      <c r="S25" s="141"/>
      <c r="U25" s="140" t="s">
        <v>109</v>
      </c>
      <c r="V25" s="141"/>
      <c r="W25" s="141"/>
      <c r="X25" s="141"/>
    </row>
    <row r="26" spans="1:24" x14ac:dyDescent="0.3">
      <c r="A26" s="24" t="s">
        <v>8</v>
      </c>
      <c r="B26" s="24" t="s">
        <v>105</v>
      </c>
      <c r="C26" s="24" t="s">
        <v>75</v>
      </c>
      <c r="D26" s="138">
        <v>-0.54372076999999996</v>
      </c>
      <c r="E26" s="138">
        <v>0.22383901</v>
      </c>
      <c r="F26" s="138">
        <v>0.17478661000000001</v>
      </c>
      <c r="G26" s="138">
        <v>0.44252170000000002</v>
      </c>
      <c r="H26" s="24" t="s">
        <v>104</v>
      </c>
      <c r="J26" s="141"/>
      <c r="K26" s="141" t="s">
        <v>106</v>
      </c>
      <c r="L26" s="141" t="s">
        <v>95</v>
      </c>
      <c r="M26" s="141" t="s">
        <v>105</v>
      </c>
      <c r="N26" s="141"/>
      <c r="O26" s="141"/>
      <c r="P26" s="141" t="s">
        <v>106</v>
      </c>
      <c r="Q26" s="141" t="s">
        <v>95</v>
      </c>
      <c r="R26" s="141" t="s">
        <v>105</v>
      </c>
      <c r="S26" s="141"/>
      <c r="U26" s="141"/>
      <c r="V26" s="141" t="s">
        <v>106</v>
      </c>
      <c r="W26" s="141" t="s">
        <v>95</v>
      </c>
      <c r="X26" s="141" t="s">
        <v>105</v>
      </c>
    </row>
    <row r="27" spans="1:24" x14ac:dyDescent="0.3">
      <c r="A27" s="24" t="s">
        <v>8</v>
      </c>
      <c r="B27" s="24" t="s">
        <v>105</v>
      </c>
      <c r="C27" s="24" t="s">
        <v>74</v>
      </c>
      <c r="D27" s="138">
        <v>-9.1549430000000001E-2</v>
      </c>
      <c r="E27" s="138">
        <v>0.79309832000000002</v>
      </c>
      <c r="F27" s="138">
        <v>0.15093598</v>
      </c>
      <c r="G27" s="138">
        <v>0.48296840000000002</v>
      </c>
      <c r="H27" s="24" t="s">
        <v>104</v>
      </c>
      <c r="J27" s="142" t="s">
        <v>85</v>
      </c>
      <c r="K27" s="143">
        <v>8.5833359999999997E-2</v>
      </c>
      <c r="L27" s="143">
        <v>9.6719949999999999E-2</v>
      </c>
      <c r="M27" s="143">
        <v>7.8358029999999995E-2</v>
      </c>
      <c r="N27" s="143"/>
      <c r="O27" s="142" t="s">
        <v>85</v>
      </c>
      <c r="P27" s="143">
        <v>0.23581099999999999</v>
      </c>
      <c r="Q27" s="143">
        <v>0.27951240999999999</v>
      </c>
      <c r="R27" s="143">
        <v>0.31836757999999998</v>
      </c>
      <c r="S27" s="143"/>
      <c r="U27" s="142" t="s">
        <v>85</v>
      </c>
      <c r="V27" s="143">
        <v>0.34602835388888892</v>
      </c>
      <c r="W27" s="143">
        <v>0.3919233144444445</v>
      </c>
      <c r="X27" s="143">
        <v>0.40823075277777776</v>
      </c>
    </row>
    <row r="28" spans="1:24" x14ac:dyDescent="0.3">
      <c r="A28" s="24" t="s">
        <v>8</v>
      </c>
      <c r="B28" s="24" t="s">
        <v>105</v>
      </c>
      <c r="C28" s="24" t="s">
        <v>73</v>
      </c>
      <c r="D28" s="138">
        <v>0.17393954</v>
      </c>
      <c r="E28" s="138">
        <v>0.54312207999999995</v>
      </c>
      <c r="F28" s="138">
        <v>0.12112227</v>
      </c>
      <c r="G28" s="138">
        <v>0.48602003999999999</v>
      </c>
      <c r="H28" s="24" t="s">
        <v>104</v>
      </c>
      <c r="J28" s="142" t="s">
        <v>84</v>
      </c>
      <c r="K28" s="143">
        <v>6.7342609999999997E-2</v>
      </c>
      <c r="L28" s="143">
        <v>7.1660440000000006E-2</v>
      </c>
      <c r="M28" s="143">
        <v>9.4056089999999995E-2</v>
      </c>
      <c r="N28" s="143"/>
      <c r="O28" s="142" t="s">
        <v>84</v>
      </c>
      <c r="P28" s="143">
        <v>0.11466935</v>
      </c>
      <c r="Q28" s="143">
        <v>0.19900493</v>
      </c>
      <c r="R28" s="143">
        <v>0.35523018000000001</v>
      </c>
      <c r="S28" s="143"/>
      <c r="U28" s="142" t="s">
        <v>84</v>
      </c>
      <c r="V28" s="143">
        <v>0.35481046555555557</v>
      </c>
      <c r="W28" s="143">
        <v>0.40252364944444435</v>
      </c>
      <c r="X28" s="143">
        <v>0.40991000222222218</v>
      </c>
    </row>
    <row r="29" spans="1:24" x14ac:dyDescent="0.3">
      <c r="A29" s="24" t="s">
        <v>8</v>
      </c>
      <c r="B29" s="24" t="s">
        <v>105</v>
      </c>
      <c r="C29" s="24" t="s">
        <v>78</v>
      </c>
      <c r="D29" s="138">
        <v>0.15000147999999999</v>
      </c>
      <c r="E29" s="138">
        <v>0.74890849000000004</v>
      </c>
      <c r="F29" s="138">
        <v>0.20218198000000001</v>
      </c>
      <c r="G29" s="138">
        <v>0.53706474999999998</v>
      </c>
      <c r="H29" s="24" t="s">
        <v>104</v>
      </c>
      <c r="J29" s="142" t="s">
        <v>83</v>
      </c>
      <c r="K29" s="143">
        <v>6.9425650000000005E-2</v>
      </c>
      <c r="L29" s="143">
        <v>7.5581659999999995E-2</v>
      </c>
      <c r="M29" s="143">
        <v>9.3715209999999993E-2</v>
      </c>
      <c r="N29" s="143"/>
      <c r="O29" s="142" t="s">
        <v>83</v>
      </c>
      <c r="P29" s="143">
        <v>0.11787752999999999</v>
      </c>
      <c r="Q29" s="143">
        <v>0.19901497000000001</v>
      </c>
      <c r="R29" s="143">
        <v>0.35098444000000001</v>
      </c>
      <c r="S29" s="143"/>
      <c r="U29" s="142" t="s">
        <v>83</v>
      </c>
      <c r="V29" s="143">
        <v>0.35041290000000003</v>
      </c>
      <c r="W29" s="143">
        <v>0.39025849444444449</v>
      </c>
      <c r="X29" s="143">
        <v>0.37801509944444445</v>
      </c>
    </row>
    <row r="30" spans="1:24" x14ac:dyDescent="0.3">
      <c r="A30" s="24" t="s">
        <v>8</v>
      </c>
      <c r="B30" s="24" t="s">
        <v>106</v>
      </c>
      <c r="C30" s="24" t="s">
        <v>79</v>
      </c>
      <c r="D30" s="138">
        <v>0.79101732999999996</v>
      </c>
      <c r="E30" s="138">
        <v>1.041722E-2</v>
      </c>
      <c r="F30" s="138">
        <v>0.25278859999999997</v>
      </c>
      <c r="G30" s="138">
        <v>0.10886814</v>
      </c>
      <c r="H30" s="24" t="s">
        <v>104</v>
      </c>
      <c r="J30" s="142" t="s">
        <v>82</v>
      </c>
      <c r="K30" s="143">
        <v>7.8059009999999998E-2</v>
      </c>
      <c r="L30" s="143">
        <v>7.7074820000000002E-2</v>
      </c>
      <c r="M30" s="143">
        <v>9.5344300000000007E-2</v>
      </c>
      <c r="N30" s="143"/>
      <c r="O30" s="142" t="s">
        <v>82</v>
      </c>
      <c r="P30" s="143">
        <v>0.13735417</v>
      </c>
      <c r="Q30" s="143">
        <v>0.19420354000000001</v>
      </c>
      <c r="R30" s="143">
        <v>0.37293017000000001</v>
      </c>
      <c r="S30" s="143"/>
      <c r="U30" s="142" t="s">
        <v>82</v>
      </c>
      <c r="V30" s="143">
        <v>0.37336752666666667</v>
      </c>
      <c r="W30" s="143">
        <v>0.42566139444444451</v>
      </c>
      <c r="X30" s="143">
        <v>0.43733179499999991</v>
      </c>
    </row>
    <row r="31" spans="1:24" x14ac:dyDescent="0.3">
      <c r="A31" s="24" t="s">
        <v>8</v>
      </c>
      <c r="B31" s="24" t="s">
        <v>106</v>
      </c>
      <c r="C31" s="24" t="s">
        <v>84</v>
      </c>
      <c r="D31" s="138">
        <v>0.77914463</v>
      </c>
      <c r="E31" s="138">
        <v>8.6236779999999999E-2</v>
      </c>
      <c r="F31" s="138">
        <v>0.34325466999999998</v>
      </c>
      <c r="G31" s="138">
        <v>0.19991753000000001</v>
      </c>
      <c r="H31" s="24" t="s">
        <v>104</v>
      </c>
      <c r="J31" s="142" t="s">
        <v>81</v>
      </c>
      <c r="K31" s="143">
        <v>4.9140120000000002E-2</v>
      </c>
      <c r="L31" s="143">
        <v>7.4459189999999995E-2</v>
      </c>
      <c r="M31" s="143">
        <v>7.8390979999999999E-2</v>
      </c>
      <c r="N31" s="143"/>
      <c r="O31" s="142" t="s">
        <v>81</v>
      </c>
      <c r="P31" s="143">
        <v>0.11981095</v>
      </c>
      <c r="Q31" s="143">
        <v>0.21605832</v>
      </c>
      <c r="R31" s="143">
        <v>0.33391583000000002</v>
      </c>
      <c r="S31" s="143"/>
      <c r="U31" s="142" t="s">
        <v>81</v>
      </c>
      <c r="V31" s="143">
        <v>0.39494174166666668</v>
      </c>
      <c r="W31" s="143">
        <v>0.40697648611111104</v>
      </c>
      <c r="X31" s="143">
        <v>0.41056822222222222</v>
      </c>
    </row>
    <row r="32" spans="1:24" x14ac:dyDescent="0.3">
      <c r="A32" s="24" t="s">
        <v>8</v>
      </c>
      <c r="B32" s="24" t="s">
        <v>106</v>
      </c>
      <c r="C32" s="24" t="s">
        <v>83</v>
      </c>
      <c r="D32" s="138">
        <v>0.84299736000000003</v>
      </c>
      <c r="E32" s="138">
        <v>5.8442130000000002E-2</v>
      </c>
      <c r="F32" s="138">
        <v>0.32030258</v>
      </c>
      <c r="G32" s="138">
        <v>0.16217364000000001</v>
      </c>
      <c r="H32" s="24" t="s">
        <v>104</v>
      </c>
      <c r="J32" s="142" t="s">
        <v>92</v>
      </c>
      <c r="K32" s="143">
        <v>6.7217079999999998E-2</v>
      </c>
      <c r="L32" s="143">
        <v>6.9961819999999994E-2</v>
      </c>
      <c r="M32" s="143">
        <v>9.3329590000000004E-2</v>
      </c>
      <c r="N32" s="143"/>
      <c r="O32" s="142" t="s">
        <v>92</v>
      </c>
      <c r="P32" s="143">
        <v>0.11696938</v>
      </c>
      <c r="Q32" s="143">
        <v>0.19728756</v>
      </c>
      <c r="R32" s="143">
        <v>0.35760849</v>
      </c>
      <c r="S32" s="143"/>
      <c r="U32" s="142" t="s">
        <v>92</v>
      </c>
      <c r="V32" s="143">
        <v>0.32301522944444444</v>
      </c>
      <c r="W32" s="143">
        <v>0.39739124055555552</v>
      </c>
      <c r="X32" s="143">
        <v>0.37155114611111112</v>
      </c>
    </row>
    <row r="33" spans="1:24" x14ac:dyDescent="0.3">
      <c r="A33" s="24" t="s">
        <v>8</v>
      </c>
      <c r="B33" s="24" t="s">
        <v>106</v>
      </c>
      <c r="C33" s="24" t="s">
        <v>82</v>
      </c>
      <c r="D33" s="138">
        <v>0.47534799</v>
      </c>
      <c r="E33" s="138">
        <v>0.12185762</v>
      </c>
      <c r="F33" s="138">
        <v>0.24223375</v>
      </c>
      <c r="G33" s="138">
        <v>0.34741665999999999</v>
      </c>
      <c r="H33" s="24" t="s">
        <v>104</v>
      </c>
      <c r="J33" s="142" t="s">
        <v>80</v>
      </c>
      <c r="K33" s="143">
        <v>6.7278400000000002E-2</v>
      </c>
      <c r="L33" s="143">
        <v>6.8959300000000001E-2</v>
      </c>
      <c r="M33" s="143">
        <v>9.3886269999999994E-2</v>
      </c>
      <c r="N33" s="143"/>
      <c r="O33" s="142" t="s">
        <v>80</v>
      </c>
      <c r="P33" s="143">
        <v>0.11685647</v>
      </c>
      <c r="Q33" s="143">
        <v>0.19732642</v>
      </c>
      <c r="R33" s="143">
        <v>0.35870187999999997</v>
      </c>
      <c r="S33" s="143"/>
      <c r="U33" s="142" t="s">
        <v>80</v>
      </c>
      <c r="V33" s="143">
        <v>0.32425991555555556</v>
      </c>
      <c r="W33" s="143">
        <v>0.39807988777777775</v>
      </c>
      <c r="X33" s="143">
        <v>0.3717769783333334</v>
      </c>
    </row>
    <row r="34" spans="1:24" x14ac:dyDescent="0.3">
      <c r="A34" s="24" t="s">
        <v>8</v>
      </c>
      <c r="B34" s="24" t="s">
        <v>106</v>
      </c>
      <c r="C34" s="24" t="s">
        <v>81</v>
      </c>
      <c r="D34" s="138">
        <v>0.48010679000000001</v>
      </c>
      <c r="E34" s="138">
        <v>0.12027668</v>
      </c>
      <c r="F34" s="138">
        <v>0.24324333000000001</v>
      </c>
      <c r="G34" s="138">
        <v>0.34541863</v>
      </c>
      <c r="H34" s="24" t="s">
        <v>104</v>
      </c>
      <c r="J34" s="142" t="s">
        <v>79</v>
      </c>
      <c r="K34" s="143">
        <v>5.6674189999999999E-2</v>
      </c>
      <c r="L34" s="143">
        <v>5.7817819999999999E-2</v>
      </c>
      <c r="M34" s="143">
        <v>8.5367419999999999E-2</v>
      </c>
      <c r="N34" s="143"/>
      <c r="O34" s="142" t="s">
        <v>2146</v>
      </c>
      <c r="P34" s="143">
        <v>0.13510126</v>
      </c>
      <c r="Q34" s="143">
        <v>0.19470668999999999</v>
      </c>
      <c r="R34" s="143">
        <v>0.36050467000000003</v>
      </c>
      <c r="S34" s="143"/>
      <c r="U34" s="142" t="s">
        <v>79</v>
      </c>
      <c r="V34" s="143">
        <v>0.29788583111111111</v>
      </c>
      <c r="W34" s="143">
        <v>0.27504690833333334</v>
      </c>
      <c r="X34" s="143">
        <v>0.30695216499999994</v>
      </c>
    </row>
    <row r="35" spans="1:24" x14ac:dyDescent="0.3">
      <c r="A35" s="24" t="s">
        <v>8</v>
      </c>
      <c r="B35" s="24" t="s">
        <v>106</v>
      </c>
      <c r="C35" s="24" t="s">
        <v>85</v>
      </c>
      <c r="D35" s="138">
        <v>0.10988581</v>
      </c>
      <c r="E35" s="138">
        <v>0.75737849000000002</v>
      </c>
      <c r="F35" s="138">
        <v>0.33138811000000001</v>
      </c>
      <c r="G35" s="138">
        <v>0.49468476</v>
      </c>
      <c r="H35" s="24" t="s">
        <v>104</v>
      </c>
      <c r="J35" s="142" t="s">
        <v>78</v>
      </c>
      <c r="K35" s="143">
        <v>8.7947410000000004E-2</v>
      </c>
      <c r="L35" s="143">
        <v>0.10075203000000001</v>
      </c>
      <c r="M35" s="143">
        <v>8.3668350000000002E-2</v>
      </c>
      <c r="N35" s="143"/>
      <c r="O35" s="142" t="s">
        <v>78</v>
      </c>
      <c r="P35" s="143">
        <v>0.14129662000000001</v>
      </c>
      <c r="Q35" s="143">
        <v>0.21536926000000001</v>
      </c>
      <c r="R35" s="143">
        <v>0.3726564</v>
      </c>
      <c r="S35" s="143"/>
      <c r="U35" s="142" t="s">
        <v>78</v>
      </c>
      <c r="V35" s="143">
        <v>0.38218855666666673</v>
      </c>
      <c r="W35" s="143">
        <v>0.3590298455555555</v>
      </c>
      <c r="X35" s="143">
        <v>0.39772238666666676</v>
      </c>
    </row>
    <row r="36" spans="1:24" x14ac:dyDescent="0.3">
      <c r="A36" s="24" t="s">
        <v>8</v>
      </c>
      <c r="B36" s="24" t="s">
        <v>106</v>
      </c>
      <c r="C36" s="24" t="s">
        <v>92</v>
      </c>
      <c r="D36" s="138">
        <v>0.80241205000000004</v>
      </c>
      <c r="E36" s="138">
        <v>7.5156840000000003E-2</v>
      </c>
      <c r="F36" s="138">
        <v>0.33494458999999999</v>
      </c>
      <c r="G36" s="138">
        <v>0.19368858</v>
      </c>
      <c r="H36" s="24" t="s">
        <v>104</v>
      </c>
      <c r="J36" s="142" t="s">
        <v>77</v>
      </c>
      <c r="K36" s="143">
        <v>6.7849779999999998E-2</v>
      </c>
      <c r="L36" s="143">
        <v>7.6654940000000005E-2</v>
      </c>
      <c r="M36" s="143">
        <v>9.3322020000000006E-2</v>
      </c>
      <c r="N36" s="143"/>
      <c r="O36" s="142" t="s">
        <v>77</v>
      </c>
      <c r="P36" s="143">
        <v>0.11707056</v>
      </c>
      <c r="Q36" s="143">
        <v>0.20017840000000001</v>
      </c>
      <c r="R36" s="143">
        <v>0.34829086999999997</v>
      </c>
      <c r="S36" s="143"/>
      <c r="U36" s="142" t="s">
        <v>77</v>
      </c>
      <c r="V36" s="143">
        <v>0.35104901166666669</v>
      </c>
      <c r="W36" s="143">
        <v>0.39119182222222221</v>
      </c>
      <c r="X36" s="143">
        <v>0.3781751988888889</v>
      </c>
    </row>
    <row r="37" spans="1:24" x14ac:dyDescent="0.3">
      <c r="A37" s="24" t="s">
        <v>8</v>
      </c>
      <c r="B37" s="24" t="s">
        <v>106</v>
      </c>
      <c r="C37" s="24" t="s">
        <v>80</v>
      </c>
      <c r="D37" s="138">
        <v>0.81009527999999997</v>
      </c>
      <c r="E37" s="138">
        <v>6.8633369999999999E-2</v>
      </c>
      <c r="F37" s="138">
        <v>0.32665636999999997</v>
      </c>
      <c r="G37" s="138">
        <v>0.19544929999999999</v>
      </c>
      <c r="H37" s="24" t="s">
        <v>104</v>
      </c>
      <c r="J37" s="142" t="s">
        <v>76</v>
      </c>
      <c r="K37" s="143">
        <v>7.0003570000000001E-2</v>
      </c>
      <c r="L37" s="143">
        <v>8.6956710000000006E-2</v>
      </c>
      <c r="M37" s="143">
        <v>8.2843920000000001E-2</v>
      </c>
      <c r="N37" s="143"/>
      <c r="O37" s="142" t="s">
        <v>76</v>
      </c>
      <c r="P37" s="143">
        <v>0.13180575</v>
      </c>
      <c r="Q37" s="143">
        <v>0.20052144999999999</v>
      </c>
      <c r="R37" s="143">
        <v>0.34477126000000002</v>
      </c>
      <c r="S37" s="143"/>
      <c r="U37" s="142" t="s">
        <v>76</v>
      </c>
      <c r="V37" s="143">
        <v>0.3591369616666667</v>
      </c>
      <c r="W37" s="143">
        <v>0.41704398388888886</v>
      </c>
      <c r="X37" s="143">
        <v>0.390206933888889</v>
      </c>
    </row>
    <row r="38" spans="1:24" x14ac:dyDescent="0.3">
      <c r="A38" s="24" t="s">
        <v>8</v>
      </c>
      <c r="B38" s="24" t="s">
        <v>106</v>
      </c>
      <c r="C38" s="24" t="s">
        <v>77</v>
      </c>
      <c r="D38" s="138">
        <v>0.83681194000000003</v>
      </c>
      <c r="E38" s="138">
        <v>6.1862550000000002E-2</v>
      </c>
      <c r="F38" s="138">
        <v>0.32463291</v>
      </c>
      <c r="G38" s="138">
        <v>0.16421266000000001</v>
      </c>
      <c r="H38" s="24" t="s">
        <v>104</v>
      </c>
      <c r="J38" s="142" t="s">
        <v>75</v>
      </c>
      <c r="K38" s="143">
        <v>7.1621870000000004E-2</v>
      </c>
      <c r="L38" s="143">
        <v>7.7946920000000003E-2</v>
      </c>
      <c r="M38" s="143">
        <v>8.6172440000000003E-2</v>
      </c>
      <c r="N38" s="143"/>
      <c r="O38" s="142" t="s">
        <v>75</v>
      </c>
      <c r="P38" s="143">
        <v>0.13251741</v>
      </c>
      <c r="Q38" s="143">
        <v>0.20458125999999999</v>
      </c>
      <c r="R38" s="143">
        <v>0.33542227000000002</v>
      </c>
      <c r="S38" s="143"/>
      <c r="U38" s="142" t="s">
        <v>75</v>
      </c>
      <c r="V38" s="143">
        <v>0.34029534388888888</v>
      </c>
      <c r="W38" s="143">
        <v>0.38137350166666667</v>
      </c>
      <c r="X38" s="143">
        <v>0.41783129611111114</v>
      </c>
    </row>
    <row r="39" spans="1:24" x14ac:dyDescent="0.3">
      <c r="A39" s="24" t="s">
        <v>8</v>
      </c>
      <c r="B39" s="24" t="s">
        <v>106</v>
      </c>
      <c r="C39" s="24" t="s">
        <v>76</v>
      </c>
      <c r="D39" s="138">
        <v>0.74682369999999998</v>
      </c>
      <c r="E39" s="138">
        <v>0.10401166000000001</v>
      </c>
      <c r="F39" s="138">
        <v>0.35532782000000002</v>
      </c>
      <c r="G39" s="138">
        <v>0.17792057</v>
      </c>
      <c r="H39" s="24" t="s">
        <v>104</v>
      </c>
      <c r="J39" s="142" t="s">
        <v>74</v>
      </c>
      <c r="K39" s="143">
        <v>6.6730269999999994E-2</v>
      </c>
      <c r="L39" s="143">
        <v>7.0267700000000002E-2</v>
      </c>
      <c r="M39" s="143">
        <v>9.3370789999999995E-2</v>
      </c>
      <c r="N39" s="143"/>
      <c r="O39" s="142" t="s">
        <v>74</v>
      </c>
      <c r="P39" s="143">
        <v>0.10992726999999999</v>
      </c>
      <c r="Q39" s="143">
        <v>0.20005749</v>
      </c>
      <c r="R39" s="143">
        <v>0.35735187000000002</v>
      </c>
      <c r="S39" s="143"/>
      <c r="U39" s="142" t="s">
        <v>74</v>
      </c>
      <c r="V39" s="143">
        <v>0.40061221833333333</v>
      </c>
      <c r="W39" s="143">
        <v>0.40324495111111108</v>
      </c>
      <c r="X39" s="143">
        <v>0.36868722555555555</v>
      </c>
    </row>
    <row r="40" spans="1:24" x14ac:dyDescent="0.3">
      <c r="A40" s="24" t="s">
        <v>8</v>
      </c>
      <c r="B40" s="24" t="s">
        <v>106</v>
      </c>
      <c r="C40" s="24" t="s">
        <v>75</v>
      </c>
      <c r="D40" s="138">
        <v>0.98147607000000003</v>
      </c>
      <c r="E40" s="138">
        <v>3.2650000000000002E-4</v>
      </c>
      <c r="F40" s="138">
        <v>8.5154199999999999E-2</v>
      </c>
      <c r="G40" s="138">
        <v>1.1799189999999999E-2</v>
      </c>
      <c r="H40" s="24" t="s">
        <v>104</v>
      </c>
      <c r="J40" s="142" t="s">
        <v>73</v>
      </c>
      <c r="K40" s="143">
        <v>7.6957159999999997E-2</v>
      </c>
      <c r="L40" s="143">
        <v>8.3134089999999994E-2</v>
      </c>
      <c r="M40" s="143">
        <v>8.279715E-2</v>
      </c>
      <c r="N40" s="143"/>
      <c r="O40" s="142" t="s">
        <v>73</v>
      </c>
      <c r="P40" s="143">
        <v>0.39439921999999999</v>
      </c>
      <c r="Q40" s="143">
        <v>0.45402179999999998</v>
      </c>
      <c r="R40" s="143">
        <v>0.15556877</v>
      </c>
      <c r="S40" s="143"/>
      <c r="U40" s="142" t="s">
        <v>73</v>
      </c>
      <c r="V40" s="143">
        <v>0.41752591555555552</v>
      </c>
      <c r="W40" s="143">
        <v>0.43140638944444443</v>
      </c>
      <c r="X40" s="143">
        <v>0.47040693722222227</v>
      </c>
    </row>
    <row r="41" spans="1:24" x14ac:dyDescent="0.3">
      <c r="A41" s="24" t="s">
        <v>8</v>
      </c>
      <c r="B41" s="24" t="s">
        <v>106</v>
      </c>
      <c r="C41" s="24" t="s">
        <v>74</v>
      </c>
      <c r="D41" s="138">
        <v>0.68788559000000005</v>
      </c>
      <c r="E41" s="138">
        <v>0.11356692</v>
      </c>
      <c r="F41" s="138">
        <v>0.33984242999999997</v>
      </c>
      <c r="G41" s="138">
        <v>0.23945569999999999</v>
      </c>
      <c r="H41" s="24" t="s">
        <v>104</v>
      </c>
    </row>
    <row r="42" spans="1:24" x14ac:dyDescent="0.3">
      <c r="A42" s="24" t="s">
        <v>8</v>
      </c>
      <c r="B42" s="24" t="s">
        <v>106</v>
      </c>
      <c r="C42" s="24" t="s">
        <v>73</v>
      </c>
      <c r="D42" s="138">
        <v>0.3915652</v>
      </c>
      <c r="E42" s="138">
        <v>0.10625518</v>
      </c>
      <c r="F42" s="138">
        <v>0.18799331999999999</v>
      </c>
      <c r="G42" s="138">
        <v>0.40117586999999999</v>
      </c>
      <c r="H42" s="24" t="s">
        <v>104</v>
      </c>
    </row>
    <row r="43" spans="1:24" x14ac:dyDescent="0.3">
      <c r="A43" s="24" t="s">
        <v>8</v>
      </c>
      <c r="B43" s="24" t="s">
        <v>106</v>
      </c>
      <c r="C43" s="24" t="s">
        <v>78</v>
      </c>
      <c r="D43" s="138">
        <v>-0.45487305</v>
      </c>
      <c r="E43" s="138">
        <v>0.20089814</v>
      </c>
      <c r="F43" s="138">
        <v>0.29673148999999999</v>
      </c>
      <c r="G43" s="138">
        <v>0.40849585999999999</v>
      </c>
      <c r="H43" s="24" t="s">
        <v>104</v>
      </c>
    </row>
    <row r="44" spans="1:24" x14ac:dyDescent="0.3">
      <c r="A44" s="24" t="s">
        <v>9</v>
      </c>
      <c r="B44" s="24" t="s">
        <v>95</v>
      </c>
      <c r="C44" s="24" t="s">
        <v>79</v>
      </c>
      <c r="D44" s="138">
        <v>0.82432287000000004</v>
      </c>
      <c r="E44" s="138">
        <v>7.0906399999999996E-3</v>
      </c>
      <c r="F44" s="138">
        <v>0.24146368000000001</v>
      </c>
      <c r="G44" s="138">
        <v>0.10670669000000001</v>
      </c>
      <c r="H44" s="24" t="s">
        <v>104</v>
      </c>
      <c r="J44" s="140" t="s">
        <v>96</v>
      </c>
      <c r="K44" s="141" t="s">
        <v>107</v>
      </c>
    </row>
    <row r="45" spans="1:24" x14ac:dyDescent="0.3">
      <c r="A45" s="24" t="s">
        <v>9</v>
      </c>
      <c r="B45" s="24" t="s">
        <v>95</v>
      </c>
      <c r="C45" s="24" t="s">
        <v>84</v>
      </c>
      <c r="D45" s="138">
        <v>0.84770420999999996</v>
      </c>
      <c r="E45" s="138">
        <v>7.4297399999999998E-3</v>
      </c>
      <c r="F45" s="138">
        <v>0.25113442000000002</v>
      </c>
      <c r="G45" s="138">
        <v>7.1141609999999994E-2</v>
      </c>
      <c r="H45" s="24" t="s">
        <v>104</v>
      </c>
      <c r="J45" s="140" t="s">
        <v>103</v>
      </c>
      <c r="K45" s="141" t="s">
        <v>104</v>
      </c>
    </row>
    <row r="46" spans="1:24" x14ac:dyDescent="0.3">
      <c r="A46" s="24" t="s">
        <v>9</v>
      </c>
      <c r="B46" s="24" t="s">
        <v>95</v>
      </c>
      <c r="C46" s="24" t="s">
        <v>83</v>
      </c>
      <c r="D46" s="138">
        <v>0.85094011999999997</v>
      </c>
      <c r="E46" s="138">
        <v>9.3994400000000002E-3</v>
      </c>
      <c r="F46" s="138">
        <v>0.26568133999999999</v>
      </c>
      <c r="G46" s="138">
        <v>6.9116910000000004E-2</v>
      </c>
      <c r="H46" s="24" t="s">
        <v>104</v>
      </c>
    </row>
    <row r="47" spans="1:24" x14ac:dyDescent="0.3">
      <c r="A47" s="24" t="s">
        <v>9</v>
      </c>
      <c r="B47" s="24" t="s">
        <v>95</v>
      </c>
      <c r="C47" s="24" t="s">
        <v>82</v>
      </c>
      <c r="D47" s="138">
        <v>0.83186428999999995</v>
      </c>
      <c r="E47" s="138">
        <v>8.26292E-3</v>
      </c>
      <c r="F47" s="138">
        <v>0.25231742000000001</v>
      </c>
      <c r="G47" s="138">
        <v>7.1821969999999999E-2</v>
      </c>
      <c r="H47" s="24" t="s">
        <v>104</v>
      </c>
      <c r="J47" s="140" t="s">
        <v>2147</v>
      </c>
      <c r="K47" s="141"/>
      <c r="L47" s="141"/>
      <c r="M47" s="141"/>
      <c r="N47"/>
      <c r="O47"/>
    </row>
    <row r="48" spans="1:24" x14ac:dyDescent="0.3">
      <c r="A48" s="24" t="s">
        <v>9</v>
      </c>
      <c r="B48" s="24" t="s">
        <v>95</v>
      </c>
      <c r="C48" s="24" t="s">
        <v>81</v>
      </c>
      <c r="D48" s="138">
        <v>0.83825727000000005</v>
      </c>
      <c r="E48" s="138">
        <v>8.6028200000000006E-3</v>
      </c>
      <c r="F48" s="138">
        <v>0.25655702000000002</v>
      </c>
      <c r="G48" s="138">
        <v>7.6335410000000006E-2</v>
      </c>
      <c r="H48" s="24" t="s">
        <v>104</v>
      </c>
      <c r="J48" s="141"/>
      <c r="K48" s="141" t="s">
        <v>106</v>
      </c>
      <c r="L48" s="141" t="s">
        <v>95</v>
      </c>
      <c r="M48" s="141" t="s">
        <v>105</v>
      </c>
      <c r="N48"/>
      <c r="O48"/>
    </row>
    <row r="49" spans="1:15" x14ac:dyDescent="0.3">
      <c r="A49" s="24" t="s">
        <v>9</v>
      </c>
      <c r="B49" s="24" t="s">
        <v>95</v>
      </c>
      <c r="C49" s="24" t="s">
        <v>85</v>
      </c>
      <c r="D49" s="138">
        <v>-0.75538961999999998</v>
      </c>
      <c r="E49" s="138">
        <v>4.6194789999999999E-2</v>
      </c>
      <c r="F49" s="138">
        <v>0.35395546</v>
      </c>
      <c r="G49" s="138">
        <v>0.13383120000000001</v>
      </c>
      <c r="H49" s="24" t="s">
        <v>104</v>
      </c>
      <c r="J49" s="142" t="s">
        <v>85</v>
      </c>
      <c r="K49" s="143">
        <v>0.10142855000000001</v>
      </c>
      <c r="L49" s="143">
        <v>9.3261469999999999E-2</v>
      </c>
      <c r="M49" s="143">
        <v>8.7606400000000001E-2</v>
      </c>
      <c r="N49"/>
      <c r="O49"/>
    </row>
    <row r="50" spans="1:15" x14ac:dyDescent="0.3">
      <c r="A50" s="24" t="s">
        <v>9</v>
      </c>
      <c r="B50" s="24" t="s">
        <v>95</v>
      </c>
      <c r="C50" s="24" t="s">
        <v>92</v>
      </c>
      <c r="D50" s="138">
        <v>0.83947128000000004</v>
      </c>
      <c r="E50" s="138">
        <v>7.25853E-3</v>
      </c>
      <c r="F50" s="138">
        <v>0.24742211</v>
      </c>
      <c r="G50" s="138">
        <v>7.7732930000000006E-2</v>
      </c>
      <c r="H50" s="24" t="s">
        <v>104</v>
      </c>
      <c r="J50" s="142" t="s">
        <v>84</v>
      </c>
      <c r="K50" s="143">
        <v>7.7365660000000003E-2</v>
      </c>
      <c r="L50" s="143">
        <v>6.6346470000000005E-2</v>
      </c>
      <c r="M50" s="143">
        <v>9.7741049999999996E-2</v>
      </c>
      <c r="N50"/>
      <c r="O50"/>
    </row>
    <row r="51" spans="1:15" x14ac:dyDescent="0.3">
      <c r="A51" s="24" t="s">
        <v>9</v>
      </c>
      <c r="B51" s="24" t="s">
        <v>95</v>
      </c>
      <c r="C51" s="24" t="s">
        <v>80</v>
      </c>
      <c r="D51" s="138">
        <v>0.83468162999999995</v>
      </c>
      <c r="E51" s="138">
        <v>7.5016400000000004E-3</v>
      </c>
      <c r="F51" s="138">
        <v>0.24780223000000001</v>
      </c>
      <c r="G51" s="138">
        <v>8.0245189999999994E-2</v>
      </c>
      <c r="H51" s="24" t="s">
        <v>104</v>
      </c>
      <c r="J51" s="142" t="s">
        <v>83</v>
      </c>
      <c r="K51" s="143">
        <v>8.0217709999999998E-2</v>
      </c>
      <c r="L51" s="143">
        <v>7.1696120000000002E-2</v>
      </c>
      <c r="M51" s="143">
        <v>9.7295439999999997E-2</v>
      </c>
      <c r="N51"/>
      <c r="O51"/>
    </row>
    <row r="52" spans="1:15" x14ac:dyDescent="0.3">
      <c r="A52" s="24" t="s">
        <v>9</v>
      </c>
      <c r="B52" s="24" t="s">
        <v>95</v>
      </c>
      <c r="C52" s="24" t="s">
        <v>77</v>
      </c>
      <c r="D52" s="138">
        <v>0.85239244000000003</v>
      </c>
      <c r="E52" s="138">
        <v>1.141354E-2</v>
      </c>
      <c r="F52" s="138">
        <v>0.27822266000000001</v>
      </c>
      <c r="G52" s="138">
        <v>7.0065039999999995E-2</v>
      </c>
      <c r="H52" s="24" t="s">
        <v>104</v>
      </c>
      <c r="J52" s="142" t="s">
        <v>82</v>
      </c>
      <c r="K52" s="143">
        <v>8.8736830000000003E-2</v>
      </c>
      <c r="L52" s="143">
        <v>7.0061880000000007E-2</v>
      </c>
      <c r="M52" s="143">
        <v>9.8742609999999995E-2</v>
      </c>
      <c r="N52"/>
      <c r="O52"/>
    </row>
    <row r="53" spans="1:15" x14ac:dyDescent="0.3">
      <c r="A53" s="24" t="s">
        <v>9</v>
      </c>
      <c r="B53" s="24" t="s">
        <v>95</v>
      </c>
      <c r="C53" s="24" t="s">
        <v>76</v>
      </c>
      <c r="D53" s="138">
        <v>0.86217681000000002</v>
      </c>
      <c r="E53" s="138">
        <v>1.125048E-2</v>
      </c>
      <c r="F53" s="138">
        <v>0.28048128</v>
      </c>
      <c r="G53" s="138">
        <v>8.3492629999999998E-2</v>
      </c>
      <c r="H53" s="24" t="s">
        <v>104</v>
      </c>
      <c r="J53" s="142" t="s">
        <v>81</v>
      </c>
      <c r="K53" s="143">
        <v>7.2380749999999994E-2</v>
      </c>
      <c r="L53" s="143">
        <v>8.4298860000000003E-2</v>
      </c>
      <c r="M53" s="143">
        <v>7.7347990000000005E-2</v>
      </c>
      <c r="N53"/>
      <c r="O53"/>
    </row>
    <row r="54" spans="1:15" x14ac:dyDescent="0.3">
      <c r="A54" s="24" t="s">
        <v>9</v>
      </c>
      <c r="B54" s="24" t="s">
        <v>95</v>
      </c>
      <c r="C54" s="24" t="s">
        <v>75</v>
      </c>
      <c r="D54" s="138">
        <v>0.89540405999999995</v>
      </c>
      <c r="E54" s="138">
        <v>1.6682369999999998E-2</v>
      </c>
      <c r="F54" s="138">
        <v>0.31981531000000002</v>
      </c>
      <c r="G54" s="138">
        <v>6.0854230000000002E-2</v>
      </c>
      <c r="H54" s="24" t="s">
        <v>104</v>
      </c>
      <c r="J54" s="142" t="s">
        <v>92</v>
      </c>
      <c r="K54" s="143">
        <v>7.741439E-2</v>
      </c>
      <c r="L54" s="143">
        <v>6.3945020000000005E-2</v>
      </c>
      <c r="M54" s="143">
        <v>9.7717289999999998E-2</v>
      </c>
      <c r="N54"/>
      <c r="O54"/>
    </row>
    <row r="55" spans="1:15" x14ac:dyDescent="0.3">
      <c r="A55" s="24" t="s">
        <v>9</v>
      </c>
      <c r="B55" s="24" t="s">
        <v>95</v>
      </c>
      <c r="C55" s="24" t="s">
        <v>74</v>
      </c>
      <c r="D55" s="138">
        <v>0.84646520000000003</v>
      </c>
      <c r="E55" s="138">
        <v>6.55633E-3</v>
      </c>
      <c r="F55" s="138">
        <v>0.24399134</v>
      </c>
      <c r="G55" s="138">
        <v>7.07816E-2</v>
      </c>
      <c r="H55" s="24" t="s">
        <v>104</v>
      </c>
      <c r="J55" s="142" t="s">
        <v>80</v>
      </c>
      <c r="K55" s="143">
        <v>7.7252249999999995E-2</v>
      </c>
      <c r="L55" s="143">
        <v>6.3263639999999996E-2</v>
      </c>
      <c r="M55" s="143">
        <v>9.8360020000000006E-2</v>
      </c>
      <c r="N55"/>
      <c r="O55"/>
    </row>
    <row r="56" spans="1:15" x14ac:dyDescent="0.3">
      <c r="A56" s="24" t="s">
        <v>9</v>
      </c>
      <c r="B56" s="24" t="s">
        <v>95</v>
      </c>
      <c r="C56" s="24" t="s">
        <v>73</v>
      </c>
      <c r="D56" s="138">
        <v>8.8729169999999996E-2</v>
      </c>
      <c r="E56" s="138">
        <v>0.77742727</v>
      </c>
      <c r="F56" s="138">
        <v>0.35225591000000001</v>
      </c>
      <c r="G56" s="138">
        <v>0.36531796</v>
      </c>
      <c r="H56" s="24" t="s">
        <v>104</v>
      </c>
      <c r="J56" s="142" t="s">
        <v>79</v>
      </c>
      <c r="K56" s="143">
        <v>6.8823570000000001E-2</v>
      </c>
      <c r="L56" s="143">
        <v>6.6793619999999998E-2</v>
      </c>
      <c r="M56" s="143">
        <v>8.6670650000000002E-2</v>
      </c>
      <c r="N56"/>
      <c r="O56"/>
    </row>
    <row r="57" spans="1:15" x14ac:dyDescent="0.3">
      <c r="A57" s="24" t="s">
        <v>9</v>
      </c>
      <c r="B57" s="24" t="s">
        <v>95</v>
      </c>
      <c r="C57" s="24" t="s">
        <v>78</v>
      </c>
      <c r="D57" s="138">
        <v>-0.84972959999999997</v>
      </c>
      <c r="E57" s="138">
        <v>9.5427499999999991E-3</v>
      </c>
      <c r="F57" s="138">
        <v>0.26621373999999998</v>
      </c>
      <c r="G57" s="138">
        <v>6.4345120000000006E-2</v>
      </c>
      <c r="H57" s="24" t="s">
        <v>104</v>
      </c>
      <c r="J57" s="142" t="s">
        <v>78</v>
      </c>
      <c r="K57" s="143">
        <v>0.10938521</v>
      </c>
      <c r="L57" s="143">
        <v>9.6795080000000006E-2</v>
      </c>
      <c r="M57" s="143">
        <v>9.3667840000000002E-2</v>
      </c>
      <c r="N57"/>
      <c r="O57"/>
    </row>
    <row r="58" spans="1:15" x14ac:dyDescent="0.3">
      <c r="A58" s="24" t="s">
        <v>9</v>
      </c>
      <c r="B58" s="24" t="s">
        <v>105</v>
      </c>
      <c r="C58" s="24" t="s">
        <v>79</v>
      </c>
      <c r="D58" s="138">
        <v>0.50592543000000001</v>
      </c>
      <c r="E58" s="138">
        <v>0.18473371999999999</v>
      </c>
      <c r="F58" s="138">
        <v>0.38791934</v>
      </c>
      <c r="G58" s="138">
        <v>0.31832296999999998</v>
      </c>
      <c r="H58" s="24" t="s">
        <v>104</v>
      </c>
      <c r="J58" s="142" t="s">
        <v>77</v>
      </c>
      <c r="K58" s="143">
        <v>7.9621079999999997E-2</v>
      </c>
      <c r="L58" s="143">
        <v>7.4640280000000003E-2</v>
      </c>
      <c r="M58" s="143">
        <v>9.5522010000000004E-2</v>
      </c>
      <c r="N58"/>
      <c r="O58"/>
    </row>
    <row r="59" spans="1:15" x14ac:dyDescent="0.3">
      <c r="A59" s="24" t="s">
        <v>9</v>
      </c>
      <c r="B59" s="24" t="s">
        <v>105</v>
      </c>
      <c r="C59" s="24" t="s">
        <v>84</v>
      </c>
      <c r="D59" s="138">
        <v>0.52060200000000001</v>
      </c>
      <c r="E59" s="138">
        <v>0.22293213000000001</v>
      </c>
      <c r="F59" s="138">
        <v>0.46169441999999999</v>
      </c>
      <c r="G59" s="138">
        <v>0.35658631000000002</v>
      </c>
      <c r="H59" s="24" t="s">
        <v>104</v>
      </c>
      <c r="J59" s="142" t="s">
        <v>76</v>
      </c>
      <c r="K59" s="143">
        <v>8.7804560000000004E-2</v>
      </c>
      <c r="L59" s="143">
        <v>8.3420330000000001E-2</v>
      </c>
      <c r="M59" s="143">
        <v>8.5804160000000004E-2</v>
      </c>
      <c r="N59"/>
      <c r="O59"/>
    </row>
    <row r="60" spans="1:15" x14ac:dyDescent="0.3">
      <c r="A60" s="24" t="s">
        <v>9</v>
      </c>
      <c r="B60" s="24" t="s">
        <v>105</v>
      </c>
      <c r="C60" s="24" t="s">
        <v>83</v>
      </c>
      <c r="D60" s="138">
        <v>0.50594530999999998</v>
      </c>
      <c r="E60" s="138">
        <v>0.22934082</v>
      </c>
      <c r="F60" s="138">
        <v>0.45578848</v>
      </c>
      <c r="G60" s="138">
        <v>0.3541551</v>
      </c>
      <c r="H60" s="24" t="s">
        <v>104</v>
      </c>
      <c r="J60" s="142" t="s">
        <v>75</v>
      </c>
      <c r="K60" s="143">
        <v>8.4977559999999994E-2</v>
      </c>
      <c r="L60" s="143">
        <v>7.5742959999999998E-2</v>
      </c>
      <c r="M60" s="143">
        <v>8.0681539999999996E-2</v>
      </c>
      <c r="N60"/>
      <c r="O60"/>
    </row>
    <row r="61" spans="1:15" x14ac:dyDescent="0.3">
      <c r="A61" s="24" t="s">
        <v>9</v>
      </c>
      <c r="B61" s="24" t="s">
        <v>105</v>
      </c>
      <c r="C61" s="24" t="s">
        <v>82</v>
      </c>
      <c r="D61" s="138">
        <v>0.45768028999999999</v>
      </c>
      <c r="E61" s="138">
        <v>0.33879603000000003</v>
      </c>
      <c r="F61" s="138">
        <v>0.53093758999999996</v>
      </c>
      <c r="G61" s="138">
        <v>0.40295425000000001</v>
      </c>
      <c r="H61" s="24" t="s">
        <v>104</v>
      </c>
      <c r="J61" s="142" t="s">
        <v>74</v>
      </c>
      <c r="K61" s="143">
        <v>7.6171550000000005E-2</v>
      </c>
      <c r="L61" s="143">
        <v>6.3524300000000006E-2</v>
      </c>
      <c r="M61" s="143">
        <v>9.6426570000000003E-2</v>
      </c>
      <c r="N61"/>
      <c r="O61"/>
    </row>
    <row r="62" spans="1:15" x14ac:dyDescent="0.3">
      <c r="A62" s="24" t="s">
        <v>9</v>
      </c>
      <c r="B62" s="24" t="s">
        <v>105</v>
      </c>
      <c r="C62" s="24" t="s">
        <v>81</v>
      </c>
      <c r="D62" s="138">
        <v>0.49575638999999999</v>
      </c>
      <c r="E62" s="138">
        <v>0.27633500999999999</v>
      </c>
      <c r="F62" s="138">
        <v>0.49912377000000002</v>
      </c>
      <c r="G62" s="138">
        <v>0.38758274999999998</v>
      </c>
      <c r="H62" s="24" t="s">
        <v>104</v>
      </c>
      <c r="J62" s="142" t="s">
        <v>73</v>
      </c>
      <c r="K62" s="143">
        <v>8.3163239999999999E-2</v>
      </c>
      <c r="L62" s="143">
        <v>7.7935240000000003E-2</v>
      </c>
      <c r="M62" s="143">
        <v>8.9098070000000001E-2</v>
      </c>
      <c r="N62"/>
      <c r="O62"/>
    </row>
    <row r="63" spans="1:15" x14ac:dyDescent="0.3">
      <c r="A63" s="24" t="s">
        <v>9</v>
      </c>
      <c r="B63" s="24" t="s">
        <v>105</v>
      </c>
      <c r="C63" s="24" t="s">
        <v>85</v>
      </c>
      <c r="D63" s="138">
        <v>-0.41944176999999999</v>
      </c>
      <c r="E63" s="138">
        <v>8.6595660000000005E-2</v>
      </c>
      <c r="F63" s="138">
        <v>0.24699857</v>
      </c>
      <c r="G63" s="138">
        <v>0.26095199000000002</v>
      </c>
      <c r="H63" s="24" t="s">
        <v>104</v>
      </c>
    </row>
    <row r="64" spans="1:15" x14ac:dyDescent="0.3">
      <c r="A64" s="24" t="s">
        <v>9</v>
      </c>
      <c r="B64" s="24" t="s">
        <v>105</v>
      </c>
      <c r="C64" s="24" t="s">
        <v>92</v>
      </c>
      <c r="D64" s="138">
        <v>0.51924769000000004</v>
      </c>
      <c r="E64" s="138">
        <v>0.22741896</v>
      </c>
      <c r="F64" s="138">
        <v>0.46558486999999998</v>
      </c>
      <c r="G64" s="138">
        <v>0.35813045999999998</v>
      </c>
      <c r="H64" s="24" t="s">
        <v>104</v>
      </c>
    </row>
    <row r="65" spans="1:8" x14ac:dyDescent="0.3">
      <c r="A65" s="24" t="s">
        <v>9</v>
      </c>
      <c r="B65" s="24" t="s">
        <v>105</v>
      </c>
      <c r="C65" s="24" t="s">
        <v>80</v>
      </c>
      <c r="D65" s="138">
        <v>0.52620728000000005</v>
      </c>
      <c r="E65" s="138">
        <v>0.21788461000000001</v>
      </c>
      <c r="F65" s="138">
        <v>0.46088477</v>
      </c>
      <c r="G65" s="138">
        <v>0.35645621999999999</v>
      </c>
      <c r="H65" s="24" t="s">
        <v>104</v>
      </c>
    </row>
    <row r="66" spans="1:8" x14ac:dyDescent="0.3">
      <c r="A66" s="24" t="s">
        <v>9</v>
      </c>
      <c r="B66" s="24" t="s">
        <v>105</v>
      </c>
      <c r="C66" s="24" t="s">
        <v>77</v>
      </c>
      <c r="D66" s="138">
        <v>0.51114353999999995</v>
      </c>
      <c r="E66" s="138">
        <v>0.21166761000000001</v>
      </c>
      <c r="F66" s="138">
        <v>0.44080545999999998</v>
      </c>
      <c r="G66" s="138">
        <v>0.34590566</v>
      </c>
      <c r="H66" s="24" t="s">
        <v>104</v>
      </c>
    </row>
    <row r="67" spans="1:8" x14ac:dyDescent="0.3">
      <c r="A67" s="24" t="s">
        <v>9</v>
      </c>
      <c r="B67" s="24" t="s">
        <v>105</v>
      </c>
      <c r="C67" s="24" t="s">
        <v>76</v>
      </c>
      <c r="D67" s="138">
        <v>0.50469308000000002</v>
      </c>
      <c r="E67" s="138">
        <v>0.20596191</v>
      </c>
      <c r="F67" s="138">
        <v>0.4290293</v>
      </c>
      <c r="G67" s="138">
        <v>0.33919655999999998</v>
      </c>
      <c r="H67" s="24" t="s">
        <v>104</v>
      </c>
    </row>
    <row r="68" spans="1:8" x14ac:dyDescent="0.3">
      <c r="A68" s="24" t="s">
        <v>9</v>
      </c>
      <c r="B68" s="24" t="s">
        <v>105</v>
      </c>
      <c r="C68" s="24" t="s">
        <v>75</v>
      </c>
      <c r="D68" s="138">
        <v>0.49696346000000002</v>
      </c>
      <c r="E68" s="138">
        <v>0.16436112</v>
      </c>
      <c r="F68" s="138">
        <v>0.37827938999999999</v>
      </c>
      <c r="G68" s="138">
        <v>0.30712716000000001</v>
      </c>
      <c r="H68" s="24" t="s">
        <v>104</v>
      </c>
    </row>
    <row r="69" spans="1:8" x14ac:dyDescent="0.3">
      <c r="A69" s="24" t="s">
        <v>9</v>
      </c>
      <c r="B69" s="24" t="s">
        <v>105</v>
      </c>
      <c r="C69" s="24" t="s">
        <v>74</v>
      </c>
      <c r="D69" s="138">
        <v>0.51961113999999997</v>
      </c>
      <c r="E69" s="138">
        <v>0.23501633999999999</v>
      </c>
      <c r="F69" s="138">
        <v>0.47458718999999999</v>
      </c>
      <c r="G69" s="138">
        <v>0.36454953000000001</v>
      </c>
      <c r="H69" s="24" t="s">
        <v>104</v>
      </c>
    </row>
    <row r="70" spans="1:8" x14ac:dyDescent="0.3">
      <c r="A70" s="24" t="s">
        <v>9</v>
      </c>
      <c r="B70" s="24" t="s">
        <v>105</v>
      </c>
      <c r="C70" s="24" t="s">
        <v>73</v>
      </c>
      <c r="D70" s="138">
        <v>-1.5618740000000001E-2</v>
      </c>
      <c r="E70" s="138">
        <v>0.97454322000000004</v>
      </c>
      <c r="F70" s="138">
        <v>0.56600976999999997</v>
      </c>
      <c r="G70" s="138">
        <v>0.45889214</v>
      </c>
      <c r="H70" s="24" t="s">
        <v>104</v>
      </c>
    </row>
    <row r="71" spans="1:8" x14ac:dyDescent="0.3">
      <c r="A71" s="24" t="s">
        <v>9</v>
      </c>
      <c r="B71" s="24" t="s">
        <v>105</v>
      </c>
      <c r="C71" s="24" t="s">
        <v>78</v>
      </c>
      <c r="D71" s="138">
        <v>-0.52338083999999996</v>
      </c>
      <c r="E71" s="138">
        <v>0.11618857</v>
      </c>
      <c r="F71" s="138">
        <v>0.34383001000000002</v>
      </c>
      <c r="G71" s="138">
        <v>0.28755841999999998</v>
      </c>
      <c r="H71" s="24" t="s">
        <v>104</v>
      </c>
    </row>
    <row r="72" spans="1:8" x14ac:dyDescent="0.3">
      <c r="A72" s="24" t="s">
        <v>9</v>
      </c>
      <c r="B72" s="24" t="s">
        <v>106</v>
      </c>
      <c r="C72" s="24" t="s">
        <v>79</v>
      </c>
      <c r="D72" s="138">
        <v>0.77628733999999999</v>
      </c>
      <c r="E72" s="138">
        <v>1.2317949999999999E-2</v>
      </c>
      <c r="F72" s="138">
        <v>0.25601305000000002</v>
      </c>
      <c r="G72" s="138">
        <v>0.20618769000000001</v>
      </c>
      <c r="H72" s="24" t="s">
        <v>104</v>
      </c>
    </row>
    <row r="73" spans="1:8" x14ac:dyDescent="0.3">
      <c r="A73" s="24" t="s">
        <v>9</v>
      </c>
      <c r="B73" s="24" t="s">
        <v>106</v>
      </c>
      <c r="C73" s="24" t="s">
        <v>84</v>
      </c>
      <c r="D73" s="138">
        <v>0.79842254000000001</v>
      </c>
      <c r="E73" s="138">
        <v>2.0091020000000001E-2</v>
      </c>
      <c r="F73" s="138">
        <v>0.29956923000000002</v>
      </c>
      <c r="G73" s="138">
        <v>0.21274622000000001</v>
      </c>
      <c r="H73" s="24" t="s">
        <v>104</v>
      </c>
    </row>
    <row r="74" spans="1:8" x14ac:dyDescent="0.3">
      <c r="A74" s="24" t="s">
        <v>9</v>
      </c>
      <c r="B74" s="24" t="s">
        <v>106</v>
      </c>
      <c r="C74" s="24" t="s">
        <v>83</v>
      </c>
      <c r="D74" s="138">
        <v>0.79167721000000002</v>
      </c>
      <c r="E74" s="138">
        <v>2.0998590000000001E-2</v>
      </c>
      <c r="F74" s="138">
        <v>0.30035916000000001</v>
      </c>
      <c r="G74" s="138">
        <v>0.21151621000000001</v>
      </c>
      <c r="H74" s="24" t="s">
        <v>104</v>
      </c>
    </row>
    <row r="75" spans="1:8" x14ac:dyDescent="0.3">
      <c r="A75" s="24" t="s">
        <v>9</v>
      </c>
      <c r="B75" s="24" t="s">
        <v>106</v>
      </c>
      <c r="C75" s="24" t="s">
        <v>82</v>
      </c>
      <c r="D75" s="138">
        <v>0.75220476000000003</v>
      </c>
      <c r="E75" s="138">
        <v>4.6837770000000001E-2</v>
      </c>
      <c r="F75" s="138">
        <v>0.35507237000000003</v>
      </c>
      <c r="G75" s="138">
        <v>0.25175849</v>
      </c>
      <c r="H75" s="24" t="s">
        <v>104</v>
      </c>
    </row>
    <row r="76" spans="1:8" x14ac:dyDescent="0.3">
      <c r="A76" s="24" t="s">
        <v>9</v>
      </c>
      <c r="B76" s="24" t="s">
        <v>106</v>
      </c>
      <c r="C76" s="24" t="s">
        <v>81</v>
      </c>
      <c r="D76" s="138">
        <v>0.77831954999999997</v>
      </c>
      <c r="E76" s="138">
        <v>3.107379E-2</v>
      </c>
      <c r="F76" s="138">
        <v>0.32713550000000002</v>
      </c>
      <c r="G76" s="138">
        <v>0.23970168</v>
      </c>
      <c r="H76" s="24" t="s">
        <v>104</v>
      </c>
    </row>
    <row r="77" spans="1:8" x14ac:dyDescent="0.3">
      <c r="A77" s="24" t="s">
        <v>9</v>
      </c>
      <c r="B77" s="24" t="s">
        <v>106</v>
      </c>
      <c r="C77" s="24" t="s">
        <v>85</v>
      </c>
      <c r="D77" s="138">
        <v>-0.68531087000000002</v>
      </c>
      <c r="E77" s="138">
        <v>2.1504720000000001E-2</v>
      </c>
      <c r="F77" s="138">
        <v>0.26157580000000002</v>
      </c>
      <c r="G77" s="138">
        <v>0.1906311</v>
      </c>
      <c r="H77" s="24" t="s">
        <v>104</v>
      </c>
    </row>
    <row r="78" spans="1:8" x14ac:dyDescent="0.3">
      <c r="A78" s="24" t="s">
        <v>9</v>
      </c>
      <c r="B78" s="24" t="s">
        <v>106</v>
      </c>
      <c r="C78" s="24" t="s">
        <v>92</v>
      </c>
      <c r="D78" s="138">
        <v>0.79284633000000004</v>
      </c>
      <c r="E78" s="138">
        <v>2.09722E-2</v>
      </c>
      <c r="F78" s="138">
        <v>0.30070722999999999</v>
      </c>
      <c r="G78" s="138">
        <v>0.21482234</v>
      </c>
      <c r="H78" s="24" t="s">
        <v>104</v>
      </c>
    </row>
    <row r="79" spans="1:8" x14ac:dyDescent="0.3">
      <c r="A79" s="24" t="s">
        <v>9</v>
      </c>
      <c r="B79" s="24" t="s">
        <v>106</v>
      </c>
      <c r="C79" s="24" t="s">
        <v>80</v>
      </c>
      <c r="D79" s="138">
        <v>0.7941608</v>
      </c>
      <c r="E79" s="138">
        <v>1.9917399999999998E-2</v>
      </c>
      <c r="F79" s="138">
        <v>0.29732292999999999</v>
      </c>
      <c r="G79" s="138">
        <v>0.21298645999999999</v>
      </c>
      <c r="H79" s="24" t="s">
        <v>104</v>
      </c>
    </row>
    <row r="80" spans="1:8" x14ac:dyDescent="0.3">
      <c r="A80" s="24" t="s">
        <v>9</v>
      </c>
      <c r="B80" s="24" t="s">
        <v>106</v>
      </c>
      <c r="C80" s="24" t="s">
        <v>77</v>
      </c>
      <c r="D80" s="138">
        <v>0.79557889000000004</v>
      </c>
      <c r="E80" s="138">
        <v>1.9420639999999999E-2</v>
      </c>
      <c r="F80" s="138">
        <v>0.29597982</v>
      </c>
      <c r="G80" s="138">
        <v>0.20621500000000001</v>
      </c>
      <c r="H80" s="24" t="s">
        <v>104</v>
      </c>
    </row>
    <row r="81" spans="1:8" x14ac:dyDescent="0.3">
      <c r="A81" s="24" t="s">
        <v>9</v>
      </c>
      <c r="B81" s="24" t="s">
        <v>106</v>
      </c>
      <c r="C81" s="24" t="s">
        <v>76</v>
      </c>
      <c r="D81" s="138">
        <v>0.79746349999999999</v>
      </c>
      <c r="E81" s="138">
        <v>1.691747E-2</v>
      </c>
      <c r="F81" s="138">
        <v>0.28674902000000002</v>
      </c>
      <c r="G81" s="138">
        <v>0.2121632</v>
      </c>
      <c r="H81" s="24" t="s">
        <v>104</v>
      </c>
    </row>
    <row r="82" spans="1:8" x14ac:dyDescent="0.3">
      <c r="A82" s="24" t="s">
        <v>9</v>
      </c>
      <c r="B82" s="24" t="s">
        <v>106</v>
      </c>
      <c r="C82" s="24" t="s">
        <v>75</v>
      </c>
      <c r="D82" s="138">
        <v>0.81220446999999996</v>
      </c>
      <c r="E82" s="138">
        <v>1.187538E-2</v>
      </c>
      <c r="F82" s="138">
        <v>0.26843822000000001</v>
      </c>
      <c r="G82" s="138">
        <v>0.18949896999999999</v>
      </c>
      <c r="H82" s="24" t="s">
        <v>104</v>
      </c>
    </row>
    <row r="83" spans="1:8" x14ac:dyDescent="0.3">
      <c r="A83" s="24" t="s">
        <v>9</v>
      </c>
      <c r="B83" s="24" t="s">
        <v>106</v>
      </c>
      <c r="C83" s="24" t="s">
        <v>74</v>
      </c>
      <c r="D83" s="138">
        <v>0.79712026000000002</v>
      </c>
      <c r="E83" s="138">
        <v>2.246368E-2</v>
      </c>
      <c r="F83" s="138">
        <v>0.30764842999999997</v>
      </c>
      <c r="G83" s="138">
        <v>0.21881285</v>
      </c>
      <c r="H83" s="24" t="s">
        <v>104</v>
      </c>
    </row>
    <row r="84" spans="1:8" x14ac:dyDescent="0.3">
      <c r="A84" s="24" t="s">
        <v>9</v>
      </c>
      <c r="B84" s="24" t="s">
        <v>106</v>
      </c>
      <c r="C84" s="24" t="s">
        <v>73</v>
      </c>
      <c r="D84" s="138">
        <v>4.2318790000000002E-2</v>
      </c>
      <c r="E84" s="138">
        <v>0.91346598999999995</v>
      </c>
      <c r="F84" s="138">
        <v>0.43980288000000001</v>
      </c>
      <c r="G84" s="138">
        <v>0.38530894999999998</v>
      </c>
      <c r="H84" s="24" t="s">
        <v>104</v>
      </c>
    </row>
    <row r="85" spans="1:8" x14ac:dyDescent="0.3">
      <c r="A85" s="24" t="s">
        <v>9</v>
      </c>
      <c r="B85" s="24" t="s">
        <v>106</v>
      </c>
      <c r="C85" s="24" t="s">
        <v>78</v>
      </c>
      <c r="D85" s="138">
        <v>-0.80123334000000002</v>
      </c>
      <c r="E85" s="138">
        <v>5.7557099999999998E-3</v>
      </c>
      <c r="F85" s="138">
        <v>0.22527784000000001</v>
      </c>
      <c r="G85" s="138">
        <v>0.15802885999999999</v>
      </c>
      <c r="H85" s="24" t="s">
        <v>104</v>
      </c>
    </row>
    <row r="86" spans="1:8" x14ac:dyDescent="0.3">
      <c r="A86" s="24" t="s">
        <v>10</v>
      </c>
      <c r="B86" s="24" t="s">
        <v>95</v>
      </c>
      <c r="C86" s="24" t="s">
        <v>79</v>
      </c>
      <c r="D86" s="138">
        <v>0.18614363</v>
      </c>
      <c r="E86" s="138">
        <v>0.64625337000000005</v>
      </c>
      <c r="F86" s="138">
        <v>0.32774687000000002</v>
      </c>
      <c r="G86" s="138">
        <v>0.42567156</v>
      </c>
      <c r="H86" s="24" t="s">
        <v>104</v>
      </c>
    </row>
    <row r="87" spans="1:8" x14ac:dyDescent="0.3">
      <c r="A87" s="24" t="s">
        <v>10</v>
      </c>
      <c r="B87" s="24" t="s">
        <v>95</v>
      </c>
      <c r="C87" s="24" t="s">
        <v>84</v>
      </c>
      <c r="D87" s="138">
        <v>8.5710709999999996E-2</v>
      </c>
      <c r="E87" s="138">
        <v>0.85070551000000005</v>
      </c>
      <c r="F87" s="138">
        <v>0.28806133</v>
      </c>
      <c r="G87" s="138">
        <v>0.49187723999999999</v>
      </c>
      <c r="H87" s="24" t="s">
        <v>104</v>
      </c>
    </row>
    <row r="88" spans="1:8" x14ac:dyDescent="0.3">
      <c r="A88" s="24" t="s">
        <v>10</v>
      </c>
      <c r="B88" s="24" t="s">
        <v>95</v>
      </c>
      <c r="C88" s="24" t="s">
        <v>83</v>
      </c>
      <c r="D88" s="138">
        <v>9.7211939999999997E-2</v>
      </c>
      <c r="E88" s="138">
        <v>0.82903234999999997</v>
      </c>
      <c r="F88" s="138">
        <v>0.28462652999999999</v>
      </c>
      <c r="G88" s="138">
        <v>0.48887650999999999</v>
      </c>
      <c r="H88" s="24" t="s">
        <v>104</v>
      </c>
    </row>
    <row r="89" spans="1:8" x14ac:dyDescent="0.3">
      <c r="A89" s="24" t="s">
        <v>10</v>
      </c>
      <c r="B89" s="24" t="s">
        <v>95</v>
      </c>
      <c r="C89" s="24" t="s">
        <v>82</v>
      </c>
      <c r="D89" s="138">
        <v>5.6985929999999997E-2</v>
      </c>
      <c r="E89" s="138">
        <v>0.91015592999999995</v>
      </c>
      <c r="F89" s="138">
        <v>0.31977831000000001</v>
      </c>
      <c r="G89" s="138">
        <v>0.53544055000000002</v>
      </c>
      <c r="H89" s="24" t="s">
        <v>104</v>
      </c>
    </row>
    <row r="90" spans="1:8" x14ac:dyDescent="0.3">
      <c r="A90" s="24" t="s">
        <v>10</v>
      </c>
      <c r="B90" s="24" t="s">
        <v>95</v>
      </c>
      <c r="C90" s="24" t="s">
        <v>81</v>
      </c>
      <c r="D90" s="138">
        <v>-7.0865559999999994E-2</v>
      </c>
      <c r="E90" s="138">
        <v>0.85924670000000003</v>
      </c>
      <c r="F90" s="138">
        <v>0.25283323000000002</v>
      </c>
      <c r="G90" s="138">
        <v>0.44843878999999998</v>
      </c>
      <c r="H90" s="24" t="s">
        <v>104</v>
      </c>
    </row>
    <row r="91" spans="1:8" x14ac:dyDescent="0.3">
      <c r="A91" s="24" t="s">
        <v>10</v>
      </c>
      <c r="B91" s="24" t="s">
        <v>95</v>
      </c>
      <c r="C91" s="24" t="s">
        <v>85</v>
      </c>
      <c r="D91" s="138">
        <v>2.345115E-2</v>
      </c>
      <c r="E91" s="138">
        <v>0.94413639000000005</v>
      </c>
      <c r="F91" s="138">
        <v>0.21199382999999999</v>
      </c>
      <c r="G91" s="138">
        <v>0.42187917000000003</v>
      </c>
      <c r="H91" s="24" t="s">
        <v>104</v>
      </c>
    </row>
    <row r="92" spans="1:8" x14ac:dyDescent="0.3">
      <c r="A92" s="24" t="s">
        <v>10</v>
      </c>
      <c r="B92" s="24" t="s">
        <v>95</v>
      </c>
      <c r="C92" s="24" t="s">
        <v>92</v>
      </c>
      <c r="D92" s="138">
        <v>5.4580730000000001E-2</v>
      </c>
      <c r="E92" s="138">
        <v>0.90874361000000003</v>
      </c>
      <c r="F92" s="138">
        <v>0.30151556000000002</v>
      </c>
      <c r="G92" s="138">
        <v>0.50745129</v>
      </c>
      <c r="H92" s="24" t="s">
        <v>104</v>
      </c>
    </row>
    <row r="93" spans="1:8" x14ac:dyDescent="0.3">
      <c r="A93" s="24" t="s">
        <v>10</v>
      </c>
      <c r="B93" s="24" t="s">
        <v>95</v>
      </c>
      <c r="C93" s="24" t="s">
        <v>80</v>
      </c>
      <c r="D93" s="138">
        <v>7.3032650000000005E-2</v>
      </c>
      <c r="E93" s="138">
        <v>0.87381993999999996</v>
      </c>
      <c r="F93" s="138">
        <v>0.29104060999999998</v>
      </c>
      <c r="G93" s="138">
        <v>0.49424695000000002</v>
      </c>
      <c r="H93" s="24" t="s">
        <v>104</v>
      </c>
    </row>
    <row r="94" spans="1:8" x14ac:dyDescent="0.3">
      <c r="A94" s="24" t="s">
        <v>10</v>
      </c>
      <c r="B94" s="24" t="s">
        <v>95</v>
      </c>
      <c r="C94" s="24" t="s">
        <v>77</v>
      </c>
      <c r="D94" s="138">
        <v>0.11115748</v>
      </c>
      <c r="E94" s="138">
        <v>0.80225367999999997</v>
      </c>
      <c r="F94" s="138">
        <v>0.28043502999999997</v>
      </c>
      <c r="G94" s="138">
        <v>0.48492484000000002</v>
      </c>
      <c r="H94" s="24" t="s">
        <v>104</v>
      </c>
    </row>
    <row r="95" spans="1:8" x14ac:dyDescent="0.3">
      <c r="A95" s="24" t="s">
        <v>10</v>
      </c>
      <c r="B95" s="24" t="s">
        <v>95</v>
      </c>
      <c r="C95" s="24" t="s">
        <v>76</v>
      </c>
      <c r="D95" s="138">
        <v>0.11152336</v>
      </c>
      <c r="E95" s="138">
        <v>0.80438580000000004</v>
      </c>
      <c r="F95" s="138">
        <v>0.28450683999999998</v>
      </c>
      <c r="G95" s="138">
        <v>0.4900197</v>
      </c>
      <c r="H95" s="24" t="s">
        <v>104</v>
      </c>
    </row>
    <row r="96" spans="1:8" x14ac:dyDescent="0.3">
      <c r="A96" s="24" t="s">
        <v>10</v>
      </c>
      <c r="B96" s="24" t="s">
        <v>95</v>
      </c>
      <c r="C96" s="24" t="s">
        <v>75</v>
      </c>
      <c r="D96" s="138">
        <v>0.13153411000000001</v>
      </c>
      <c r="E96" s="138">
        <v>0.76575185999999995</v>
      </c>
      <c r="F96" s="138">
        <v>0.27860698</v>
      </c>
      <c r="G96" s="138">
        <v>0.48745971999999999</v>
      </c>
      <c r="H96" s="24" t="s">
        <v>104</v>
      </c>
    </row>
    <row r="97" spans="1:8" x14ac:dyDescent="0.3">
      <c r="A97" s="24" t="s">
        <v>10</v>
      </c>
      <c r="B97" s="24" t="s">
        <v>95</v>
      </c>
      <c r="C97" s="24" t="s">
        <v>74</v>
      </c>
      <c r="D97" s="138">
        <v>6.6137489999999993E-2</v>
      </c>
      <c r="E97" s="138">
        <v>0.88605590999999995</v>
      </c>
      <c r="F97" s="138">
        <v>0.29215410000000003</v>
      </c>
      <c r="G97" s="138">
        <v>0.49596672000000003</v>
      </c>
      <c r="H97" s="24" t="s">
        <v>104</v>
      </c>
    </row>
    <row r="98" spans="1:8" x14ac:dyDescent="0.3">
      <c r="A98" s="24" t="s">
        <v>10</v>
      </c>
      <c r="B98" s="24" t="s">
        <v>95</v>
      </c>
      <c r="C98" s="24" t="s">
        <v>73</v>
      </c>
      <c r="D98" s="138">
        <v>2.8998700000000001E-3</v>
      </c>
      <c r="E98" s="138">
        <v>0.98907911999999998</v>
      </c>
      <c r="F98" s="138">
        <v>0.13422803</v>
      </c>
      <c r="G98" s="138">
        <v>0.36670522</v>
      </c>
      <c r="H98" s="24" t="s">
        <v>104</v>
      </c>
    </row>
    <row r="99" spans="1:8" x14ac:dyDescent="0.3">
      <c r="A99" s="24" t="s">
        <v>10</v>
      </c>
      <c r="B99" s="24" t="s">
        <v>95</v>
      </c>
      <c r="C99" s="24" t="s">
        <v>78</v>
      </c>
      <c r="D99" s="138">
        <v>1.012819E-2</v>
      </c>
      <c r="E99" s="138">
        <v>0.97900962000000002</v>
      </c>
      <c r="F99" s="138">
        <v>0.24388546999999999</v>
      </c>
      <c r="G99" s="138">
        <v>0.44699709999999998</v>
      </c>
      <c r="H99" s="24" t="s">
        <v>104</v>
      </c>
    </row>
    <row r="100" spans="1:8" x14ac:dyDescent="0.3">
      <c r="A100" s="24" t="s">
        <v>10</v>
      </c>
      <c r="B100" s="24" t="s">
        <v>105</v>
      </c>
      <c r="C100" s="24" t="s">
        <v>79</v>
      </c>
      <c r="D100" s="138">
        <v>-4.43933E-3</v>
      </c>
      <c r="E100" s="138">
        <v>0.99032337000000004</v>
      </c>
      <c r="F100" s="138">
        <v>0.29447872000000003</v>
      </c>
      <c r="G100" s="138">
        <v>0.40418472</v>
      </c>
      <c r="H100" s="24" t="s">
        <v>104</v>
      </c>
    </row>
    <row r="101" spans="1:8" x14ac:dyDescent="0.3">
      <c r="A101" s="24" t="s">
        <v>10</v>
      </c>
      <c r="B101" s="24" t="s">
        <v>105</v>
      </c>
      <c r="C101" s="24" t="s">
        <v>84</v>
      </c>
      <c r="D101" s="138">
        <v>0.13132299</v>
      </c>
      <c r="E101" s="138">
        <v>0.73922239999999995</v>
      </c>
      <c r="F101" s="138">
        <v>0.27656931000000001</v>
      </c>
      <c r="G101" s="138">
        <v>0.44722274000000001</v>
      </c>
      <c r="H101" s="24" t="s">
        <v>104</v>
      </c>
    </row>
    <row r="102" spans="1:8" x14ac:dyDescent="0.3">
      <c r="A102" s="24" t="s">
        <v>10</v>
      </c>
      <c r="B102" s="24" t="s">
        <v>105</v>
      </c>
      <c r="C102" s="24" t="s">
        <v>83</v>
      </c>
      <c r="D102" s="138">
        <v>0.13304126999999999</v>
      </c>
      <c r="E102" s="138">
        <v>0.73466869000000001</v>
      </c>
      <c r="F102" s="138">
        <v>0.27514611999999999</v>
      </c>
      <c r="G102" s="138">
        <v>0.44661229000000002</v>
      </c>
      <c r="H102" s="24" t="s">
        <v>104</v>
      </c>
    </row>
    <row r="103" spans="1:8" x14ac:dyDescent="0.3">
      <c r="A103" s="24" t="s">
        <v>10</v>
      </c>
      <c r="B103" s="24" t="s">
        <v>105</v>
      </c>
      <c r="C103" s="24" t="s">
        <v>82</v>
      </c>
      <c r="D103" s="138">
        <v>8.6381470000000002E-2</v>
      </c>
      <c r="E103" s="138">
        <v>0.83567429999999998</v>
      </c>
      <c r="F103" s="138">
        <v>0.29283331000000001</v>
      </c>
      <c r="G103" s="138">
        <v>0.45360211</v>
      </c>
      <c r="H103" s="24" t="s">
        <v>104</v>
      </c>
    </row>
    <row r="104" spans="1:8" x14ac:dyDescent="0.3">
      <c r="A104" s="24" t="s">
        <v>10</v>
      </c>
      <c r="B104" s="24" t="s">
        <v>105</v>
      </c>
      <c r="C104" s="24" t="s">
        <v>81</v>
      </c>
      <c r="D104" s="138">
        <v>0.21371372</v>
      </c>
      <c r="E104" s="138">
        <v>0.54135661999999996</v>
      </c>
      <c r="F104" s="138">
        <v>0.24243867999999999</v>
      </c>
      <c r="G104" s="138">
        <v>0.41002824999999998</v>
      </c>
      <c r="H104" s="24" t="s">
        <v>104</v>
      </c>
    </row>
    <row r="105" spans="1:8" x14ac:dyDescent="0.3">
      <c r="A105" s="24" t="s">
        <v>10</v>
      </c>
      <c r="B105" s="24" t="s">
        <v>105</v>
      </c>
      <c r="C105" s="24" t="s">
        <v>85</v>
      </c>
      <c r="D105" s="138">
        <v>-0.33570730999999998</v>
      </c>
      <c r="E105" s="138">
        <v>0.31263396999999998</v>
      </c>
      <c r="F105" s="138">
        <v>0.22368726999999999</v>
      </c>
      <c r="G105" s="138">
        <v>0.48606377000000001</v>
      </c>
      <c r="H105" s="24" t="s">
        <v>104</v>
      </c>
    </row>
    <row r="106" spans="1:8" x14ac:dyDescent="0.3">
      <c r="A106" s="24" t="s">
        <v>10</v>
      </c>
      <c r="B106" s="24" t="s">
        <v>105</v>
      </c>
      <c r="C106" s="24" t="s">
        <v>92</v>
      </c>
      <c r="D106" s="138">
        <v>0.14652993</v>
      </c>
      <c r="E106" s="138">
        <v>0.71382553999999998</v>
      </c>
      <c r="F106" s="138">
        <v>0.27982277999999999</v>
      </c>
      <c r="G106" s="138">
        <v>0.45350182</v>
      </c>
      <c r="H106" s="24" t="s">
        <v>104</v>
      </c>
    </row>
    <row r="107" spans="1:8" x14ac:dyDescent="0.3">
      <c r="A107" s="24" t="s">
        <v>10</v>
      </c>
      <c r="B107" s="24" t="s">
        <v>105</v>
      </c>
      <c r="C107" s="24" t="s">
        <v>80</v>
      </c>
      <c r="D107" s="138">
        <v>0.14252651</v>
      </c>
      <c r="E107" s="138">
        <v>0.71892294999999995</v>
      </c>
      <c r="F107" s="138">
        <v>0.27740030999999998</v>
      </c>
      <c r="G107" s="138">
        <v>0.45071475</v>
      </c>
      <c r="H107" s="24" t="s">
        <v>104</v>
      </c>
    </row>
    <row r="108" spans="1:8" x14ac:dyDescent="0.3">
      <c r="A108" s="24" t="s">
        <v>10</v>
      </c>
      <c r="B108" s="24" t="s">
        <v>105</v>
      </c>
      <c r="C108" s="24" t="s">
        <v>77</v>
      </c>
      <c r="D108" s="138">
        <v>0.12311915</v>
      </c>
      <c r="E108" s="138">
        <v>0.75266661999999995</v>
      </c>
      <c r="F108" s="138">
        <v>0.27404457999999998</v>
      </c>
      <c r="G108" s="138">
        <v>0.44335615</v>
      </c>
      <c r="H108" s="24" t="s">
        <v>104</v>
      </c>
    </row>
    <row r="109" spans="1:8" x14ac:dyDescent="0.3">
      <c r="A109" s="24" t="s">
        <v>10</v>
      </c>
      <c r="B109" s="24" t="s">
        <v>105</v>
      </c>
      <c r="C109" s="24" t="s">
        <v>76</v>
      </c>
      <c r="D109" s="138">
        <v>0.135656</v>
      </c>
      <c r="E109" s="138">
        <v>0.73136142000000004</v>
      </c>
      <c r="F109" s="138">
        <v>0.27692629000000002</v>
      </c>
      <c r="G109" s="138">
        <v>0.45223572000000001</v>
      </c>
      <c r="H109" s="24" t="s">
        <v>104</v>
      </c>
    </row>
    <row r="110" spans="1:8" x14ac:dyDescent="0.3">
      <c r="A110" s="24" t="s">
        <v>10</v>
      </c>
      <c r="B110" s="24" t="s">
        <v>105</v>
      </c>
      <c r="C110" s="24" t="s">
        <v>75</v>
      </c>
      <c r="D110" s="138">
        <v>0.11202056000000001</v>
      </c>
      <c r="E110" s="138">
        <v>0.77324037000000001</v>
      </c>
      <c r="F110" s="138">
        <v>0.27289190000000002</v>
      </c>
      <c r="G110" s="138">
        <v>0.43507924999999997</v>
      </c>
      <c r="H110" s="24" t="s">
        <v>104</v>
      </c>
    </row>
    <row r="111" spans="1:8" x14ac:dyDescent="0.3">
      <c r="A111" s="24" t="s">
        <v>10</v>
      </c>
      <c r="B111" s="24" t="s">
        <v>105</v>
      </c>
      <c r="C111" s="24" t="s">
        <v>74</v>
      </c>
      <c r="D111" s="138">
        <v>0.13646295</v>
      </c>
      <c r="E111" s="138">
        <v>0.73001474</v>
      </c>
      <c r="F111" s="138">
        <v>0.27711278</v>
      </c>
      <c r="G111" s="138">
        <v>0.44775820999999999</v>
      </c>
      <c r="H111" s="24" t="s">
        <v>104</v>
      </c>
    </row>
    <row r="112" spans="1:8" x14ac:dyDescent="0.3">
      <c r="A112" s="24" t="s">
        <v>10</v>
      </c>
      <c r="B112" s="24" t="s">
        <v>105</v>
      </c>
      <c r="C112" s="24" t="s">
        <v>73</v>
      </c>
      <c r="D112" s="138">
        <v>-0.38280813000000002</v>
      </c>
      <c r="E112" s="138">
        <v>0.13531528000000001</v>
      </c>
      <c r="F112" s="138">
        <v>0.16298588</v>
      </c>
      <c r="G112" s="138">
        <v>0.46624303</v>
      </c>
      <c r="H112" s="24" t="s">
        <v>104</v>
      </c>
    </row>
    <row r="113" spans="1:8" x14ac:dyDescent="0.3">
      <c r="A113" s="24" t="s">
        <v>10</v>
      </c>
      <c r="B113" s="24" t="s">
        <v>105</v>
      </c>
      <c r="C113" s="24" t="s">
        <v>78</v>
      </c>
      <c r="D113" s="138">
        <v>-0.29769821000000002</v>
      </c>
      <c r="E113" s="138">
        <v>0.40850692999999999</v>
      </c>
      <c r="F113" s="138">
        <v>0.24607527000000001</v>
      </c>
      <c r="G113" s="138">
        <v>0.47832092999999998</v>
      </c>
      <c r="H113" s="24" t="s">
        <v>104</v>
      </c>
    </row>
    <row r="114" spans="1:8" x14ac:dyDescent="0.3">
      <c r="A114" s="24" t="s">
        <v>10</v>
      </c>
      <c r="B114" s="24" t="s">
        <v>106</v>
      </c>
      <c r="C114" s="24" t="s">
        <v>79</v>
      </c>
      <c r="D114" s="138">
        <v>0.32334171</v>
      </c>
      <c r="E114" s="138">
        <v>0.45710814</v>
      </c>
      <c r="F114" s="138">
        <v>0.39276216000000003</v>
      </c>
      <c r="G114" s="138">
        <v>0.39843919999999999</v>
      </c>
      <c r="H114" s="24" t="s">
        <v>104</v>
      </c>
    </row>
    <row r="115" spans="1:8" x14ac:dyDescent="0.3">
      <c r="A115" s="24" t="s">
        <v>10</v>
      </c>
      <c r="B115" s="24" t="s">
        <v>106</v>
      </c>
      <c r="C115" s="24" t="s">
        <v>84</v>
      </c>
      <c r="D115" s="138">
        <v>0.28184809999999999</v>
      </c>
      <c r="E115" s="138">
        <v>0.56619396</v>
      </c>
      <c r="F115" s="138">
        <v>0.37616667999999998</v>
      </c>
      <c r="G115" s="138">
        <v>0.44518861999999998</v>
      </c>
      <c r="H115" s="24" t="s">
        <v>104</v>
      </c>
    </row>
    <row r="116" spans="1:8" x14ac:dyDescent="0.3">
      <c r="A116" s="24" t="s">
        <v>10</v>
      </c>
      <c r="B116" s="24" t="s">
        <v>106</v>
      </c>
      <c r="C116" s="24" t="s">
        <v>83</v>
      </c>
      <c r="D116" s="138">
        <v>0.30242341</v>
      </c>
      <c r="E116" s="138">
        <v>0.53678294999999998</v>
      </c>
      <c r="F116" s="138">
        <v>0.37397856000000002</v>
      </c>
      <c r="G116" s="138">
        <v>0.44419560000000002</v>
      </c>
      <c r="H116" s="24" t="s">
        <v>104</v>
      </c>
    </row>
    <row r="117" spans="1:8" x14ac:dyDescent="0.3">
      <c r="A117" s="24" t="s">
        <v>10</v>
      </c>
      <c r="B117" s="24" t="s">
        <v>106</v>
      </c>
      <c r="C117" s="24" t="s">
        <v>82</v>
      </c>
      <c r="D117" s="138">
        <v>0.18638167</v>
      </c>
      <c r="E117" s="138">
        <v>0.71177979999999996</v>
      </c>
      <c r="F117" s="138">
        <v>0.38958868000000002</v>
      </c>
      <c r="G117" s="138">
        <v>0.47230418000000002</v>
      </c>
      <c r="H117" s="24" t="s">
        <v>104</v>
      </c>
    </row>
    <row r="118" spans="1:8" x14ac:dyDescent="0.3">
      <c r="A118" s="24" t="s">
        <v>10</v>
      </c>
      <c r="B118" s="24" t="s">
        <v>106</v>
      </c>
      <c r="C118" s="24" t="s">
        <v>81</v>
      </c>
      <c r="D118" s="138">
        <v>0.11644374</v>
      </c>
      <c r="E118" s="138">
        <v>0.78857783000000004</v>
      </c>
      <c r="F118" s="138">
        <v>0.33632488999999999</v>
      </c>
      <c r="G118" s="138">
        <v>0.42536962</v>
      </c>
      <c r="H118" s="24" t="s">
        <v>104</v>
      </c>
    </row>
    <row r="119" spans="1:8" x14ac:dyDescent="0.3">
      <c r="A119" s="24" t="s">
        <v>10</v>
      </c>
      <c r="B119" s="24" t="s">
        <v>106</v>
      </c>
      <c r="C119" s="24" t="s">
        <v>85</v>
      </c>
      <c r="D119" s="138">
        <v>-0.32586823999999998</v>
      </c>
      <c r="E119" s="138">
        <v>0.45537158999999999</v>
      </c>
      <c r="F119" s="138">
        <v>0.33080242999999998</v>
      </c>
      <c r="G119" s="138">
        <v>0.44541733</v>
      </c>
      <c r="H119" s="24" t="s">
        <v>104</v>
      </c>
    </row>
    <row r="120" spans="1:8" x14ac:dyDescent="0.3">
      <c r="A120" s="24" t="s">
        <v>10</v>
      </c>
      <c r="B120" s="24" t="s">
        <v>106</v>
      </c>
      <c r="C120" s="24" t="s">
        <v>92</v>
      </c>
      <c r="D120" s="138">
        <v>0.24769019</v>
      </c>
      <c r="E120" s="138">
        <v>0.62466045000000003</v>
      </c>
      <c r="F120" s="138">
        <v>0.38917810000000003</v>
      </c>
      <c r="G120" s="138">
        <v>0.45895639999999999</v>
      </c>
      <c r="H120" s="24" t="s">
        <v>104</v>
      </c>
    </row>
    <row r="121" spans="1:8" x14ac:dyDescent="0.3">
      <c r="A121" s="24" t="s">
        <v>10</v>
      </c>
      <c r="B121" s="24" t="s">
        <v>106</v>
      </c>
      <c r="C121" s="24" t="s">
        <v>80</v>
      </c>
      <c r="D121" s="138">
        <v>0.27336978000000001</v>
      </c>
      <c r="E121" s="138">
        <v>0.58146618000000005</v>
      </c>
      <c r="F121" s="138">
        <v>0.38012235</v>
      </c>
      <c r="G121" s="138">
        <v>0.44842090000000001</v>
      </c>
      <c r="H121" s="24" t="s">
        <v>104</v>
      </c>
    </row>
    <row r="122" spans="1:8" x14ac:dyDescent="0.3">
      <c r="A122" s="24" t="s">
        <v>10</v>
      </c>
      <c r="B122" s="24" t="s">
        <v>106</v>
      </c>
      <c r="C122" s="24" t="s">
        <v>77</v>
      </c>
      <c r="D122" s="138">
        <v>0.31435333999999998</v>
      </c>
      <c r="E122" s="138">
        <v>0.51579394999999995</v>
      </c>
      <c r="F122" s="138">
        <v>0.36881624000000002</v>
      </c>
      <c r="G122" s="138">
        <v>0.43991793000000001</v>
      </c>
      <c r="H122" s="24" t="s">
        <v>104</v>
      </c>
    </row>
    <row r="123" spans="1:8" x14ac:dyDescent="0.3">
      <c r="A123" s="24" t="s">
        <v>10</v>
      </c>
      <c r="B123" s="24" t="s">
        <v>106</v>
      </c>
      <c r="C123" s="24" t="s">
        <v>76</v>
      </c>
      <c r="D123" s="138">
        <v>0.32854285</v>
      </c>
      <c r="E123" s="138">
        <v>0.50262607000000004</v>
      </c>
      <c r="F123" s="138">
        <v>0.37320773000000002</v>
      </c>
      <c r="G123" s="138">
        <v>0.44697299000000001</v>
      </c>
      <c r="H123" s="24" t="s">
        <v>104</v>
      </c>
    </row>
    <row r="124" spans="1:8" x14ac:dyDescent="0.3">
      <c r="A124" s="24" t="s">
        <v>10</v>
      </c>
      <c r="B124" s="24" t="s">
        <v>106</v>
      </c>
      <c r="C124" s="24" t="s">
        <v>75</v>
      </c>
      <c r="D124" s="138">
        <v>0.33547075999999998</v>
      </c>
      <c r="E124" s="138">
        <v>0.48633707999999998</v>
      </c>
      <c r="F124" s="138">
        <v>0.36637993000000002</v>
      </c>
      <c r="G124" s="138">
        <v>0.44469546999999998</v>
      </c>
      <c r="H124" s="24" t="s">
        <v>104</v>
      </c>
    </row>
    <row r="125" spans="1:8" x14ac:dyDescent="0.3">
      <c r="A125" s="24" t="s">
        <v>10</v>
      </c>
      <c r="B125" s="24" t="s">
        <v>106</v>
      </c>
      <c r="C125" s="24" t="s">
        <v>74</v>
      </c>
      <c r="D125" s="138">
        <v>0.25557658999999999</v>
      </c>
      <c r="E125" s="138">
        <v>0.60500419000000005</v>
      </c>
      <c r="F125" s="138">
        <v>0.37938006000000002</v>
      </c>
      <c r="G125" s="138">
        <v>0.44797882</v>
      </c>
      <c r="H125" s="24" t="s">
        <v>104</v>
      </c>
    </row>
    <row r="126" spans="1:8" x14ac:dyDescent="0.3">
      <c r="A126" s="24" t="s">
        <v>10</v>
      </c>
      <c r="B126" s="24" t="s">
        <v>106</v>
      </c>
      <c r="C126" s="24" t="s">
        <v>73</v>
      </c>
      <c r="D126" s="138">
        <v>-0.41037799000000003</v>
      </c>
      <c r="E126" s="138">
        <v>0.20113545999999999</v>
      </c>
      <c r="F126" s="138">
        <v>0.23152607</v>
      </c>
      <c r="G126" s="138">
        <v>0.43533616000000003</v>
      </c>
      <c r="H126" s="24" t="s">
        <v>104</v>
      </c>
    </row>
    <row r="127" spans="1:8" x14ac:dyDescent="0.3">
      <c r="A127" s="24" t="s">
        <v>10</v>
      </c>
      <c r="B127" s="24" t="s">
        <v>106</v>
      </c>
      <c r="C127" s="24" t="s">
        <v>78</v>
      </c>
      <c r="D127" s="138">
        <v>-0.30632935</v>
      </c>
      <c r="E127" s="138">
        <v>0.51809852000000001</v>
      </c>
      <c r="F127" s="138">
        <v>0.36145897999999999</v>
      </c>
      <c r="G127" s="138">
        <v>0.44834798999999997</v>
      </c>
      <c r="H127" s="24" t="s">
        <v>104</v>
      </c>
    </row>
    <row r="128" spans="1:8" x14ac:dyDescent="0.3">
      <c r="A128" s="24" t="s">
        <v>11</v>
      </c>
      <c r="B128" s="24" t="s">
        <v>95</v>
      </c>
      <c r="C128" s="24" t="s">
        <v>79</v>
      </c>
      <c r="D128" s="138">
        <v>-0.57017441000000002</v>
      </c>
      <c r="E128" s="138">
        <v>4.3359889999999998E-2</v>
      </c>
      <c r="F128" s="138">
        <v>0.23578410999999999</v>
      </c>
      <c r="G128" s="138">
        <v>0.20387947000000001</v>
      </c>
      <c r="H128" s="24" t="s">
        <v>104</v>
      </c>
    </row>
    <row r="129" spans="1:8" x14ac:dyDescent="0.3">
      <c r="A129" s="24" t="s">
        <v>11</v>
      </c>
      <c r="B129" s="24" t="s">
        <v>95</v>
      </c>
      <c r="C129" s="24" t="s">
        <v>84</v>
      </c>
      <c r="D129" s="138">
        <v>-0.60733674999999998</v>
      </c>
      <c r="E129" s="138">
        <v>4.014757E-2</v>
      </c>
      <c r="F129" s="138">
        <v>0.25126938999999998</v>
      </c>
      <c r="G129" s="138">
        <v>0.23220321999999999</v>
      </c>
      <c r="H129" s="24" t="s">
        <v>104</v>
      </c>
    </row>
    <row r="130" spans="1:8" x14ac:dyDescent="0.3">
      <c r="A130" s="24" t="s">
        <v>11</v>
      </c>
      <c r="B130" s="24" t="s">
        <v>95</v>
      </c>
      <c r="C130" s="24" t="s">
        <v>83</v>
      </c>
      <c r="D130" s="138">
        <v>-0.61744469000000002</v>
      </c>
      <c r="E130" s="138">
        <v>3.9762930000000002E-2</v>
      </c>
      <c r="F130" s="138">
        <v>0.25475024000000002</v>
      </c>
      <c r="G130" s="138">
        <v>0.23732660999999999</v>
      </c>
      <c r="H130" s="24" t="s">
        <v>104</v>
      </c>
    </row>
    <row r="131" spans="1:8" x14ac:dyDescent="0.3">
      <c r="A131" s="24" t="s">
        <v>11</v>
      </c>
      <c r="B131" s="24" t="s">
        <v>95</v>
      </c>
      <c r="C131" s="24" t="s">
        <v>82</v>
      </c>
      <c r="D131" s="138">
        <v>-0.60943835000000002</v>
      </c>
      <c r="E131" s="138">
        <v>6.6183500000000006E-2</v>
      </c>
      <c r="F131" s="138">
        <v>0.29349480999999999</v>
      </c>
      <c r="G131" s="138">
        <v>0.20081222000000001</v>
      </c>
      <c r="H131" s="24" t="s">
        <v>104</v>
      </c>
    </row>
    <row r="132" spans="1:8" x14ac:dyDescent="0.3">
      <c r="A132" s="24" t="s">
        <v>11</v>
      </c>
      <c r="B132" s="24" t="s">
        <v>95</v>
      </c>
      <c r="C132" s="24" t="s">
        <v>81</v>
      </c>
      <c r="D132" s="138">
        <v>-0.43173192999999999</v>
      </c>
      <c r="E132" s="138">
        <v>0.23043651000000001</v>
      </c>
      <c r="F132" s="138">
        <v>0.34925962999999999</v>
      </c>
      <c r="G132" s="138">
        <v>0.28909339000000001</v>
      </c>
      <c r="H132" s="24" t="s">
        <v>104</v>
      </c>
    </row>
    <row r="133" spans="1:8" x14ac:dyDescent="0.3">
      <c r="A133" s="24" t="s">
        <v>11</v>
      </c>
      <c r="B133" s="24" t="s">
        <v>95</v>
      </c>
      <c r="C133" s="24" t="s">
        <v>85</v>
      </c>
      <c r="D133" s="138">
        <v>0.48394582000000003</v>
      </c>
      <c r="E133" s="138">
        <v>0.13837081000000001</v>
      </c>
      <c r="F133" s="138">
        <v>0.30577499000000002</v>
      </c>
      <c r="G133" s="138">
        <v>0.27875518999999999</v>
      </c>
      <c r="H133" s="24" t="s">
        <v>104</v>
      </c>
    </row>
    <row r="134" spans="1:8" x14ac:dyDescent="0.3">
      <c r="A134" s="24" t="s">
        <v>11</v>
      </c>
      <c r="B134" s="24" t="s">
        <v>95</v>
      </c>
      <c r="C134" s="24" t="s">
        <v>92</v>
      </c>
      <c r="D134" s="138">
        <v>-0.61023382999999998</v>
      </c>
      <c r="E134" s="138">
        <v>3.9433780000000002E-2</v>
      </c>
      <c r="F134" s="138">
        <v>0.25117961</v>
      </c>
      <c r="G134" s="138">
        <v>0.23469870000000001</v>
      </c>
      <c r="H134" s="24" t="s">
        <v>104</v>
      </c>
    </row>
    <row r="135" spans="1:8" x14ac:dyDescent="0.3">
      <c r="A135" s="24" t="s">
        <v>11</v>
      </c>
      <c r="B135" s="24" t="s">
        <v>95</v>
      </c>
      <c r="C135" s="24" t="s">
        <v>80</v>
      </c>
      <c r="D135" s="138">
        <v>-0.59670732000000004</v>
      </c>
      <c r="E135" s="138">
        <v>4.4154209999999999E-2</v>
      </c>
      <c r="F135" s="138">
        <v>0.25374933</v>
      </c>
      <c r="G135" s="138">
        <v>0.23861616999999999</v>
      </c>
      <c r="H135" s="24" t="s">
        <v>104</v>
      </c>
    </row>
    <row r="136" spans="1:8" x14ac:dyDescent="0.3">
      <c r="A136" s="24" t="s">
        <v>11</v>
      </c>
      <c r="B136" s="24" t="s">
        <v>95</v>
      </c>
      <c r="C136" s="24" t="s">
        <v>77</v>
      </c>
      <c r="D136" s="138">
        <v>-0.60606698999999997</v>
      </c>
      <c r="E136" s="138">
        <v>4.4011679999999997E-2</v>
      </c>
      <c r="F136" s="138">
        <v>0.25748638000000001</v>
      </c>
      <c r="G136" s="138">
        <v>0.23932955</v>
      </c>
      <c r="H136" s="24" t="s">
        <v>104</v>
      </c>
    </row>
    <row r="137" spans="1:8" x14ac:dyDescent="0.3">
      <c r="A137" s="24" t="s">
        <v>11</v>
      </c>
      <c r="B137" s="24" t="s">
        <v>95</v>
      </c>
      <c r="C137" s="24" t="s">
        <v>76</v>
      </c>
      <c r="D137" s="138">
        <v>-0.57050124999999996</v>
      </c>
      <c r="E137" s="138">
        <v>7.7889819999999999E-2</v>
      </c>
      <c r="F137" s="138">
        <v>0.29002844</v>
      </c>
      <c r="G137" s="138">
        <v>0.28788896000000003</v>
      </c>
      <c r="H137" s="24" t="s">
        <v>104</v>
      </c>
    </row>
    <row r="138" spans="1:8" x14ac:dyDescent="0.3">
      <c r="A138" s="24" t="s">
        <v>11</v>
      </c>
      <c r="B138" s="24" t="s">
        <v>95</v>
      </c>
      <c r="C138" s="24" t="s">
        <v>75</v>
      </c>
      <c r="D138" s="138">
        <v>-0.54172726999999998</v>
      </c>
      <c r="E138" s="138">
        <v>8.3925390000000002E-2</v>
      </c>
      <c r="F138" s="138">
        <v>0.28258265999999999</v>
      </c>
      <c r="G138" s="138">
        <v>0.28354409000000003</v>
      </c>
      <c r="H138" s="24" t="s">
        <v>104</v>
      </c>
    </row>
    <row r="139" spans="1:8" x14ac:dyDescent="0.3">
      <c r="A139" s="24" t="s">
        <v>11</v>
      </c>
      <c r="B139" s="24" t="s">
        <v>95</v>
      </c>
      <c r="C139" s="24" t="s">
        <v>74</v>
      </c>
      <c r="D139" s="138">
        <v>-0.61575358000000002</v>
      </c>
      <c r="E139" s="138">
        <v>3.3736969999999998E-2</v>
      </c>
      <c r="F139" s="138">
        <v>0.24262047</v>
      </c>
      <c r="G139" s="138">
        <v>0.22907862000000001</v>
      </c>
      <c r="H139" s="24" t="s">
        <v>104</v>
      </c>
    </row>
    <row r="140" spans="1:8" x14ac:dyDescent="0.3">
      <c r="A140" s="24" t="s">
        <v>11</v>
      </c>
      <c r="B140" s="24" t="s">
        <v>95</v>
      </c>
      <c r="C140" s="24" t="s">
        <v>73</v>
      </c>
      <c r="D140" s="138">
        <v>0.20480867999999999</v>
      </c>
      <c r="E140" s="138">
        <v>0.59768865000000004</v>
      </c>
      <c r="F140" s="138">
        <v>0.39698675</v>
      </c>
      <c r="G140" s="138">
        <v>0.34840228000000001</v>
      </c>
      <c r="H140" s="24" t="s">
        <v>104</v>
      </c>
    </row>
    <row r="141" spans="1:8" x14ac:dyDescent="0.3">
      <c r="A141" s="24" t="s">
        <v>11</v>
      </c>
      <c r="B141" s="24" t="s">
        <v>95</v>
      </c>
      <c r="C141" s="24" t="s">
        <v>78</v>
      </c>
      <c r="D141" s="138">
        <v>0.63965826999999997</v>
      </c>
      <c r="E141" s="138">
        <v>3.4494610000000002E-2</v>
      </c>
      <c r="F141" s="138">
        <v>0.25358905999999998</v>
      </c>
      <c r="G141" s="138">
        <v>0.20915362000000001</v>
      </c>
      <c r="H141" s="24" t="s">
        <v>104</v>
      </c>
    </row>
    <row r="142" spans="1:8" x14ac:dyDescent="0.3">
      <c r="A142" s="24" t="s">
        <v>11</v>
      </c>
      <c r="B142" s="24" t="s">
        <v>105</v>
      </c>
      <c r="C142" s="24" t="s">
        <v>79</v>
      </c>
      <c r="D142" s="138">
        <v>0.57295114000000003</v>
      </c>
      <c r="E142" s="138">
        <v>7.5193919999999997E-2</v>
      </c>
      <c r="F142" s="138">
        <v>0.28610542999999999</v>
      </c>
      <c r="G142" s="138">
        <v>0.16867899</v>
      </c>
      <c r="H142" s="24" t="s">
        <v>104</v>
      </c>
    </row>
    <row r="143" spans="1:8" x14ac:dyDescent="0.3">
      <c r="A143" s="24" t="s">
        <v>11</v>
      </c>
      <c r="B143" s="24" t="s">
        <v>105</v>
      </c>
      <c r="C143" s="24" t="s">
        <v>84</v>
      </c>
      <c r="D143" s="138">
        <v>0.58379210999999998</v>
      </c>
      <c r="E143" s="138">
        <v>8.2566340000000002E-2</v>
      </c>
      <c r="F143" s="138">
        <v>0.31241991000000002</v>
      </c>
      <c r="G143" s="138">
        <v>0.19415727999999999</v>
      </c>
      <c r="H143" s="24" t="s">
        <v>104</v>
      </c>
    </row>
    <row r="144" spans="1:8" x14ac:dyDescent="0.3">
      <c r="A144" s="24" t="s">
        <v>11</v>
      </c>
      <c r="B144" s="24" t="s">
        <v>105</v>
      </c>
      <c r="C144" s="24" t="s">
        <v>83</v>
      </c>
      <c r="D144" s="138">
        <v>0.60392683999999996</v>
      </c>
      <c r="E144" s="138">
        <v>8.1660739999999996E-2</v>
      </c>
      <c r="F144" s="138">
        <v>0.32196181000000001</v>
      </c>
      <c r="G144" s="138">
        <v>0.20050008999999999</v>
      </c>
      <c r="H144" s="24" t="s">
        <v>104</v>
      </c>
    </row>
    <row r="145" spans="1:8" x14ac:dyDescent="0.3">
      <c r="A145" s="24" t="s">
        <v>11</v>
      </c>
      <c r="B145" s="24" t="s">
        <v>105</v>
      </c>
      <c r="C145" s="24" t="s">
        <v>82</v>
      </c>
      <c r="D145" s="138">
        <v>0.54387034000000001</v>
      </c>
      <c r="E145" s="138">
        <v>0.11864474</v>
      </c>
      <c r="F145" s="138">
        <v>0.33289769000000002</v>
      </c>
      <c r="G145" s="138">
        <v>0.19882198000000001</v>
      </c>
      <c r="H145" s="24" t="s">
        <v>104</v>
      </c>
    </row>
    <row r="146" spans="1:8" x14ac:dyDescent="0.3">
      <c r="A146" s="24" t="s">
        <v>11</v>
      </c>
      <c r="B146" s="24" t="s">
        <v>105</v>
      </c>
      <c r="C146" s="24" t="s">
        <v>81</v>
      </c>
      <c r="D146" s="138">
        <v>0.45579301999999999</v>
      </c>
      <c r="E146" s="138">
        <v>0.21855994000000001</v>
      </c>
      <c r="F146" s="138">
        <v>0.36951445999999999</v>
      </c>
      <c r="G146" s="138">
        <v>0.24507824</v>
      </c>
      <c r="H146" s="24" t="s">
        <v>104</v>
      </c>
    </row>
    <row r="147" spans="1:8" x14ac:dyDescent="0.3">
      <c r="A147" s="24" t="s">
        <v>11</v>
      </c>
      <c r="B147" s="24" t="s">
        <v>105</v>
      </c>
      <c r="C147" s="24" t="s">
        <v>85</v>
      </c>
      <c r="D147" s="138">
        <v>-0.44905313000000002</v>
      </c>
      <c r="E147" s="138">
        <v>0.26499532999999997</v>
      </c>
      <c r="F147" s="138">
        <v>0.40692060000000002</v>
      </c>
      <c r="G147" s="138">
        <v>0.29451262</v>
      </c>
      <c r="H147" s="24" t="s">
        <v>104</v>
      </c>
    </row>
    <row r="148" spans="1:8" x14ac:dyDescent="0.3">
      <c r="A148" s="24" t="s">
        <v>11</v>
      </c>
      <c r="B148" s="24" t="s">
        <v>105</v>
      </c>
      <c r="C148" s="24" t="s">
        <v>92</v>
      </c>
      <c r="D148" s="138">
        <v>0.59108210000000005</v>
      </c>
      <c r="E148" s="138">
        <v>8.1424109999999994E-2</v>
      </c>
      <c r="F148" s="138">
        <v>0.31479797999999998</v>
      </c>
      <c r="G148" s="138">
        <v>0.19793027999999999</v>
      </c>
      <c r="H148" s="24" t="s">
        <v>104</v>
      </c>
    </row>
    <row r="149" spans="1:8" x14ac:dyDescent="0.3">
      <c r="A149" s="24" t="s">
        <v>11</v>
      </c>
      <c r="B149" s="24" t="s">
        <v>105</v>
      </c>
      <c r="C149" s="24" t="s">
        <v>80</v>
      </c>
      <c r="D149" s="138">
        <v>0.57699829999999996</v>
      </c>
      <c r="E149" s="138">
        <v>8.6676359999999994E-2</v>
      </c>
      <c r="F149" s="138">
        <v>0.31408080999999999</v>
      </c>
      <c r="G149" s="138">
        <v>0.20056679999999999</v>
      </c>
      <c r="H149" s="24" t="s">
        <v>104</v>
      </c>
    </row>
    <row r="150" spans="1:8" x14ac:dyDescent="0.3">
      <c r="A150" s="24" t="s">
        <v>11</v>
      </c>
      <c r="B150" s="24" t="s">
        <v>105</v>
      </c>
      <c r="C150" s="24" t="s">
        <v>77</v>
      </c>
      <c r="D150" s="138">
        <v>0.59131286999999999</v>
      </c>
      <c r="E150" s="138">
        <v>8.6842139999999998E-2</v>
      </c>
      <c r="F150" s="138">
        <v>0.32208996000000001</v>
      </c>
      <c r="G150" s="138">
        <v>0.20299400000000001</v>
      </c>
      <c r="H150" s="24" t="s">
        <v>104</v>
      </c>
    </row>
    <row r="151" spans="1:8" x14ac:dyDescent="0.3">
      <c r="A151" s="24" t="s">
        <v>11</v>
      </c>
      <c r="B151" s="24" t="s">
        <v>105</v>
      </c>
      <c r="C151" s="24" t="s">
        <v>76</v>
      </c>
      <c r="D151" s="138">
        <v>0.58781901999999997</v>
      </c>
      <c r="E151" s="138">
        <v>0.10907651</v>
      </c>
      <c r="F151" s="138">
        <v>0.34819075999999999</v>
      </c>
      <c r="G151" s="138">
        <v>0.23970168</v>
      </c>
      <c r="H151" s="24" t="s">
        <v>104</v>
      </c>
    </row>
    <row r="152" spans="1:8" x14ac:dyDescent="0.3">
      <c r="A152" s="24" t="s">
        <v>11</v>
      </c>
      <c r="B152" s="24" t="s">
        <v>105</v>
      </c>
      <c r="C152" s="24" t="s">
        <v>75</v>
      </c>
      <c r="D152" s="138">
        <v>0.55736032999999996</v>
      </c>
      <c r="E152" s="138">
        <v>0.11805555</v>
      </c>
      <c r="F152" s="138">
        <v>0.34048250000000002</v>
      </c>
      <c r="G152" s="138">
        <v>0.24581594000000001</v>
      </c>
      <c r="H152" s="24" t="s">
        <v>104</v>
      </c>
    </row>
    <row r="153" spans="1:8" x14ac:dyDescent="0.3">
      <c r="A153" s="24" t="s">
        <v>11</v>
      </c>
      <c r="B153" s="24" t="s">
        <v>105</v>
      </c>
      <c r="C153" s="24" t="s">
        <v>74</v>
      </c>
      <c r="D153" s="138">
        <v>0.58931111999999997</v>
      </c>
      <c r="E153" s="138">
        <v>7.3025019999999996E-2</v>
      </c>
      <c r="F153" s="138">
        <v>0.30245648000000003</v>
      </c>
      <c r="G153" s="138">
        <v>0.18744211</v>
      </c>
      <c r="H153" s="24" t="s">
        <v>104</v>
      </c>
    </row>
    <row r="154" spans="1:8" x14ac:dyDescent="0.3">
      <c r="A154" s="24" t="s">
        <v>11</v>
      </c>
      <c r="B154" s="24" t="s">
        <v>105</v>
      </c>
      <c r="C154" s="24" t="s">
        <v>73</v>
      </c>
      <c r="D154" s="138">
        <v>-0.21136890999999999</v>
      </c>
      <c r="E154" s="138">
        <v>0.58677902000000004</v>
      </c>
      <c r="F154" s="138">
        <v>0.41013403999999998</v>
      </c>
      <c r="G154" s="138">
        <v>0.34324902000000002</v>
      </c>
      <c r="H154" s="24" t="s">
        <v>104</v>
      </c>
    </row>
    <row r="155" spans="1:8" x14ac:dyDescent="0.3">
      <c r="A155" s="24" t="s">
        <v>11</v>
      </c>
      <c r="B155" s="24" t="s">
        <v>105</v>
      </c>
      <c r="C155" s="24" t="s">
        <v>78</v>
      </c>
      <c r="D155" s="138">
        <v>-0.59853462999999996</v>
      </c>
      <c r="E155" s="138">
        <v>0.15556333999999999</v>
      </c>
      <c r="F155" s="138">
        <v>0.41061196</v>
      </c>
      <c r="G155" s="138">
        <v>0.23838307</v>
      </c>
      <c r="H155" s="24" t="s">
        <v>104</v>
      </c>
    </row>
    <row r="156" spans="1:8" x14ac:dyDescent="0.3">
      <c r="A156" s="24" t="s">
        <v>11</v>
      </c>
      <c r="B156" s="24" t="s">
        <v>106</v>
      </c>
      <c r="C156" s="24" t="s">
        <v>79</v>
      </c>
      <c r="D156" s="138">
        <v>-0.26633936000000002</v>
      </c>
      <c r="E156" s="138">
        <v>0.27086823999999998</v>
      </c>
      <c r="F156" s="138">
        <v>0.22749863000000001</v>
      </c>
      <c r="G156" s="138">
        <v>0.27471594999999999</v>
      </c>
      <c r="H156" s="24" t="s">
        <v>104</v>
      </c>
    </row>
    <row r="157" spans="1:8" x14ac:dyDescent="0.3">
      <c r="A157" s="24" t="s">
        <v>11</v>
      </c>
      <c r="B157" s="24" t="s">
        <v>106</v>
      </c>
      <c r="C157" s="24" t="s">
        <v>84</v>
      </c>
      <c r="D157" s="138">
        <v>-0.34814188000000001</v>
      </c>
      <c r="E157" s="138">
        <v>0.19232621999999999</v>
      </c>
      <c r="F157" s="138">
        <v>0.24863739000000001</v>
      </c>
      <c r="G157" s="138">
        <v>0.31790081999999997</v>
      </c>
      <c r="H157" s="24" t="s">
        <v>104</v>
      </c>
    </row>
    <row r="158" spans="1:8" x14ac:dyDescent="0.3">
      <c r="A158" s="24" t="s">
        <v>11</v>
      </c>
      <c r="B158" s="24" t="s">
        <v>106</v>
      </c>
      <c r="C158" s="24" t="s">
        <v>83</v>
      </c>
      <c r="D158" s="138">
        <v>-0.32782686</v>
      </c>
      <c r="E158" s="138">
        <v>0.21677084999999999</v>
      </c>
      <c r="F158" s="138">
        <v>0.24913887000000001</v>
      </c>
      <c r="G158" s="138">
        <v>0.31908980999999997</v>
      </c>
      <c r="H158" s="24" t="s">
        <v>104</v>
      </c>
    </row>
    <row r="159" spans="1:8" x14ac:dyDescent="0.3">
      <c r="A159" s="24" t="s">
        <v>11</v>
      </c>
      <c r="B159" s="24" t="s">
        <v>106</v>
      </c>
      <c r="C159" s="24" t="s">
        <v>82</v>
      </c>
      <c r="D159" s="138">
        <v>-0.454453</v>
      </c>
      <c r="E159" s="138">
        <v>9.7564780000000004E-2</v>
      </c>
      <c r="F159" s="138">
        <v>0.24307012</v>
      </c>
      <c r="G159" s="138">
        <v>0.25898484999999999</v>
      </c>
      <c r="H159" s="24" t="s">
        <v>104</v>
      </c>
    </row>
    <row r="160" spans="1:8" x14ac:dyDescent="0.3">
      <c r="A160" s="24" t="s">
        <v>11</v>
      </c>
      <c r="B160" s="24" t="s">
        <v>106</v>
      </c>
      <c r="C160" s="24" t="s">
        <v>81</v>
      </c>
      <c r="D160" s="138">
        <v>-0.14524079000000001</v>
      </c>
      <c r="E160" s="138">
        <v>0.63321702999999996</v>
      </c>
      <c r="F160" s="138">
        <v>0.30315014000000001</v>
      </c>
      <c r="G160" s="138">
        <v>0.34550533999999999</v>
      </c>
      <c r="H160" s="24" t="s">
        <v>104</v>
      </c>
    </row>
    <row r="161" spans="1:8" x14ac:dyDescent="0.3">
      <c r="A161" s="24" t="s">
        <v>11</v>
      </c>
      <c r="B161" s="24" t="s">
        <v>106</v>
      </c>
      <c r="C161" s="24" t="s">
        <v>85</v>
      </c>
      <c r="D161" s="138">
        <v>0.31783609000000002</v>
      </c>
      <c r="E161" s="138">
        <v>0.38300857999999999</v>
      </c>
      <c r="F161" s="138">
        <v>0.35424645999999999</v>
      </c>
      <c r="G161" s="138">
        <v>0.39788164999999998</v>
      </c>
      <c r="H161" s="24" t="s">
        <v>104</v>
      </c>
    </row>
    <row r="162" spans="1:8" x14ac:dyDescent="0.3">
      <c r="A162" s="24" t="s">
        <v>11</v>
      </c>
      <c r="B162" s="24" t="s">
        <v>106</v>
      </c>
      <c r="C162" s="24" t="s">
        <v>92</v>
      </c>
      <c r="D162" s="138">
        <v>-0.33851246000000002</v>
      </c>
      <c r="E162" s="138">
        <v>0.20303191000000001</v>
      </c>
      <c r="F162" s="138">
        <v>0.24852108000000001</v>
      </c>
      <c r="G162" s="138">
        <v>0.31775341000000001</v>
      </c>
      <c r="H162" s="24" t="s">
        <v>104</v>
      </c>
    </row>
    <row r="163" spans="1:8" x14ac:dyDescent="0.3">
      <c r="A163" s="24" t="s">
        <v>11</v>
      </c>
      <c r="B163" s="24" t="s">
        <v>106</v>
      </c>
      <c r="C163" s="24" t="s">
        <v>80</v>
      </c>
      <c r="D163" s="138">
        <v>-0.33346942000000002</v>
      </c>
      <c r="E163" s="138">
        <v>0.21240944</v>
      </c>
      <c r="F163" s="138">
        <v>0.25068552</v>
      </c>
      <c r="G163" s="138">
        <v>0.32134553999999999</v>
      </c>
      <c r="H163" s="24" t="s">
        <v>104</v>
      </c>
    </row>
    <row r="164" spans="1:8" x14ac:dyDescent="0.3">
      <c r="A164" s="24" t="s">
        <v>11</v>
      </c>
      <c r="B164" s="24" t="s">
        <v>106</v>
      </c>
      <c r="C164" s="24" t="s">
        <v>77</v>
      </c>
      <c r="D164" s="138">
        <v>-0.32550831000000002</v>
      </c>
      <c r="E164" s="138">
        <v>0.21779119999999999</v>
      </c>
      <c r="F164" s="138">
        <v>0.24800421</v>
      </c>
      <c r="G164" s="138">
        <v>0.31975112</v>
      </c>
      <c r="H164" s="24" t="s">
        <v>104</v>
      </c>
    </row>
    <row r="165" spans="1:8" x14ac:dyDescent="0.3">
      <c r="A165" s="24" t="s">
        <v>11</v>
      </c>
      <c r="B165" s="24" t="s">
        <v>106</v>
      </c>
      <c r="C165" s="24" t="s">
        <v>76</v>
      </c>
      <c r="D165" s="138">
        <v>-0.22820410999999999</v>
      </c>
      <c r="E165" s="138">
        <v>0.44734994</v>
      </c>
      <c r="F165" s="138">
        <v>0.29445980999999999</v>
      </c>
      <c r="G165" s="138">
        <v>0.35690327999999999</v>
      </c>
      <c r="H165" s="24" t="s">
        <v>104</v>
      </c>
    </row>
    <row r="166" spans="1:8" x14ac:dyDescent="0.3">
      <c r="A166" s="24" t="s">
        <v>11</v>
      </c>
      <c r="B166" s="24" t="s">
        <v>106</v>
      </c>
      <c r="C166" s="24" t="s">
        <v>75</v>
      </c>
      <c r="D166" s="138">
        <v>-0.21872743</v>
      </c>
      <c r="E166" s="138">
        <v>0.44258570000000003</v>
      </c>
      <c r="F166" s="138">
        <v>0.27913893000000001</v>
      </c>
      <c r="G166" s="138">
        <v>0.34722905999999998</v>
      </c>
      <c r="H166" s="24" t="s">
        <v>104</v>
      </c>
    </row>
    <row r="167" spans="1:8" x14ac:dyDescent="0.3">
      <c r="A167" s="24" t="s">
        <v>11</v>
      </c>
      <c r="B167" s="24" t="s">
        <v>106</v>
      </c>
      <c r="C167" s="24" t="s">
        <v>74</v>
      </c>
      <c r="D167" s="138">
        <v>-0.35941085</v>
      </c>
      <c r="E167" s="138">
        <v>0.19108886999999999</v>
      </c>
      <c r="F167" s="138">
        <v>0.25585803000000001</v>
      </c>
      <c r="G167" s="138">
        <v>0.32282948</v>
      </c>
      <c r="H167" s="24" t="s">
        <v>104</v>
      </c>
    </row>
    <row r="168" spans="1:8" x14ac:dyDescent="0.3">
      <c r="A168" s="24" t="s">
        <v>11</v>
      </c>
      <c r="B168" s="24" t="s">
        <v>106</v>
      </c>
      <c r="C168" s="24" t="s">
        <v>73</v>
      </c>
      <c r="D168" s="138">
        <v>8.1064349999999993E-2</v>
      </c>
      <c r="E168" s="138">
        <v>0.83270615999999997</v>
      </c>
      <c r="F168" s="138">
        <v>0.38539219000000002</v>
      </c>
      <c r="G168" s="138">
        <v>0.40066697000000001</v>
      </c>
      <c r="H168" s="24" t="s">
        <v>104</v>
      </c>
    </row>
    <row r="169" spans="1:8" x14ac:dyDescent="0.3">
      <c r="A169" s="24" t="s">
        <v>11</v>
      </c>
      <c r="B169" s="24" t="s">
        <v>106</v>
      </c>
      <c r="C169" s="24" t="s">
        <v>78</v>
      </c>
      <c r="D169" s="138">
        <v>0.40758203999999998</v>
      </c>
      <c r="E169" s="138">
        <v>0.22883313999999999</v>
      </c>
      <c r="F169" s="138">
        <v>0.31908008999999998</v>
      </c>
      <c r="G169" s="138">
        <v>0.37759712000000001</v>
      </c>
      <c r="H169" s="24" t="s">
        <v>104</v>
      </c>
    </row>
    <row r="170" spans="1:8" x14ac:dyDescent="0.3">
      <c r="A170" s="24" t="s">
        <v>12</v>
      </c>
      <c r="B170" s="24" t="s">
        <v>95</v>
      </c>
      <c r="C170" s="24" t="s">
        <v>79</v>
      </c>
      <c r="D170" s="138">
        <v>0.33265649000000003</v>
      </c>
      <c r="E170" s="138">
        <v>0.38680664999999997</v>
      </c>
      <c r="F170" s="138">
        <v>0.39948458999999997</v>
      </c>
      <c r="G170" s="138">
        <v>0.33566172</v>
      </c>
      <c r="H170" s="24" t="s">
        <v>104</v>
      </c>
    </row>
    <row r="171" spans="1:8" x14ac:dyDescent="0.3">
      <c r="A171" s="24" t="s">
        <v>12</v>
      </c>
      <c r="B171" s="24" t="s">
        <v>95</v>
      </c>
      <c r="C171" s="24" t="s">
        <v>84</v>
      </c>
      <c r="D171" s="138">
        <v>0.11252245</v>
      </c>
      <c r="E171" s="138">
        <v>0.83814785000000003</v>
      </c>
      <c r="F171" s="138">
        <v>0.35794586</v>
      </c>
      <c r="G171" s="138">
        <v>0.59704221999999996</v>
      </c>
      <c r="H171" s="24" t="s">
        <v>104</v>
      </c>
    </row>
    <row r="172" spans="1:8" x14ac:dyDescent="0.3">
      <c r="A172" s="24" t="s">
        <v>12</v>
      </c>
      <c r="B172" s="24" t="s">
        <v>95</v>
      </c>
      <c r="C172" s="24" t="s">
        <v>83</v>
      </c>
      <c r="D172" s="138">
        <v>0.12787259000000001</v>
      </c>
      <c r="E172" s="138">
        <v>0.81800262999999995</v>
      </c>
      <c r="F172" s="138">
        <v>0.36085806999999998</v>
      </c>
      <c r="G172" s="138">
        <v>0.59755866000000002</v>
      </c>
      <c r="H172" s="24" t="s">
        <v>104</v>
      </c>
    </row>
    <row r="173" spans="1:8" x14ac:dyDescent="0.3">
      <c r="A173" s="24" t="s">
        <v>12</v>
      </c>
      <c r="B173" s="24" t="s">
        <v>95</v>
      </c>
      <c r="C173" s="24" t="s">
        <v>82</v>
      </c>
      <c r="D173" s="138">
        <v>0.14028470000000001</v>
      </c>
      <c r="E173" s="138">
        <v>0.80116887999999997</v>
      </c>
      <c r="F173" s="138">
        <v>0.36153571000000001</v>
      </c>
      <c r="G173" s="138">
        <v>0.59609277000000005</v>
      </c>
      <c r="H173" s="24" t="s">
        <v>104</v>
      </c>
    </row>
    <row r="174" spans="1:8" x14ac:dyDescent="0.3">
      <c r="A174" s="24" t="s">
        <v>12</v>
      </c>
      <c r="B174" s="24" t="s">
        <v>95</v>
      </c>
      <c r="C174" s="24" t="s">
        <v>81</v>
      </c>
      <c r="D174" s="138">
        <v>-0.10651598</v>
      </c>
      <c r="E174" s="138">
        <v>0.79148905999999997</v>
      </c>
      <c r="F174" s="138">
        <v>0.26139289999999998</v>
      </c>
      <c r="G174" s="138">
        <v>0.46976174999999998</v>
      </c>
      <c r="H174" s="24" t="s">
        <v>104</v>
      </c>
    </row>
    <row r="175" spans="1:8" x14ac:dyDescent="0.3">
      <c r="A175" s="24" t="s">
        <v>12</v>
      </c>
      <c r="B175" s="24" t="s">
        <v>95</v>
      </c>
      <c r="C175" s="24" t="s">
        <v>85</v>
      </c>
      <c r="D175" s="138">
        <v>-0.26343918999999999</v>
      </c>
      <c r="E175" s="138">
        <v>0.63688511000000003</v>
      </c>
      <c r="F175" s="138">
        <v>0.35906128999999998</v>
      </c>
      <c r="G175" s="138">
        <v>0.61827052999999998</v>
      </c>
      <c r="H175" s="24" t="s">
        <v>104</v>
      </c>
    </row>
    <row r="176" spans="1:8" x14ac:dyDescent="0.3">
      <c r="A176" s="24" t="s">
        <v>12</v>
      </c>
      <c r="B176" s="24" t="s">
        <v>95</v>
      </c>
      <c r="C176" s="24" t="s">
        <v>92</v>
      </c>
      <c r="D176" s="138">
        <v>0.11542987</v>
      </c>
      <c r="E176" s="138">
        <v>0.83395819000000004</v>
      </c>
      <c r="F176" s="138">
        <v>0.35775455</v>
      </c>
      <c r="G176" s="138">
        <v>0.59561109000000001</v>
      </c>
      <c r="H176" s="24" t="s">
        <v>104</v>
      </c>
    </row>
    <row r="177" spans="1:8" x14ac:dyDescent="0.3">
      <c r="A177" s="24" t="s">
        <v>12</v>
      </c>
      <c r="B177" s="24" t="s">
        <v>95</v>
      </c>
      <c r="C177" s="24" t="s">
        <v>80</v>
      </c>
      <c r="D177" s="138">
        <v>0.12349364</v>
      </c>
      <c r="E177" s="138">
        <v>0.82281822000000004</v>
      </c>
      <c r="F177" s="138">
        <v>0.35819377000000002</v>
      </c>
      <c r="G177" s="138">
        <v>0.59869123000000002</v>
      </c>
      <c r="H177" s="24" t="s">
        <v>104</v>
      </c>
    </row>
    <row r="178" spans="1:8" x14ac:dyDescent="0.3">
      <c r="A178" s="24" t="s">
        <v>12</v>
      </c>
      <c r="B178" s="24" t="s">
        <v>95</v>
      </c>
      <c r="C178" s="24" t="s">
        <v>77</v>
      </c>
      <c r="D178" s="138">
        <v>0.14836537999999999</v>
      </c>
      <c r="E178" s="138">
        <v>0.79084535</v>
      </c>
      <c r="F178" s="138">
        <v>0.36293659</v>
      </c>
      <c r="G178" s="138">
        <v>0.60388151000000001</v>
      </c>
      <c r="H178" s="24" t="s">
        <v>104</v>
      </c>
    </row>
    <row r="179" spans="1:8" x14ac:dyDescent="0.3">
      <c r="A179" s="24" t="s">
        <v>12</v>
      </c>
      <c r="B179" s="24" t="s">
        <v>95</v>
      </c>
      <c r="C179" s="24" t="s">
        <v>76</v>
      </c>
      <c r="D179" s="138">
        <v>3.1180579999999999E-2</v>
      </c>
      <c r="E179" s="138">
        <v>0.95126432999999999</v>
      </c>
      <c r="F179" s="138">
        <v>0.33217774999999999</v>
      </c>
      <c r="G179" s="138">
        <v>0.51453382000000003</v>
      </c>
      <c r="H179" s="24" t="s">
        <v>104</v>
      </c>
    </row>
    <row r="180" spans="1:8" x14ac:dyDescent="0.3">
      <c r="A180" s="24" t="s">
        <v>12</v>
      </c>
      <c r="B180" s="24" t="s">
        <v>95</v>
      </c>
      <c r="C180" s="24" t="s">
        <v>75</v>
      </c>
      <c r="D180" s="138">
        <v>0.23771624</v>
      </c>
      <c r="E180" s="138">
        <v>0.66577854999999997</v>
      </c>
      <c r="F180" s="138">
        <v>0.35478904</v>
      </c>
      <c r="G180" s="138">
        <v>0.57662468</v>
      </c>
      <c r="H180" s="24" t="s">
        <v>104</v>
      </c>
    </row>
    <row r="181" spans="1:8" x14ac:dyDescent="0.3">
      <c r="A181" s="24" t="s">
        <v>12</v>
      </c>
      <c r="B181" s="24" t="s">
        <v>95</v>
      </c>
      <c r="C181" s="24" t="s">
        <v>74</v>
      </c>
      <c r="D181" s="138">
        <v>5.9889829999999998E-2</v>
      </c>
      <c r="E181" s="138">
        <v>0.91033741000000001</v>
      </c>
      <c r="F181" s="138">
        <v>0.34611267000000001</v>
      </c>
      <c r="G181" s="138">
        <v>0.57807469</v>
      </c>
      <c r="H181" s="24" t="s">
        <v>104</v>
      </c>
    </row>
    <row r="182" spans="1:8" x14ac:dyDescent="0.3">
      <c r="A182" s="24" t="s">
        <v>12</v>
      </c>
      <c r="B182" s="24" t="s">
        <v>95</v>
      </c>
      <c r="C182" s="24" t="s">
        <v>73</v>
      </c>
      <c r="D182" s="138">
        <v>-0.32927414999999999</v>
      </c>
      <c r="E182" s="138">
        <v>0.49575437</v>
      </c>
      <c r="F182" s="138">
        <v>0.30692424000000001</v>
      </c>
      <c r="G182" s="138">
        <v>0.45794969000000002</v>
      </c>
      <c r="H182" s="24" t="s">
        <v>104</v>
      </c>
    </row>
    <row r="183" spans="1:8" x14ac:dyDescent="0.3">
      <c r="A183" s="24" t="s">
        <v>12</v>
      </c>
      <c r="B183" s="24" t="s">
        <v>95</v>
      </c>
      <c r="C183" s="24" t="s">
        <v>78</v>
      </c>
      <c r="D183" s="138">
        <v>-0.20148042999999999</v>
      </c>
      <c r="E183" s="138">
        <v>0.72364019999999996</v>
      </c>
      <c r="F183" s="138">
        <v>0.36857332999999998</v>
      </c>
      <c r="G183" s="138">
        <v>0.63696898999999996</v>
      </c>
      <c r="H183" s="24" t="s">
        <v>104</v>
      </c>
    </row>
    <row r="184" spans="1:8" x14ac:dyDescent="0.3">
      <c r="A184" s="24" t="s">
        <v>12</v>
      </c>
      <c r="B184" s="24" t="s">
        <v>105</v>
      </c>
      <c r="C184" s="24" t="s">
        <v>79</v>
      </c>
      <c r="D184" s="138">
        <v>-0.29135594999999997</v>
      </c>
      <c r="E184" s="138">
        <v>0.44843490000000003</v>
      </c>
      <c r="F184" s="138">
        <v>0.40631043999999999</v>
      </c>
      <c r="G184" s="138">
        <v>0.31669605000000001</v>
      </c>
      <c r="H184" s="24" t="s">
        <v>104</v>
      </c>
    </row>
    <row r="185" spans="1:8" x14ac:dyDescent="0.3">
      <c r="A185" s="24" t="s">
        <v>12</v>
      </c>
      <c r="B185" s="24" t="s">
        <v>105</v>
      </c>
      <c r="C185" s="24" t="s">
        <v>84</v>
      </c>
      <c r="D185" s="138">
        <v>-4.2370409999999997E-2</v>
      </c>
      <c r="E185" s="138">
        <v>0.91463700000000003</v>
      </c>
      <c r="F185" s="138">
        <v>0.31803703999999999</v>
      </c>
      <c r="G185" s="138">
        <v>0.49919509000000001</v>
      </c>
      <c r="H185" s="24" t="s">
        <v>104</v>
      </c>
    </row>
    <row r="186" spans="1:8" x14ac:dyDescent="0.3">
      <c r="A186" s="24" t="s">
        <v>12</v>
      </c>
      <c r="B186" s="24" t="s">
        <v>105</v>
      </c>
      <c r="C186" s="24" t="s">
        <v>83</v>
      </c>
      <c r="D186" s="138">
        <v>-7.5544340000000001E-2</v>
      </c>
      <c r="E186" s="138">
        <v>0.85146774000000003</v>
      </c>
      <c r="F186" s="138">
        <v>0.32419742000000001</v>
      </c>
      <c r="G186" s="138">
        <v>0.49227410999999999</v>
      </c>
      <c r="H186" s="24" t="s">
        <v>104</v>
      </c>
    </row>
    <row r="187" spans="1:8" x14ac:dyDescent="0.3">
      <c r="A187" s="24" t="s">
        <v>12</v>
      </c>
      <c r="B187" s="24" t="s">
        <v>105</v>
      </c>
      <c r="C187" s="24" t="s">
        <v>82</v>
      </c>
      <c r="D187" s="138">
        <v>-6.8215509999999993E-2</v>
      </c>
      <c r="E187" s="138">
        <v>0.86845528999999999</v>
      </c>
      <c r="F187" s="138">
        <v>0.33110680999999997</v>
      </c>
      <c r="G187" s="138">
        <v>0.50329425999999999</v>
      </c>
      <c r="H187" s="24" t="s">
        <v>104</v>
      </c>
    </row>
    <row r="188" spans="1:8" x14ac:dyDescent="0.3">
      <c r="A188" s="24" t="s">
        <v>12</v>
      </c>
      <c r="B188" s="24" t="s">
        <v>105</v>
      </c>
      <c r="C188" s="24" t="s">
        <v>81</v>
      </c>
      <c r="D188" s="138">
        <v>-8.9278000000000003E-4</v>
      </c>
      <c r="E188" s="138">
        <v>0.99818945000000003</v>
      </c>
      <c r="F188" s="138">
        <v>0.31675135999999998</v>
      </c>
      <c r="G188" s="138">
        <v>0.49986420999999998</v>
      </c>
      <c r="H188" s="24" t="s">
        <v>104</v>
      </c>
    </row>
    <row r="189" spans="1:8" x14ac:dyDescent="0.3">
      <c r="A189" s="24" t="s">
        <v>12</v>
      </c>
      <c r="B189" s="24" t="s">
        <v>105</v>
      </c>
      <c r="C189" s="24" t="s">
        <v>85</v>
      </c>
      <c r="D189" s="138">
        <v>0.25696521999999999</v>
      </c>
      <c r="E189" s="138">
        <v>0.57632048999999996</v>
      </c>
      <c r="F189" s="138">
        <v>0.36399728999999997</v>
      </c>
      <c r="G189" s="138">
        <v>0.49550601999999999</v>
      </c>
      <c r="H189" s="24" t="s">
        <v>104</v>
      </c>
    </row>
    <row r="190" spans="1:8" x14ac:dyDescent="0.3">
      <c r="A190" s="24" t="s">
        <v>12</v>
      </c>
      <c r="B190" s="24" t="s">
        <v>105</v>
      </c>
      <c r="C190" s="24" t="s">
        <v>92</v>
      </c>
      <c r="D190" s="138">
        <v>-4.6843450000000002E-2</v>
      </c>
      <c r="E190" s="138">
        <v>0.90560739000000001</v>
      </c>
      <c r="F190" s="138">
        <v>0.31779652000000003</v>
      </c>
      <c r="G190" s="138">
        <v>0.49657811000000002</v>
      </c>
      <c r="H190" s="24" t="s">
        <v>104</v>
      </c>
    </row>
    <row r="191" spans="1:8" x14ac:dyDescent="0.3">
      <c r="A191" s="24" t="s">
        <v>12</v>
      </c>
      <c r="B191" s="24" t="s">
        <v>105</v>
      </c>
      <c r="C191" s="24" t="s">
        <v>80</v>
      </c>
      <c r="D191" s="138">
        <v>-4.390057E-2</v>
      </c>
      <c r="E191" s="138">
        <v>0.91125498999999999</v>
      </c>
      <c r="F191" s="138">
        <v>0.31689947000000002</v>
      </c>
      <c r="G191" s="138">
        <v>0.49758055000000001</v>
      </c>
      <c r="H191" s="24" t="s">
        <v>104</v>
      </c>
    </row>
    <row r="192" spans="1:8" x14ac:dyDescent="0.3">
      <c r="A192" s="24" t="s">
        <v>12</v>
      </c>
      <c r="B192" s="24" t="s">
        <v>105</v>
      </c>
      <c r="C192" s="24" t="s">
        <v>77</v>
      </c>
      <c r="D192" s="138">
        <v>-9.0921039999999995E-2</v>
      </c>
      <c r="E192" s="138">
        <v>0.82365582000000004</v>
      </c>
      <c r="F192" s="138">
        <v>0.32759443999999999</v>
      </c>
      <c r="G192" s="138">
        <v>0.49281330000000001</v>
      </c>
      <c r="H192" s="24" t="s">
        <v>104</v>
      </c>
    </row>
    <row r="193" spans="1:8" x14ac:dyDescent="0.3">
      <c r="A193" s="24" t="s">
        <v>12</v>
      </c>
      <c r="B193" s="24" t="s">
        <v>105</v>
      </c>
      <c r="C193" s="24" t="s">
        <v>76</v>
      </c>
      <c r="D193" s="138">
        <v>-0.17501765</v>
      </c>
      <c r="E193" s="138">
        <v>0.70709608000000002</v>
      </c>
      <c r="F193" s="138">
        <v>0.37212233</v>
      </c>
      <c r="G193" s="138">
        <v>0.48693257000000001</v>
      </c>
      <c r="H193" s="24" t="s">
        <v>104</v>
      </c>
    </row>
    <row r="194" spans="1:8" x14ac:dyDescent="0.3">
      <c r="A194" s="24" t="s">
        <v>12</v>
      </c>
      <c r="B194" s="24" t="s">
        <v>105</v>
      </c>
      <c r="C194" s="24" t="s">
        <v>75</v>
      </c>
      <c r="D194" s="138">
        <v>-0.21898712000000001</v>
      </c>
      <c r="E194" s="138">
        <v>0.61139383000000003</v>
      </c>
      <c r="F194" s="138">
        <v>0.34215491999999997</v>
      </c>
      <c r="G194" s="138">
        <v>0.47219759</v>
      </c>
      <c r="H194" s="24" t="s">
        <v>104</v>
      </c>
    </row>
    <row r="195" spans="1:8" x14ac:dyDescent="0.3">
      <c r="A195" s="24" t="s">
        <v>12</v>
      </c>
      <c r="B195" s="24" t="s">
        <v>105</v>
      </c>
      <c r="C195" s="24" t="s">
        <v>74</v>
      </c>
      <c r="D195" s="138">
        <v>-6.28E-3</v>
      </c>
      <c r="E195" s="138">
        <v>0.98692433999999996</v>
      </c>
      <c r="F195" s="138">
        <v>0.30850106999999999</v>
      </c>
      <c r="G195" s="138">
        <v>0.50494117000000005</v>
      </c>
      <c r="H195" s="24" t="s">
        <v>104</v>
      </c>
    </row>
    <row r="196" spans="1:8" x14ac:dyDescent="0.3">
      <c r="A196" s="24" t="s">
        <v>12</v>
      </c>
      <c r="B196" s="24" t="s">
        <v>105</v>
      </c>
      <c r="C196" s="24" t="s">
        <v>73</v>
      </c>
      <c r="D196" s="138">
        <v>0.35403621000000002</v>
      </c>
      <c r="E196" s="138">
        <v>0.35936484000000002</v>
      </c>
      <c r="F196" s="138">
        <v>0.29693538000000003</v>
      </c>
      <c r="G196" s="138">
        <v>0.38665059000000002</v>
      </c>
      <c r="H196" s="24" t="s">
        <v>104</v>
      </c>
    </row>
    <row r="197" spans="1:8" x14ac:dyDescent="0.3">
      <c r="A197" s="24" t="s">
        <v>12</v>
      </c>
      <c r="B197" s="24" t="s">
        <v>105</v>
      </c>
      <c r="C197" s="24" t="s">
        <v>78</v>
      </c>
      <c r="D197" s="138">
        <v>0.17489389</v>
      </c>
      <c r="E197" s="138">
        <v>0.69030751000000001</v>
      </c>
      <c r="F197" s="138">
        <v>0.35035782999999998</v>
      </c>
      <c r="G197" s="138">
        <v>0.50761889000000004</v>
      </c>
      <c r="H197" s="24" t="s">
        <v>104</v>
      </c>
    </row>
    <row r="198" spans="1:8" x14ac:dyDescent="0.3">
      <c r="A198" s="24" t="s">
        <v>12</v>
      </c>
      <c r="B198" s="24" t="s">
        <v>106</v>
      </c>
      <c r="C198" s="24" t="s">
        <v>79</v>
      </c>
      <c r="D198" s="138">
        <v>0.30727999</v>
      </c>
      <c r="E198" s="138">
        <v>0.37225475000000002</v>
      </c>
      <c r="F198" s="138">
        <v>0.35453822000000002</v>
      </c>
      <c r="G198" s="138">
        <v>0.31361844</v>
      </c>
      <c r="H198" s="24" t="s">
        <v>104</v>
      </c>
    </row>
    <row r="199" spans="1:8" x14ac:dyDescent="0.3">
      <c r="A199" s="24" t="s">
        <v>12</v>
      </c>
      <c r="B199" s="24" t="s">
        <v>106</v>
      </c>
      <c r="C199" s="24" t="s">
        <v>84</v>
      </c>
      <c r="D199" s="138">
        <v>0.12263449</v>
      </c>
      <c r="E199" s="138">
        <v>0.79803623999999995</v>
      </c>
      <c r="F199" s="138">
        <v>0.37106696</v>
      </c>
      <c r="G199" s="138">
        <v>0.54750907000000004</v>
      </c>
      <c r="H199" s="24" t="s">
        <v>104</v>
      </c>
    </row>
    <row r="200" spans="1:8" x14ac:dyDescent="0.3">
      <c r="A200" s="24" t="s">
        <v>12</v>
      </c>
      <c r="B200" s="24" t="s">
        <v>106</v>
      </c>
      <c r="C200" s="24" t="s">
        <v>83</v>
      </c>
      <c r="D200" s="138">
        <v>0.11339999000000001</v>
      </c>
      <c r="E200" s="138">
        <v>0.81777564999999997</v>
      </c>
      <c r="F200" s="138">
        <v>0.38133096</v>
      </c>
      <c r="G200" s="138">
        <v>0.56135193999999999</v>
      </c>
      <c r="H200" s="24" t="s">
        <v>104</v>
      </c>
    </row>
    <row r="201" spans="1:8" x14ac:dyDescent="0.3">
      <c r="A201" s="24" t="s">
        <v>12</v>
      </c>
      <c r="B201" s="24" t="s">
        <v>106</v>
      </c>
      <c r="C201" s="24" t="s">
        <v>82</v>
      </c>
      <c r="D201" s="138">
        <v>0.13830376999999999</v>
      </c>
      <c r="E201" s="138">
        <v>0.77664524999999995</v>
      </c>
      <c r="F201" s="138">
        <v>0.37715715999999999</v>
      </c>
      <c r="G201" s="138">
        <v>0.54277332</v>
      </c>
      <c r="H201" s="24" t="s">
        <v>104</v>
      </c>
    </row>
    <row r="202" spans="1:8" x14ac:dyDescent="0.3">
      <c r="A202" s="24" t="s">
        <v>12</v>
      </c>
      <c r="B202" s="24" t="s">
        <v>106</v>
      </c>
      <c r="C202" s="24" t="s">
        <v>81</v>
      </c>
      <c r="D202" s="138">
        <v>-0.15494926000000001</v>
      </c>
      <c r="E202" s="138">
        <v>0.68738180000000004</v>
      </c>
      <c r="F202" s="138">
        <v>0.29657302000000002</v>
      </c>
      <c r="G202" s="138">
        <v>0.44225840999999999</v>
      </c>
      <c r="H202" s="24" t="s">
        <v>104</v>
      </c>
    </row>
    <row r="203" spans="1:8" x14ac:dyDescent="0.3">
      <c r="A203" s="24" t="s">
        <v>12</v>
      </c>
      <c r="B203" s="24" t="s">
        <v>106</v>
      </c>
      <c r="C203" s="24" t="s">
        <v>85</v>
      </c>
      <c r="D203" s="138">
        <v>-0.13758048</v>
      </c>
      <c r="E203" s="138">
        <v>0.80237398999999998</v>
      </c>
      <c r="F203" s="138">
        <v>0.42569330999999999</v>
      </c>
      <c r="G203" s="138">
        <v>0.62140490999999998</v>
      </c>
      <c r="H203" s="24" t="s">
        <v>104</v>
      </c>
    </row>
    <row r="204" spans="1:8" x14ac:dyDescent="0.3">
      <c r="A204" s="24" t="s">
        <v>12</v>
      </c>
      <c r="B204" s="24" t="s">
        <v>106</v>
      </c>
      <c r="C204" s="24" t="s">
        <v>92</v>
      </c>
      <c r="D204" s="138">
        <v>0.12260124999999999</v>
      </c>
      <c r="E204" s="138">
        <v>0.79830878000000005</v>
      </c>
      <c r="F204" s="138">
        <v>0.37148234000000002</v>
      </c>
      <c r="G204" s="138">
        <v>0.54842343000000005</v>
      </c>
      <c r="H204" s="24" t="s">
        <v>104</v>
      </c>
    </row>
    <row r="205" spans="1:8" x14ac:dyDescent="0.3">
      <c r="A205" s="24" t="s">
        <v>12</v>
      </c>
      <c r="B205" s="24" t="s">
        <v>106</v>
      </c>
      <c r="C205" s="24" t="s">
        <v>80</v>
      </c>
      <c r="D205" s="138">
        <v>0.13705688999999999</v>
      </c>
      <c r="E205" s="138">
        <v>0.77365324000000002</v>
      </c>
      <c r="F205" s="138">
        <v>0.36863591000000001</v>
      </c>
      <c r="G205" s="138">
        <v>0.54799766999999999</v>
      </c>
      <c r="H205" s="24" t="s">
        <v>104</v>
      </c>
    </row>
    <row r="206" spans="1:8" x14ac:dyDescent="0.3">
      <c r="A206" s="24" t="s">
        <v>12</v>
      </c>
      <c r="B206" s="24" t="s">
        <v>106</v>
      </c>
      <c r="C206" s="24" t="s">
        <v>77</v>
      </c>
      <c r="D206" s="138">
        <v>0.12847406</v>
      </c>
      <c r="E206" s="138">
        <v>0.79550904</v>
      </c>
      <c r="F206" s="138">
        <v>0.38379000000000002</v>
      </c>
      <c r="G206" s="138">
        <v>0.56871864999999999</v>
      </c>
      <c r="H206" s="24" t="s">
        <v>104</v>
      </c>
    </row>
    <row r="207" spans="1:8" x14ac:dyDescent="0.3">
      <c r="A207" s="24" t="s">
        <v>12</v>
      </c>
      <c r="B207" s="24" t="s">
        <v>106</v>
      </c>
      <c r="C207" s="24" t="s">
        <v>76</v>
      </c>
      <c r="D207" s="138">
        <v>-0.12077187</v>
      </c>
      <c r="E207" s="138">
        <v>0.81047884999999997</v>
      </c>
      <c r="F207" s="138">
        <v>0.39010503000000002</v>
      </c>
      <c r="G207" s="138">
        <v>0.52554084000000001</v>
      </c>
      <c r="H207" s="24" t="s">
        <v>104</v>
      </c>
    </row>
    <row r="208" spans="1:8" x14ac:dyDescent="0.3">
      <c r="A208" s="24" t="s">
        <v>12</v>
      </c>
      <c r="B208" s="24" t="s">
        <v>106</v>
      </c>
      <c r="C208" s="24" t="s">
        <v>75</v>
      </c>
      <c r="D208" s="138">
        <v>0.13636152000000001</v>
      </c>
      <c r="E208" s="138">
        <v>0.79617307999999998</v>
      </c>
      <c r="F208" s="138">
        <v>0.4087192</v>
      </c>
      <c r="G208" s="138">
        <v>0.57771642999999995</v>
      </c>
      <c r="H208" s="24" t="s">
        <v>104</v>
      </c>
    </row>
    <row r="209" spans="1:8" x14ac:dyDescent="0.3">
      <c r="A209" s="24" t="s">
        <v>12</v>
      </c>
      <c r="B209" s="24" t="s">
        <v>106</v>
      </c>
      <c r="C209" s="24" t="s">
        <v>74</v>
      </c>
      <c r="D209" s="138">
        <v>8.0694340000000003E-2</v>
      </c>
      <c r="E209" s="138">
        <v>0.86233789999999999</v>
      </c>
      <c r="F209" s="138">
        <v>0.36101401</v>
      </c>
      <c r="G209" s="138">
        <v>0.52291456000000003</v>
      </c>
      <c r="H209" s="24" t="s">
        <v>104</v>
      </c>
    </row>
    <row r="210" spans="1:8" x14ac:dyDescent="0.3">
      <c r="A210" s="24" t="s">
        <v>12</v>
      </c>
      <c r="B210" s="24" t="s">
        <v>106</v>
      </c>
      <c r="C210" s="24" t="s">
        <v>73</v>
      </c>
      <c r="D210" s="138">
        <v>-0.14082314000000001</v>
      </c>
      <c r="E210" s="138">
        <v>0.76889379000000002</v>
      </c>
      <c r="F210" s="138">
        <v>0.37067137999999999</v>
      </c>
      <c r="G210" s="138">
        <v>0.46369630000000001</v>
      </c>
      <c r="H210" s="24" t="s">
        <v>104</v>
      </c>
    </row>
    <row r="211" spans="1:8" x14ac:dyDescent="0.3">
      <c r="A211" s="24" t="s">
        <v>12</v>
      </c>
      <c r="B211" s="24" t="s">
        <v>106</v>
      </c>
      <c r="C211" s="24" t="s">
        <v>78</v>
      </c>
      <c r="D211" s="138">
        <v>-0.12572873000000001</v>
      </c>
      <c r="E211" s="138">
        <v>0.81633513999999996</v>
      </c>
      <c r="F211" s="138">
        <v>0.41939377999999999</v>
      </c>
      <c r="G211" s="138">
        <v>0.61214628000000004</v>
      </c>
      <c r="H211" s="24" t="s">
        <v>104</v>
      </c>
    </row>
    <row r="212" spans="1:8" x14ac:dyDescent="0.3">
      <c r="A212" s="24" t="s">
        <v>13</v>
      </c>
      <c r="B212" s="24" t="s">
        <v>95</v>
      </c>
      <c r="C212" s="24" t="s">
        <v>79</v>
      </c>
      <c r="D212" s="138">
        <v>0.38362424000000001</v>
      </c>
      <c r="E212" s="138">
        <v>0.29027867000000002</v>
      </c>
      <c r="F212" s="138">
        <v>0.37603490000000001</v>
      </c>
      <c r="G212" s="138">
        <v>0.33778572000000001</v>
      </c>
      <c r="H212" s="24" t="s">
        <v>104</v>
      </c>
    </row>
    <row r="213" spans="1:8" x14ac:dyDescent="0.3">
      <c r="A213" s="24" t="s">
        <v>13</v>
      </c>
      <c r="B213" s="24" t="s">
        <v>95</v>
      </c>
      <c r="C213" s="24" t="s">
        <v>84</v>
      </c>
      <c r="D213" s="138">
        <v>0.59769954999999997</v>
      </c>
      <c r="E213" s="138">
        <v>0.38513384000000001</v>
      </c>
      <c r="F213" s="138">
        <v>0.54357438999999996</v>
      </c>
      <c r="G213" s="138">
        <v>0.68618727999999996</v>
      </c>
      <c r="H213" s="24" t="s">
        <v>104</v>
      </c>
    </row>
    <row r="214" spans="1:8" x14ac:dyDescent="0.3">
      <c r="A214" s="24" t="s">
        <v>13</v>
      </c>
      <c r="B214" s="24" t="s">
        <v>95</v>
      </c>
      <c r="C214" s="24" t="s">
        <v>83</v>
      </c>
      <c r="D214" s="138">
        <v>0.82911310000000005</v>
      </c>
      <c r="E214" s="138">
        <v>7.2640709999999997E-2</v>
      </c>
      <c r="F214" s="138">
        <v>0.23720272000000001</v>
      </c>
      <c r="G214" s="138">
        <v>0.49086632000000002</v>
      </c>
      <c r="H214" s="24" t="s">
        <v>104</v>
      </c>
    </row>
    <row r="215" spans="1:8" x14ac:dyDescent="0.3">
      <c r="A215" s="24" t="s">
        <v>13</v>
      </c>
      <c r="B215" s="24" t="s">
        <v>95</v>
      </c>
      <c r="C215" s="24" t="s">
        <v>82</v>
      </c>
      <c r="D215" s="138">
        <v>-0.37119857000000001</v>
      </c>
      <c r="E215" s="138">
        <v>0.45794889999999999</v>
      </c>
      <c r="F215" s="138">
        <v>0.40804354999999998</v>
      </c>
      <c r="G215" s="138">
        <v>0.64892863999999995</v>
      </c>
      <c r="H215" s="24" t="s">
        <v>104</v>
      </c>
    </row>
    <row r="216" spans="1:8" x14ac:dyDescent="0.3">
      <c r="A216" s="24" t="s">
        <v>13</v>
      </c>
      <c r="B216" s="24" t="s">
        <v>95</v>
      </c>
      <c r="C216" s="24" t="s">
        <v>81</v>
      </c>
      <c r="D216" s="138">
        <v>-0.41160337000000002</v>
      </c>
      <c r="E216" s="138">
        <v>0.13323487000000001</v>
      </c>
      <c r="F216" s="138">
        <v>0.1679244</v>
      </c>
      <c r="G216" s="138">
        <v>0.59738135999999997</v>
      </c>
      <c r="H216" s="24" t="s">
        <v>104</v>
      </c>
    </row>
    <row r="217" spans="1:8" x14ac:dyDescent="0.3">
      <c r="A217" s="24" t="s">
        <v>13</v>
      </c>
      <c r="B217" s="24" t="s">
        <v>95</v>
      </c>
      <c r="C217" s="24" t="s">
        <v>85</v>
      </c>
      <c r="D217" s="138">
        <v>0.97199610000000003</v>
      </c>
      <c r="E217" s="138">
        <v>2.355521E-2</v>
      </c>
      <c r="F217" s="138">
        <v>0.15229486</v>
      </c>
      <c r="G217" s="138">
        <v>2.3562349999999999E-2</v>
      </c>
      <c r="H217" s="24" t="s">
        <v>104</v>
      </c>
    </row>
    <row r="218" spans="1:8" x14ac:dyDescent="0.3">
      <c r="A218" s="24" t="s">
        <v>13</v>
      </c>
      <c r="B218" s="24" t="s">
        <v>95</v>
      </c>
      <c r="C218" s="24" t="s">
        <v>92</v>
      </c>
      <c r="D218" s="138">
        <v>0.76230171999999996</v>
      </c>
      <c r="E218" s="138">
        <v>0.15950542000000001</v>
      </c>
      <c r="F218" s="138">
        <v>0.34844121</v>
      </c>
      <c r="G218" s="138">
        <v>0.51840333999999999</v>
      </c>
      <c r="H218" s="24" t="s">
        <v>104</v>
      </c>
    </row>
    <row r="219" spans="1:8" x14ac:dyDescent="0.3">
      <c r="A219" s="24" t="s">
        <v>13</v>
      </c>
      <c r="B219" s="24" t="s">
        <v>95</v>
      </c>
      <c r="C219" s="24" t="s">
        <v>80</v>
      </c>
      <c r="D219" s="138">
        <v>0.77876281000000003</v>
      </c>
      <c r="E219" s="138">
        <v>0.13892961000000001</v>
      </c>
      <c r="F219" s="138">
        <v>0.32608281</v>
      </c>
      <c r="G219" s="138">
        <v>0.51422380999999995</v>
      </c>
      <c r="H219" s="24" t="s">
        <v>104</v>
      </c>
    </row>
    <row r="220" spans="1:8" x14ac:dyDescent="0.3">
      <c r="A220" s="24" t="s">
        <v>13</v>
      </c>
      <c r="B220" s="24" t="s">
        <v>95</v>
      </c>
      <c r="C220" s="24" t="s">
        <v>77</v>
      </c>
      <c r="D220" s="138">
        <v>0.82934850999999998</v>
      </c>
      <c r="E220" s="138">
        <v>7.2802900000000004E-2</v>
      </c>
      <c r="F220" s="138">
        <v>0.23756637</v>
      </c>
      <c r="G220" s="138">
        <v>0.49100729999999998</v>
      </c>
      <c r="H220" s="24" t="s">
        <v>104</v>
      </c>
    </row>
    <row r="221" spans="1:8" x14ac:dyDescent="0.3">
      <c r="A221" s="24" t="s">
        <v>13</v>
      </c>
      <c r="B221" s="24" t="s">
        <v>95</v>
      </c>
      <c r="C221" s="24" t="s">
        <v>76</v>
      </c>
      <c r="D221" s="138">
        <v>0.76466195999999997</v>
      </c>
      <c r="E221" s="138">
        <v>0.14778263999999999</v>
      </c>
      <c r="F221" s="138">
        <v>0.33285827000000001</v>
      </c>
      <c r="G221" s="138">
        <v>0.48811926999999999</v>
      </c>
      <c r="H221" s="24" t="s">
        <v>104</v>
      </c>
    </row>
    <row r="222" spans="1:8" x14ac:dyDescent="0.3">
      <c r="A222" s="24" t="s">
        <v>13</v>
      </c>
      <c r="B222" s="24" t="s">
        <v>95</v>
      </c>
      <c r="C222" s="24" t="s">
        <v>75</v>
      </c>
      <c r="D222" s="138">
        <v>0.96323066999999996</v>
      </c>
      <c r="E222" s="138">
        <v>2.4423170000000001E-2</v>
      </c>
      <c r="F222" s="138">
        <v>0.15377983000000001</v>
      </c>
      <c r="G222" s="138">
        <v>2.398434E-2</v>
      </c>
      <c r="H222" s="24" t="s">
        <v>104</v>
      </c>
    </row>
    <row r="223" spans="1:8" x14ac:dyDescent="0.3">
      <c r="A223" s="24" t="s">
        <v>13</v>
      </c>
      <c r="B223" s="24" t="s">
        <v>95</v>
      </c>
      <c r="C223" s="24" t="s">
        <v>74</v>
      </c>
      <c r="D223" s="138">
        <v>0.11846</v>
      </c>
      <c r="E223" s="138">
        <v>0.84814946999999996</v>
      </c>
      <c r="F223" s="138">
        <v>0.54672905000000005</v>
      </c>
      <c r="G223" s="138">
        <v>0.69195768000000002</v>
      </c>
      <c r="H223" s="24" t="s">
        <v>104</v>
      </c>
    </row>
    <row r="224" spans="1:8" x14ac:dyDescent="0.3">
      <c r="A224" s="24" t="s">
        <v>13</v>
      </c>
      <c r="B224" s="24" t="s">
        <v>95</v>
      </c>
      <c r="C224" s="24" t="s">
        <v>73</v>
      </c>
      <c r="D224" s="138">
        <v>0.82731966000000001</v>
      </c>
      <c r="E224" s="138">
        <v>6.4399810000000002E-2</v>
      </c>
      <c r="F224" s="138">
        <v>0.22136843</v>
      </c>
      <c r="G224" s="138">
        <v>0.51132239999999995</v>
      </c>
      <c r="H224" s="24" t="s">
        <v>104</v>
      </c>
    </row>
    <row r="225" spans="1:8" x14ac:dyDescent="0.3">
      <c r="A225" s="24" t="s">
        <v>13</v>
      </c>
      <c r="B225" s="24" t="s">
        <v>95</v>
      </c>
      <c r="C225" s="24" t="s">
        <v>78</v>
      </c>
      <c r="D225" s="138">
        <v>0.90664630999999996</v>
      </c>
      <c r="E225" s="138">
        <v>9.098523E-2</v>
      </c>
      <c r="F225" s="138">
        <v>0.29474034999999998</v>
      </c>
      <c r="G225" s="138">
        <v>0.46536849000000002</v>
      </c>
      <c r="H225" s="24" t="s">
        <v>104</v>
      </c>
    </row>
    <row r="226" spans="1:8" x14ac:dyDescent="0.3">
      <c r="A226" s="24" t="s">
        <v>13</v>
      </c>
      <c r="B226" s="24" t="s">
        <v>105</v>
      </c>
      <c r="C226" s="24" t="s">
        <v>79</v>
      </c>
      <c r="D226" s="138">
        <v>-0.82559638000000002</v>
      </c>
      <c r="E226" s="138">
        <v>1.2226799999999999E-2</v>
      </c>
      <c r="F226" s="138">
        <v>0.28467062999999998</v>
      </c>
      <c r="G226" s="138">
        <v>0.19037686000000001</v>
      </c>
      <c r="H226" s="24" t="s">
        <v>104</v>
      </c>
    </row>
    <row r="227" spans="1:8" x14ac:dyDescent="0.3">
      <c r="A227" s="24" t="s">
        <v>13</v>
      </c>
      <c r="B227" s="24" t="s">
        <v>105</v>
      </c>
      <c r="C227" s="24" t="s">
        <v>84</v>
      </c>
      <c r="D227" s="138">
        <v>-0.86974048999999998</v>
      </c>
      <c r="E227" s="138">
        <v>0.12153946</v>
      </c>
      <c r="F227" s="138">
        <v>0.20648528999999999</v>
      </c>
      <c r="G227" s="138">
        <v>0.52179516000000004</v>
      </c>
      <c r="H227" s="24" t="s">
        <v>104</v>
      </c>
    </row>
    <row r="228" spans="1:8" x14ac:dyDescent="0.3">
      <c r="A228" s="24" t="s">
        <v>13</v>
      </c>
      <c r="B228" s="24" t="s">
        <v>105</v>
      </c>
      <c r="C228" s="24" t="s">
        <v>83</v>
      </c>
      <c r="D228" s="138">
        <v>-0.98439061000000005</v>
      </c>
      <c r="E228" s="138">
        <v>5.4393599999999999E-3</v>
      </c>
      <c r="F228" s="138">
        <v>4.499827E-2</v>
      </c>
      <c r="G228" s="138">
        <v>2.7686100000000002E-2</v>
      </c>
      <c r="H228" s="24" t="s">
        <v>104</v>
      </c>
    </row>
    <row r="229" spans="1:8" x14ac:dyDescent="0.3">
      <c r="A229" s="24" t="s">
        <v>13</v>
      </c>
      <c r="B229" s="24" t="s">
        <v>105</v>
      </c>
      <c r="C229" s="24" t="s">
        <v>82</v>
      </c>
      <c r="D229" s="138">
        <v>2.5670309999999998E-2</v>
      </c>
      <c r="E229" s="138">
        <v>0.96430106000000004</v>
      </c>
      <c r="F229" s="138">
        <v>0.31366134000000001</v>
      </c>
      <c r="G229" s="138">
        <v>0.72365650000000004</v>
      </c>
      <c r="H229" s="24" t="s">
        <v>104</v>
      </c>
    </row>
    <row r="230" spans="1:8" x14ac:dyDescent="0.3">
      <c r="A230" s="24" t="s">
        <v>13</v>
      </c>
      <c r="B230" s="24" t="s">
        <v>105</v>
      </c>
      <c r="C230" s="24" t="s">
        <v>81</v>
      </c>
      <c r="D230" s="138">
        <v>4.1523409999999997E-2</v>
      </c>
      <c r="E230" s="138">
        <v>0.87506982</v>
      </c>
      <c r="F230" s="138">
        <v>0.14393681</v>
      </c>
      <c r="G230" s="138">
        <v>0.64543220000000001</v>
      </c>
      <c r="H230" s="24" t="s">
        <v>104</v>
      </c>
    </row>
    <row r="231" spans="1:8" x14ac:dyDescent="0.3">
      <c r="A231" s="24" t="s">
        <v>13</v>
      </c>
      <c r="B231" s="24" t="s">
        <v>105</v>
      </c>
      <c r="C231" s="24" t="s">
        <v>85</v>
      </c>
      <c r="D231" s="138">
        <v>-0.79893462999999998</v>
      </c>
      <c r="E231" s="138">
        <v>0.1669311</v>
      </c>
      <c r="F231" s="138">
        <v>0.23155296</v>
      </c>
      <c r="G231" s="138">
        <v>0.47708779000000001</v>
      </c>
      <c r="H231" s="24" t="s">
        <v>104</v>
      </c>
    </row>
    <row r="232" spans="1:8" x14ac:dyDescent="0.3">
      <c r="A232" s="24" t="s">
        <v>13</v>
      </c>
      <c r="B232" s="24" t="s">
        <v>105</v>
      </c>
      <c r="C232" s="24" t="s">
        <v>92</v>
      </c>
      <c r="D232" s="138">
        <v>-0.95850581999999995</v>
      </c>
      <c r="E232" s="138">
        <v>2.5779659999999999E-2</v>
      </c>
      <c r="F232" s="138">
        <v>9.688041E-2</v>
      </c>
      <c r="G232" s="138">
        <v>7.3774099999999995E-2</v>
      </c>
      <c r="H232" s="24" t="s">
        <v>104</v>
      </c>
    </row>
    <row r="233" spans="1:8" x14ac:dyDescent="0.3">
      <c r="A233" s="24" t="s">
        <v>13</v>
      </c>
      <c r="B233" s="24" t="s">
        <v>105</v>
      </c>
      <c r="C233" s="24" t="s">
        <v>80</v>
      </c>
      <c r="D233" s="138">
        <v>-0.96506795999999995</v>
      </c>
      <c r="E233" s="138">
        <v>2.094271E-2</v>
      </c>
      <c r="F233" s="138">
        <v>8.7590580000000001E-2</v>
      </c>
      <c r="G233" s="138">
        <v>6.6466919999999999E-2</v>
      </c>
      <c r="H233" s="24" t="s">
        <v>104</v>
      </c>
    </row>
    <row r="234" spans="1:8" x14ac:dyDescent="0.3">
      <c r="A234" s="24" t="s">
        <v>13</v>
      </c>
      <c r="B234" s="24" t="s">
        <v>105</v>
      </c>
      <c r="C234" s="24" t="s">
        <v>77</v>
      </c>
      <c r="D234" s="138">
        <v>-0.98448601000000002</v>
      </c>
      <c r="E234" s="138">
        <v>5.5053999999999997E-3</v>
      </c>
      <c r="F234" s="138">
        <v>4.527726E-2</v>
      </c>
      <c r="G234" s="138">
        <v>2.787862E-2</v>
      </c>
      <c r="H234" s="24" t="s">
        <v>104</v>
      </c>
    </row>
    <row r="235" spans="1:8" x14ac:dyDescent="0.3">
      <c r="A235" s="24" t="s">
        <v>13</v>
      </c>
      <c r="B235" s="24" t="s">
        <v>105</v>
      </c>
      <c r="C235" s="24" t="s">
        <v>76</v>
      </c>
      <c r="D235" s="138">
        <v>-0.89696257000000001</v>
      </c>
      <c r="E235" s="138">
        <v>8.7544330000000004E-2</v>
      </c>
      <c r="F235" s="138">
        <v>0.17556350000000001</v>
      </c>
      <c r="G235" s="138">
        <v>6.3904630000000004E-2</v>
      </c>
      <c r="H235" s="24" t="s">
        <v>104</v>
      </c>
    </row>
    <row r="236" spans="1:8" x14ac:dyDescent="0.3">
      <c r="A236" s="24" t="s">
        <v>13</v>
      </c>
      <c r="B236" s="24" t="s">
        <v>105</v>
      </c>
      <c r="C236" s="24" t="s">
        <v>75</v>
      </c>
      <c r="D236" s="138">
        <v>-0.91041086999999998</v>
      </c>
      <c r="E236" s="138">
        <v>6.3873739999999998E-2</v>
      </c>
      <c r="F236" s="138">
        <v>0.14927703</v>
      </c>
      <c r="G236" s="138">
        <v>0.47111291</v>
      </c>
      <c r="H236" s="24" t="s">
        <v>104</v>
      </c>
    </row>
    <row r="237" spans="1:8" x14ac:dyDescent="0.3">
      <c r="A237" s="24" t="s">
        <v>13</v>
      </c>
      <c r="B237" s="24" t="s">
        <v>105</v>
      </c>
      <c r="C237" s="24" t="s">
        <v>74</v>
      </c>
      <c r="D237" s="138">
        <v>-0.50949158000000005</v>
      </c>
      <c r="E237" s="138">
        <v>0.39107321</v>
      </c>
      <c r="F237" s="138">
        <v>0.28968836999999997</v>
      </c>
      <c r="G237" s="138">
        <v>0.52672041999999997</v>
      </c>
      <c r="H237" s="24" t="s">
        <v>104</v>
      </c>
    </row>
    <row r="238" spans="1:8" x14ac:dyDescent="0.3">
      <c r="A238" s="24" t="s">
        <v>13</v>
      </c>
      <c r="B238" s="24" t="s">
        <v>105</v>
      </c>
      <c r="C238" s="24" t="s">
        <v>73</v>
      </c>
      <c r="D238" s="138">
        <v>-0.90496019999999999</v>
      </c>
      <c r="E238" s="138">
        <v>3.5807760000000001E-2</v>
      </c>
      <c r="F238" s="138">
        <v>0.10864467</v>
      </c>
      <c r="G238" s="138">
        <v>0.75142876999999997</v>
      </c>
      <c r="H238" s="24" t="s">
        <v>104</v>
      </c>
    </row>
    <row r="239" spans="1:8" x14ac:dyDescent="0.3">
      <c r="A239" s="24" t="s">
        <v>13</v>
      </c>
      <c r="B239" s="24" t="s">
        <v>105</v>
      </c>
      <c r="C239" s="24" t="s">
        <v>78</v>
      </c>
      <c r="D239" s="138">
        <v>-0.66475656000000005</v>
      </c>
      <c r="E239" s="138">
        <v>0.32986436000000002</v>
      </c>
      <c r="F239" s="138">
        <v>0.32137009999999999</v>
      </c>
      <c r="G239" s="138">
        <v>0.61861330000000003</v>
      </c>
      <c r="H239" s="24" t="s">
        <v>104</v>
      </c>
    </row>
    <row r="240" spans="1:8" x14ac:dyDescent="0.3">
      <c r="A240" s="24" t="s">
        <v>13</v>
      </c>
      <c r="B240" s="24" t="s">
        <v>106</v>
      </c>
      <c r="C240" s="24" t="s">
        <v>79</v>
      </c>
      <c r="D240" s="138">
        <v>-9.0934169999999995E-2</v>
      </c>
      <c r="E240" s="138">
        <v>0.78507126000000005</v>
      </c>
      <c r="F240" s="138">
        <v>0.34281889999999998</v>
      </c>
      <c r="G240" s="138">
        <v>0.34787477</v>
      </c>
      <c r="H240" s="24" t="s">
        <v>104</v>
      </c>
    </row>
    <row r="241" spans="1:8" x14ac:dyDescent="0.3">
      <c r="A241" s="24" t="s">
        <v>13</v>
      </c>
      <c r="B241" s="24" t="s">
        <v>106</v>
      </c>
      <c r="C241" s="24" t="s">
        <v>84</v>
      </c>
      <c r="D241" s="138">
        <v>0.44183799000000001</v>
      </c>
      <c r="E241" s="138">
        <v>0.54175823000000001</v>
      </c>
      <c r="F241" s="138">
        <v>0.59672685000000003</v>
      </c>
      <c r="G241" s="138">
        <v>0.70073242000000002</v>
      </c>
      <c r="H241" s="24" t="s">
        <v>104</v>
      </c>
    </row>
    <row r="242" spans="1:8" x14ac:dyDescent="0.3">
      <c r="A242" s="24" t="s">
        <v>13</v>
      </c>
      <c r="B242" s="24" t="s">
        <v>106</v>
      </c>
      <c r="C242" s="24" t="s">
        <v>83</v>
      </c>
      <c r="D242" s="138">
        <v>0.71311864000000003</v>
      </c>
      <c r="E242" s="138">
        <v>0.13861485000000001</v>
      </c>
      <c r="F242" s="138">
        <v>0.29280404999999998</v>
      </c>
      <c r="G242" s="138">
        <v>0.51251716000000003</v>
      </c>
      <c r="H242" s="24" t="s">
        <v>104</v>
      </c>
    </row>
    <row r="243" spans="1:8" x14ac:dyDescent="0.3">
      <c r="A243" s="24" t="s">
        <v>13</v>
      </c>
      <c r="B243" s="24" t="s">
        <v>106</v>
      </c>
      <c r="C243" s="24" t="s">
        <v>82</v>
      </c>
      <c r="D243" s="138">
        <v>-0.50654646999999997</v>
      </c>
      <c r="E243" s="138">
        <v>0.27719986000000002</v>
      </c>
      <c r="F243" s="138">
        <v>0.33721331999999998</v>
      </c>
      <c r="G243" s="138">
        <v>0.62853632999999998</v>
      </c>
      <c r="H243" s="24" t="s">
        <v>104</v>
      </c>
    </row>
    <row r="244" spans="1:8" x14ac:dyDescent="0.3">
      <c r="A244" s="24" t="s">
        <v>13</v>
      </c>
      <c r="B244" s="24" t="s">
        <v>106</v>
      </c>
      <c r="C244" s="24" t="s">
        <v>81</v>
      </c>
      <c r="D244" s="138">
        <v>-0.55579089000000004</v>
      </c>
      <c r="E244" s="138">
        <v>6.6264680000000006E-2</v>
      </c>
      <c r="F244" s="138">
        <v>0.14836000999999999</v>
      </c>
      <c r="G244" s="138">
        <v>0.60839416000000002</v>
      </c>
      <c r="H244" s="24" t="s">
        <v>104</v>
      </c>
    </row>
    <row r="245" spans="1:8" x14ac:dyDescent="0.3">
      <c r="A245" s="24" t="s">
        <v>13</v>
      </c>
      <c r="B245" s="24" t="s">
        <v>106</v>
      </c>
      <c r="C245" s="24" t="s">
        <v>85</v>
      </c>
      <c r="D245" s="138">
        <v>0.99624089000000005</v>
      </c>
      <c r="E245" s="138">
        <v>3.71412E-3</v>
      </c>
      <c r="F245" s="138">
        <v>5.9952819999999997E-2</v>
      </c>
      <c r="G245" s="138">
        <v>1.89416E-3</v>
      </c>
      <c r="H245" s="24" t="s">
        <v>104</v>
      </c>
    </row>
    <row r="246" spans="1:8" x14ac:dyDescent="0.3">
      <c r="A246" s="24" t="s">
        <v>13</v>
      </c>
      <c r="B246" s="24" t="s">
        <v>106</v>
      </c>
      <c r="C246" s="24" t="s">
        <v>92</v>
      </c>
      <c r="D246" s="138">
        <v>0.63154125999999999</v>
      </c>
      <c r="E246" s="138">
        <v>0.26708401999999998</v>
      </c>
      <c r="F246" s="138">
        <v>0.40817829</v>
      </c>
      <c r="G246" s="138">
        <v>0.54933591999999998</v>
      </c>
      <c r="H246" s="24" t="s">
        <v>104</v>
      </c>
    </row>
    <row r="247" spans="1:8" x14ac:dyDescent="0.3">
      <c r="A247" s="24" t="s">
        <v>13</v>
      </c>
      <c r="B247" s="24" t="s">
        <v>106</v>
      </c>
      <c r="C247" s="24" t="s">
        <v>80</v>
      </c>
      <c r="D247" s="138">
        <v>0.6515571</v>
      </c>
      <c r="E247" s="138">
        <v>0.23716309999999999</v>
      </c>
      <c r="F247" s="138">
        <v>0.38453873999999999</v>
      </c>
      <c r="G247" s="138">
        <v>0.54344568999999998</v>
      </c>
      <c r="H247" s="24" t="s">
        <v>104</v>
      </c>
    </row>
    <row r="248" spans="1:8" x14ac:dyDescent="0.3">
      <c r="A248" s="24" t="s">
        <v>13</v>
      </c>
      <c r="B248" s="24" t="s">
        <v>106</v>
      </c>
      <c r="C248" s="24" t="s">
        <v>77</v>
      </c>
      <c r="D248" s="138">
        <v>0.71340417</v>
      </c>
      <c r="E248" s="138">
        <v>0.13872380000000001</v>
      </c>
      <c r="F248" s="138">
        <v>0.29306486999999998</v>
      </c>
      <c r="G248" s="138">
        <v>0.51264151999999996</v>
      </c>
      <c r="H248" s="24" t="s">
        <v>104</v>
      </c>
    </row>
    <row r="249" spans="1:8" x14ac:dyDescent="0.3">
      <c r="A249" s="24" t="s">
        <v>13</v>
      </c>
      <c r="B249" s="24" t="s">
        <v>106</v>
      </c>
      <c r="C249" s="24" t="s">
        <v>76</v>
      </c>
      <c r="D249" s="138">
        <v>0.66260574999999999</v>
      </c>
      <c r="E249" s="138">
        <v>0.20808494</v>
      </c>
      <c r="F249" s="138">
        <v>0.35575034</v>
      </c>
      <c r="G249" s="138">
        <v>0.51777644</v>
      </c>
      <c r="H249" s="24" t="s">
        <v>104</v>
      </c>
    </row>
    <row r="250" spans="1:8" x14ac:dyDescent="0.3">
      <c r="A250" s="24" t="s">
        <v>13</v>
      </c>
      <c r="B250" s="24" t="s">
        <v>106</v>
      </c>
      <c r="C250" s="24" t="s">
        <v>75</v>
      </c>
      <c r="D250" s="138">
        <v>0.93370520999999995</v>
      </c>
      <c r="E250" s="138">
        <v>1.8471700000000001E-2</v>
      </c>
      <c r="F250" s="138">
        <v>0.12672146000000001</v>
      </c>
      <c r="G250" s="138">
        <v>5.5659109999999998E-2</v>
      </c>
      <c r="H250" s="24" t="s">
        <v>104</v>
      </c>
    </row>
    <row r="251" spans="1:8" x14ac:dyDescent="0.3">
      <c r="A251" s="24" t="s">
        <v>13</v>
      </c>
      <c r="B251" s="24" t="s">
        <v>106</v>
      </c>
      <c r="C251" s="24" t="s">
        <v>74</v>
      </c>
      <c r="D251" s="138">
        <v>-6.4545000000000005E-2</v>
      </c>
      <c r="E251" s="138">
        <v>0.91720782000000001</v>
      </c>
      <c r="F251" s="138">
        <v>0.54096551999999998</v>
      </c>
      <c r="G251" s="138">
        <v>0.71910805</v>
      </c>
      <c r="H251" s="24" t="s">
        <v>104</v>
      </c>
    </row>
    <row r="252" spans="1:8" x14ac:dyDescent="0.3">
      <c r="A252" s="24" t="s">
        <v>13</v>
      </c>
      <c r="B252" s="24" t="s">
        <v>106</v>
      </c>
      <c r="C252" s="24" t="s">
        <v>73</v>
      </c>
      <c r="D252" s="138">
        <v>0.74645598000000002</v>
      </c>
      <c r="E252" s="138">
        <v>0.10377243</v>
      </c>
      <c r="F252" s="138">
        <v>0.25725378999999998</v>
      </c>
      <c r="G252" s="138">
        <v>0.49258792000000001</v>
      </c>
      <c r="H252" s="24" t="s">
        <v>104</v>
      </c>
    </row>
    <row r="253" spans="1:8" x14ac:dyDescent="0.3">
      <c r="A253" s="24" t="s">
        <v>13</v>
      </c>
      <c r="B253" s="24" t="s">
        <v>106</v>
      </c>
      <c r="C253" s="24" t="s">
        <v>78</v>
      </c>
      <c r="D253" s="138">
        <v>0.96556819000000005</v>
      </c>
      <c r="E253" s="138">
        <v>3.329153E-2</v>
      </c>
      <c r="F253" s="138">
        <v>0.17795656000000001</v>
      </c>
      <c r="G253" s="138">
        <v>0.46950477000000002</v>
      </c>
      <c r="H253" s="24" t="s">
        <v>104</v>
      </c>
    </row>
    <row r="254" spans="1:8" x14ac:dyDescent="0.3">
      <c r="A254" s="24" t="s">
        <v>14</v>
      </c>
      <c r="B254" s="24" t="s">
        <v>95</v>
      </c>
      <c r="C254" s="24" t="s">
        <v>79</v>
      </c>
      <c r="D254" s="138">
        <v>0.15543872</v>
      </c>
      <c r="E254" s="138">
        <v>0.65306350000000002</v>
      </c>
      <c r="F254" s="138">
        <v>0.36711614999999997</v>
      </c>
      <c r="G254" s="138">
        <v>0.52815241999999996</v>
      </c>
      <c r="H254" s="24" t="s">
        <v>104</v>
      </c>
    </row>
    <row r="255" spans="1:8" x14ac:dyDescent="0.3">
      <c r="A255" s="24" t="s">
        <v>14</v>
      </c>
      <c r="B255" s="24" t="s">
        <v>95</v>
      </c>
      <c r="C255" s="24" t="s">
        <v>84</v>
      </c>
      <c r="D255" s="138">
        <v>7.1909890000000004E-2</v>
      </c>
      <c r="E255" s="138">
        <v>0.83496698999999996</v>
      </c>
      <c r="F255" s="138">
        <v>0.37544949</v>
      </c>
      <c r="G255" s="138">
        <v>0.59310790999999996</v>
      </c>
      <c r="H255" s="24" t="s">
        <v>104</v>
      </c>
    </row>
    <row r="256" spans="1:8" x14ac:dyDescent="0.3">
      <c r="A256" s="24" t="s">
        <v>14</v>
      </c>
      <c r="B256" s="24" t="s">
        <v>95</v>
      </c>
      <c r="C256" s="24" t="s">
        <v>83</v>
      </c>
      <c r="D256" s="138">
        <v>7.2714710000000002E-2</v>
      </c>
      <c r="E256" s="138">
        <v>0.82944503000000003</v>
      </c>
      <c r="F256" s="138">
        <v>0.36707233</v>
      </c>
      <c r="G256" s="138">
        <v>0.57742371999999997</v>
      </c>
      <c r="H256" s="24" t="s">
        <v>104</v>
      </c>
    </row>
    <row r="257" spans="1:8" x14ac:dyDescent="0.3">
      <c r="A257" s="24" t="s">
        <v>14</v>
      </c>
      <c r="B257" s="24" t="s">
        <v>95</v>
      </c>
      <c r="C257" s="24" t="s">
        <v>82</v>
      </c>
      <c r="D257" s="138">
        <v>8.9612200000000003E-2</v>
      </c>
      <c r="E257" s="138">
        <v>0.76966672000000003</v>
      </c>
      <c r="F257" s="138">
        <v>0.33155139</v>
      </c>
      <c r="G257" s="138">
        <v>0.57516588000000002</v>
      </c>
      <c r="H257" s="24" t="s">
        <v>104</v>
      </c>
    </row>
    <row r="258" spans="1:8" x14ac:dyDescent="0.3">
      <c r="A258" s="24" t="s">
        <v>14</v>
      </c>
      <c r="B258" s="24" t="s">
        <v>95</v>
      </c>
      <c r="C258" s="24" t="s">
        <v>81</v>
      </c>
      <c r="D258" s="138">
        <v>-0.12742111</v>
      </c>
      <c r="E258" s="138">
        <v>0.75883652999999995</v>
      </c>
      <c r="F258" s="138">
        <v>0.44927015999999997</v>
      </c>
      <c r="G258" s="138">
        <v>0.60156052999999998</v>
      </c>
      <c r="H258" s="24" t="s">
        <v>104</v>
      </c>
    </row>
    <row r="259" spans="1:8" x14ac:dyDescent="0.3">
      <c r="A259" s="24" t="s">
        <v>14</v>
      </c>
      <c r="B259" s="24" t="s">
        <v>95</v>
      </c>
      <c r="C259" s="24" t="s">
        <v>85</v>
      </c>
      <c r="D259" s="138">
        <v>-0.35080952999999998</v>
      </c>
      <c r="E259" s="138">
        <v>0.33053177</v>
      </c>
      <c r="F259" s="138">
        <v>0.35901759999999999</v>
      </c>
      <c r="G259" s="138">
        <v>0.52019320000000002</v>
      </c>
      <c r="H259" s="24" t="s">
        <v>104</v>
      </c>
    </row>
    <row r="260" spans="1:8" x14ac:dyDescent="0.3">
      <c r="A260" s="24" t="s">
        <v>14</v>
      </c>
      <c r="B260" s="24" t="s">
        <v>95</v>
      </c>
      <c r="C260" s="24" t="s">
        <v>92</v>
      </c>
      <c r="D260" s="138">
        <v>8.4430619999999998E-2</v>
      </c>
      <c r="E260" s="138">
        <v>0.80258655999999995</v>
      </c>
      <c r="F260" s="138">
        <v>0.36668497</v>
      </c>
      <c r="G260" s="138">
        <v>0.59374473999999999</v>
      </c>
      <c r="H260" s="24" t="s">
        <v>104</v>
      </c>
    </row>
    <row r="261" spans="1:8" x14ac:dyDescent="0.3">
      <c r="A261" s="24" t="s">
        <v>14</v>
      </c>
      <c r="B261" s="24" t="s">
        <v>95</v>
      </c>
      <c r="C261" s="24" t="s">
        <v>80</v>
      </c>
      <c r="D261" s="138">
        <v>8.6285829999999994E-2</v>
      </c>
      <c r="E261" s="138">
        <v>0.79843551000000001</v>
      </c>
      <c r="F261" s="138">
        <v>0.36676504999999998</v>
      </c>
      <c r="G261" s="138">
        <v>0.59366004999999999</v>
      </c>
      <c r="H261" s="24" t="s">
        <v>104</v>
      </c>
    </row>
    <row r="262" spans="1:8" x14ac:dyDescent="0.3">
      <c r="A262" s="24" t="s">
        <v>14</v>
      </c>
      <c r="B262" s="24" t="s">
        <v>95</v>
      </c>
      <c r="C262" s="24" t="s">
        <v>77</v>
      </c>
      <c r="D262" s="138">
        <v>6.6408700000000001E-2</v>
      </c>
      <c r="E262" s="138">
        <v>0.84500628</v>
      </c>
      <c r="F262" s="138">
        <v>0.36968570000000001</v>
      </c>
      <c r="G262" s="138">
        <v>0.57816014999999998</v>
      </c>
      <c r="H262" s="24" t="s">
        <v>104</v>
      </c>
    </row>
    <row r="263" spans="1:8" x14ac:dyDescent="0.3">
      <c r="A263" s="24" t="s">
        <v>14</v>
      </c>
      <c r="B263" s="24" t="s">
        <v>95</v>
      </c>
      <c r="C263" s="24" t="s">
        <v>76</v>
      </c>
      <c r="D263" s="138">
        <v>0.36546408000000002</v>
      </c>
      <c r="E263" s="138">
        <v>0.39464323000000001</v>
      </c>
      <c r="F263" s="138">
        <v>0.43710039000000001</v>
      </c>
      <c r="G263" s="138">
        <v>0.53386423000000005</v>
      </c>
      <c r="H263" s="24" t="s">
        <v>104</v>
      </c>
    </row>
    <row r="264" spans="1:8" x14ac:dyDescent="0.3">
      <c r="A264" s="24" t="s">
        <v>14</v>
      </c>
      <c r="B264" s="24" t="s">
        <v>95</v>
      </c>
      <c r="C264" s="24" t="s">
        <v>75</v>
      </c>
      <c r="D264" s="138">
        <v>-0.31199861000000001</v>
      </c>
      <c r="E264" s="138">
        <v>0.53267511000000001</v>
      </c>
      <c r="F264" s="138">
        <v>0.52611649999999999</v>
      </c>
      <c r="G264" s="138">
        <v>0.62904048000000001</v>
      </c>
      <c r="H264" s="24" t="s">
        <v>104</v>
      </c>
    </row>
    <row r="265" spans="1:8" x14ac:dyDescent="0.3">
      <c r="A265" s="24" t="s">
        <v>14</v>
      </c>
      <c r="B265" s="24" t="s">
        <v>95</v>
      </c>
      <c r="C265" s="24" t="s">
        <v>74</v>
      </c>
      <c r="D265" s="138">
        <v>5.2806449999999998E-2</v>
      </c>
      <c r="E265" s="138">
        <v>0.88344856999999999</v>
      </c>
      <c r="F265" s="138">
        <v>0.39263521000000001</v>
      </c>
      <c r="G265" s="138">
        <v>0.59729010000000005</v>
      </c>
      <c r="H265" s="24" t="s">
        <v>104</v>
      </c>
    </row>
    <row r="266" spans="1:8" x14ac:dyDescent="0.3">
      <c r="A266" s="24" t="s">
        <v>14</v>
      </c>
      <c r="B266" s="24" t="s">
        <v>95</v>
      </c>
      <c r="C266" s="24" t="s">
        <v>73</v>
      </c>
      <c r="D266" s="138">
        <v>-0.41672566999999999</v>
      </c>
      <c r="E266" s="138">
        <v>0.45717953</v>
      </c>
      <c r="F266" s="138">
        <v>0.58036463999999999</v>
      </c>
      <c r="G266" s="138">
        <v>0.46703436999999998</v>
      </c>
      <c r="H266" s="24" t="s">
        <v>104</v>
      </c>
    </row>
    <row r="267" spans="1:8" x14ac:dyDescent="0.3">
      <c r="A267" s="24" t="s">
        <v>14</v>
      </c>
      <c r="B267" s="24" t="s">
        <v>95</v>
      </c>
      <c r="C267" s="24" t="s">
        <v>78</v>
      </c>
      <c r="D267" s="138">
        <v>-0.30253119000000001</v>
      </c>
      <c r="E267" s="138">
        <v>0.30143502</v>
      </c>
      <c r="F267" s="138">
        <v>0.28801632999999999</v>
      </c>
      <c r="G267" s="138">
        <v>0.53895271</v>
      </c>
      <c r="H267" s="24" t="s">
        <v>104</v>
      </c>
    </row>
    <row r="268" spans="1:8" x14ac:dyDescent="0.3">
      <c r="A268" s="24" t="s">
        <v>14</v>
      </c>
      <c r="B268" s="24" t="s">
        <v>105</v>
      </c>
      <c r="C268" s="24" t="s">
        <v>79</v>
      </c>
      <c r="D268" s="138">
        <v>-0.34616000000000002</v>
      </c>
      <c r="E268" s="138">
        <v>0.34475371999999999</v>
      </c>
      <c r="F268" s="138">
        <v>0.25191276000000001</v>
      </c>
      <c r="G268" s="138">
        <v>0.60753652999999996</v>
      </c>
      <c r="H268" s="24" t="s">
        <v>104</v>
      </c>
    </row>
    <row r="269" spans="1:8" x14ac:dyDescent="0.3">
      <c r="A269" s="24" t="s">
        <v>14</v>
      </c>
      <c r="B269" s="24" t="s">
        <v>105</v>
      </c>
      <c r="C269" s="24" t="s">
        <v>84</v>
      </c>
      <c r="D269" s="138">
        <v>-0.31463253000000002</v>
      </c>
      <c r="E269" s="138">
        <v>0.44268350000000001</v>
      </c>
      <c r="F269" s="138">
        <v>0.30827093</v>
      </c>
      <c r="G269" s="138">
        <v>0.63562766999999998</v>
      </c>
      <c r="H269" s="24" t="s">
        <v>104</v>
      </c>
    </row>
    <row r="270" spans="1:8" x14ac:dyDescent="0.3">
      <c r="A270" s="24" t="s">
        <v>14</v>
      </c>
      <c r="B270" s="24" t="s">
        <v>105</v>
      </c>
      <c r="C270" s="24" t="s">
        <v>83</v>
      </c>
      <c r="D270" s="138">
        <v>-0.30686275000000002</v>
      </c>
      <c r="E270" s="138">
        <v>0.44945965999999998</v>
      </c>
      <c r="F270" s="138">
        <v>0.30569053000000002</v>
      </c>
      <c r="G270" s="138">
        <v>0.60214634</v>
      </c>
      <c r="H270" s="24" t="s">
        <v>104</v>
      </c>
    </row>
    <row r="271" spans="1:8" x14ac:dyDescent="0.3">
      <c r="A271" s="24" t="s">
        <v>14</v>
      </c>
      <c r="B271" s="24" t="s">
        <v>105</v>
      </c>
      <c r="C271" s="24" t="s">
        <v>82</v>
      </c>
      <c r="D271" s="138">
        <v>-0.33124937999999998</v>
      </c>
      <c r="E271" s="138">
        <v>0.37546837</v>
      </c>
      <c r="F271" s="138">
        <v>0.27572453000000002</v>
      </c>
      <c r="G271" s="138">
        <v>0.59405039999999998</v>
      </c>
      <c r="H271" s="24" t="s">
        <v>104</v>
      </c>
    </row>
    <row r="272" spans="1:8" x14ac:dyDescent="0.3">
      <c r="A272" s="24" t="s">
        <v>14</v>
      </c>
      <c r="B272" s="24" t="s">
        <v>105</v>
      </c>
      <c r="C272" s="24" t="s">
        <v>81</v>
      </c>
      <c r="D272" s="138">
        <v>-7.670855E-2</v>
      </c>
      <c r="E272" s="138">
        <v>0.87901161000000005</v>
      </c>
      <c r="F272" s="138">
        <v>0.40036699999999997</v>
      </c>
      <c r="G272" s="138">
        <v>0.63267974000000005</v>
      </c>
      <c r="H272" s="24" t="s">
        <v>104</v>
      </c>
    </row>
    <row r="273" spans="1:8" x14ac:dyDescent="0.3">
      <c r="A273" s="24" t="s">
        <v>14</v>
      </c>
      <c r="B273" s="24" t="s">
        <v>105</v>
      </c>
      <c r="C273" s="24" t="s">
        <v>85</v>
      </c>
      <c r="D273" s="138">
        <v>0.57577681000000003</v>
      </c>
      <c r="E273" s="138">
        <v>0.13223673999999999</v>
      </c>
      <c r="F273" s="138">
        <v>0.24225039000000001</v>
      </c>
      <c r="G273" s="138">
        <v>0.52404539999999999</v>
      </c>
      <c r="H273" s="24" t="s">
        <v>104</v>
      </c>
    </row>
    <row r="274" spans="1:8" x14ac:dyDescent="0.3">
      <c r="A274" s="24" t="s">
        <v>14</v>
      </c>
      <c r="B274" s="24" t="s">
        <v>105</v>
      </c>
      <c r="C274" s="24" t="s">
        <v>92</v>
      </c>
      <c r="D274" s="138">
        <v>-0.33020514000000001</v>
      </c>
      <c r="E274" s="138">
        <v>0.40830383999999997</v>
      </c>
      <c r="F274" s="138">
        <v>0.29758076</v>
      </c>
      <c r="G274" s="138">
        <v>0.63823187000000003</v>
      </c>
      <c r="H274" s="24" t="s">
        <v>104</v>
      </c>
    </row>
    <row r="275" spans="1:8" x14ac:dyDescent="0.3">
      <c r="A275" s="24" t="s">
        <v>14</v>
      </c>
      <c r="B275" s="24" t="s">
        <v>105</v>
      </c>
      <c r="C275" s="24" t="s">
        <v>80</v>
      </c>
      <c r="D275" s="138">
        <v>-0.33205808999999997</v>
      </c>
      <c r="E275" s="138">
        <v>0.40606419999999999</v>
      </c>
      <c r="F275" s="138">
        <v>0.29763234999999999</v>
      </c>
      <c r="G275" s="138">
        <v>0.63873994000000001</v>
      </c>
      <c r="H275" s="24" t="s">
        <v>104</v>
      </c>
    </row>
    <row r="276" spans="1:8" x14ac:dyDescent="0.3">
      <c r="A276" s="24" t="s">
        <v>14</v>
      </c>
      <c r="B276" s="24" t="s">
        <v>105</v>
      </c>
      <c r="C276" s="24" t="s">
        <v>77</v>
      </c>
      <c r="D276" s="138">
        <v>-0.29976847000000001</v>
      </c>
      <c r="E276" s="138">
        <v>0.46281254999999999</v>
      </c>
      <c r="F276" s="138">
        <v>0.30860386000000001</v>
      </c>
      <c r="G276" s="138">
        <v>0.60207622999999999</v>
      </c>
      <c r="H276" s="24" t="s">
        <v>104</v>
      </c>
    </row>
    <row r="277" spans="1:8" x14ac:dyDescent="0.3">
      <c r="A277" s="24" t="s">
        <v>14</v>
      </c>
      <c r="B277" s="24" t="s">
        <v>105</v>
      </c>
      <c r="C277" s="24" t="s">
        <v>76</v>
      </c>
      <c r="D277" s="138">
        <v>-0.53141059999999996</v>
      </c>
      <c r="E277" s="138">
        <v>0.23805179000000001</v>
      </c>
      <c r="F277" s="138">
        <v>0.31255266999999998</v>
      </c>
      <c r="G277" s="138">
        <v>0.52992214999999998</v>
      </c>
      <c r="H277" s="24" t="s">
        <v>104</v>
      </c>
    </row>
    <row r="278" spans="1:8" x14ac:dyDescent="0.3">
      <c r="A278" s="24" t="s">
        <v>14</v>
      </c>
      <c r="B278" s="24" t="s">
        <v>105</v>
      </c>
      <c r="C278" s="24" t="s">
        <v>75</v>
      </c>
      <c r="D278" s="138">
        <v>0.15155059000000001</v>
      </c>
      <c r="E278" s="138">
        <v>0.75812590000000002</v>
      </c>
      <c r="F278" s="138">
        <v>0.38833813</v>
      </c>
      <c r="G278" s="138">
        <v>0.60476675999999996</v>
      </c>
      <c r="H278" s="24" t="s">
        <v>104</v>
      </c>
    </row>
    <row r="279" spans="1:8" x14ac:dyDescent="0.3">
      <c r="A279" s="24" t="s">
        <v>14</v>
      </c>
      <c r="B279" s="24" t="s">
        <v>105</v>
      </c>
      <c r="C279" s="24" t="s">
        <v>74</v>
      </c>
      <c r="D279" s="138">
        <v>-0.29671271999999999</v>
      </c>
      <c r="E279" s="138">
        <v>0.48673529999999998</v>
      </c>
      <c r="F279" s="138">
        <v>0.32421102000000002</v>
      </c>
      <c r="G279" s="138">
        <v>0.64441296000000003</v>
      </c>
      <c r="H279" s="24" t="s">
        <v>104</v>
      </c>
    </row>
    <row r="280" spans="1:8" x14ac:dyDescent="0.3">
      <c r="A280" s="24" t="s">
        <v>14</v>
      </c>
      <c r="B280" s="24" t="s">
        <v>105</v>
      </c>
      <c r="C280" s="24" t="s">
        <v>73</v>
      </c>
      <c r="D280" s="138">
        <v>0.57622143999999997</v>
      </c>
      <c r="E280" s="138">
        <v>0.31582124</v>
      </c>
      <c r="F280" s="138">
        <v>0.41454713999999998</v>
      </c>
      <c r="G280" s="138">
        <v>0.46873498000000002</v>
      </c>
      <c r="H280" s="24" t="s">
        <v>104</v>
      </c>
    </row>
    <row r="281" spans="1:8" x14ac:dyDescent="0.3">
      <c r="A281" s="24" t="s">
        <v>14</v>
      </c>
      <c r="B281" s="24" t="s">
        <v>105</v>
      </c>
      <c r="C281" s="24" t="s">
        <v>78</v>
      </c>
      <c r="D281" s="138">
        <v>0.55732970000000004</v>
      </c>
      <c r="E281" s="138">
        <v>8.0259300000000006E-2</v>
      </c>
      <c r="F281" s="138">
        <v>0.18513977000000001</v>
      </c>
      <c r="G281" s="138">
        <v>0.56516873999999995</v>
      </c>
      <c r="H281" s="24" t="s">
        <v>104</v>
      </c>
    </row>
    <row r="282" spans="1:8" x14ac:dyDescent="0.3">
      <c r="A282" s="24" t="s">
        <v>14</v>
      </c>
      <c r="B282" s="24" t="s">
        <v>106</v>
      </c>
      <c r="C282" s="24" t="s">
        <v>79</v>
      </c>
      <c r="D282" s="138">
        <v>4.8624170000000001E-2</v>
      </c>
      <c r="E282" s="138">
        <v>0.88320014999999996</v>
      </c>
      <c r="F282" s="138">
        <v>0.34521457</v>
      </c>
      <c r="G282" s="138">
        <v>0.49032195000000001</v>
      </c>
      <c r="H282" s="24" t="s">
        <v>104</v>
      </c>
    </row>
    <row r="283" spans="1:8" x14ac:dyDescent="0.3">
      <c r="A283" s="24" t="s">
        <v>14</v>
      </c>
      <c r="B283" s="24" t="s">
        <v>106</v>
      </c>
      <c r="C283" s="24" t="s">
        <v>84</v>
      </c>
      <c r="D283" s="138">
        <v>-7.2886530000000005E-2</v>
      </c>
      <c r="E283" s="138">
        <v>0.81311840000000002</v>
      </c>
      <c r="F283" s="138">
        <v>0.30632467000000002</v>
      </c>
      <c r="G283" s="138">
        <v>0.54369895000000001</v>
      </c>
      <c r="H283" s="24" t="s">
        <v>104</v>
      </c>
    </row>
    <row r="284" spans="1:8" x14ac:dyDescent="0.3">
      <c r="A284" s="24" t="s">
        <v>14</v>
      </c>
      <c r="B284" s="24" t="s">
        <v>106</v>
      </c>
      <c r="C284" s="24" t="s">
        <v>83</v>
      </c>
      <c r="D284" s="138">
        <v>-6.7091209999999998E-2</v>
      </c>
      <c r="E284" s="138">
        <v>0.82308152000000001</v>
      </c>
      <c r="F284" s="138">
        <v>0.29830593999999999</v>
      </c>
      <c r="G284" s="138">
        <v>0.55950756999999995</v>
      </c>
      <c r="H284" s="24" t="s">
        <v>104</v>
      </c>
    </row>
    <row r="285" spans="1:8" x14ac:dyDescent="0.3">
      <c r="A285" s="24" t="s">
        <v>14</v>
      </c>
      <c r="B285" s="24" t="s">
        <v>106</v>
      </c>
      <c r="C285" s="24" t="s">
        <v>82</v>
      </c>
      <c r="D285" s="138">
        <v>-5.5208350000000003E-2</v>
      </c>
      <c r="E285" s="138">
        <v>0.83823141000000001</v>
      </c>
      <c r="F285" s="138">
        <v>0.26904318999999999</v>
      </c>
      <c r="G285" s="138">
        <v>0.56021288000000002</v>
      </c>
      <c r="H285" s="24" t="s">
        <v>104</v>
      </c>
    </row>
    <row r="286" spans="1:8" x14ac:dyDescent="0.3">
      <c r="A286" s="24" t="s">
        <v>14</v>
      </c>
      <c r="B286" s="24" t="s">
        <v>106</v>
      </c>
      <c r="C286" s="24" t="s">
        <v>81</v>
      </c>
      <c r="D286" s="138">
        <v>-0.24219351</v>
      </c>
      <c r="E286" s="138">
        <v>0.50711096</v>
      </c>
      <c r="F286" s="138">
        <v>0.34956305999999998</v>
      </c>
      <c r="G286" s="138">
        <v>0.52626510000000004</v>
      </c>
      <c r="H286" s="24" t="s">
        <v>104</v>
      </c>
    </row>
    <row r="287" spans="1:8" x14ac:dyDescent="0.3">
      <c r="A287" s="24" t="s">
        <v>14</v>
      </c>
      <c r="B287" s="24" t="s">
        <v>106</v>
      </c>
      <c r="C287" s="24" t="s">
        <v>85</v>
      </c>
      <c r="D287" s="138">
        <v>-0.20601696</v>
      </c>
      <c r="E287" s="138">
        <v>0.55459526000000003</v>
      </c>
      <c r="F287" s="138">
        <v>0.33677182</v>
      </c>
      <c r="G287" s="138">
        <v>0.60709062999999996</v>
      </c>
      <c r="H287" s="24" t="s">
        <v>104</v>
      </c>
    </row>
    <row r="288" spans="1:8" x14ac:dyDescent="0.3">
      <c r="A288" s="24" t="s">
        <v>14</v>
      </c>
      <c r="B288" s="24" t="s">
        <v>106</v>
      </c>
      <c r="C288" s="24" t="s">
        <v>92</v>
      </c>
      <c r="D288" s="138">
        <v>-6.2619240000000007E-2</v>
      </c>
      <c r="E288" s="138">
        <v>0.83626347000000001</v>
      </c>
      <c r="F288" s="138">
        <v>0.30140913000000003</v>
      </c>
      <c r="G288" s="138">
        <v>0.54507618000000002</v>
      </c>
      <c r="H288" s="24" t="s">
        <v>104</v>
      </c>
    </row>
    <row r="289" spans="1:8" x14ac:dyDescent="0.3">
      <c r="A289" s="24" t="s">
        <v>14</v>
      </c>
      <c r="B289" s="24" t="s">
        <v>106</v>
      </c>
      <c r="C289" s="24" t="s">
        <v>80</v>
      </c>
      <c r="D289" s="138">
        <v>-6.0831830000000003E-2</v>
      </c>
      <c r="E289" s="138">
        <v>0.84087571000000005</v>
      </c>
      <c r="F289" s="138">
        <v>0.30148194</v>
      </c>
      <c r="G289" s="138">
        <v>0.54536923000000004</v>
      </c>
      <c r="H289" s="24" t="s">
        <v>104</v>
      </c>
    </row>
    <row r="290" spans="1:8" x14ac:dyDescent="0.3">
      <c r="A290" s="24" t="s">
        <v>14</v>
      </c>
      <c r="B290" s="24" t="s">
        <v>106</v>
      </c>
      <c r="C290" s="24" t="s">
        <v>77</v>
      </c>
      <c r="D290" s="138">
        <v>-7.2700699999999993E-2</v>
      </c>
      <c r="E290" s="138">
        <v>0.80980576000000004</v>
      </c>
      <c r="F290" s="138">
        <v>0.30006243999999999</v>
      </c>
      <c r="G290" s="138">
        <v>0.55900704999999995</v>
      </c>
      <c r="H290" s="24" t="s">
        <v>104</v>
      </c>
    </row>
    <row r="291" spans="1:8" x14ac:dyDescent="0.3">
      <c r="A291" s="24" t="s">
        <v>14</v>
      </c>
      <c r="B291" s="24" t="s">
        <v>106</v>
      </c>
      <c r="C291" s="24" t="s">
        <v>76</v>
      </c>
      <c r="D291" s="138">
        <v>0.25468260999999998</v>
      </c>
      <c r="E291" s="138">
        <v>0.55317910000000003</v>
      </c>
      <c r="F291" s="138">
        <v>0.41473914000000001</v>
      </c>
      <c r="G291" s="138">
        <v>0.60999758999999998</v>
      </c>
      <c r="H291" s="24" t="s">
        <v>104</v>
      </c>
    </row>
    <row r="292" spans="1:8" x14ac:dyDescent="0.3">
      <c r="A292" s="24" t="s">
        <v>14</v>
      </c>
      <c r="B292" s="24" t="s">
        <v>106</v>
      </c>
      <c r="C292" s="24" t="s">
        <v>75</v>
      </c>
      <c r="D292" s="138">
        <v>-0.39431754000000002</v>
      </c>
      <c r="E292" s="138">
        <v>0.43280882999999998</v>
      </c>
      <c r="F292" s="138">
        <v>0.47310767999999997</v>
      </c>
      <c r="G292" s="138">
        <v>0.55388758000000005</v>
      </c>
      <c r="H292" s="24" t="s">
        <v>104</v>
      </c>
    </row>
    <row r="293" spans="1:8" x14ac:dyDescent="0.3">
      <c r="A293" s="24" t="s">
        <v>14</v>
      </c>
      <c r="B293" s="24" t="s">
        <v>106</v>
      </c>
      <c r="C293" s="24" t="s">
        <v>74</v>
      </c>
      <c r="D293" s="138">
        <v>-9.1971150000000002E-2</v>
      </c>
      <c r="E293" s="138">
        <v>0.77489989000000004</v>
      </c>
      <c r="F293" s="138">
        <v>0.31874711</v>
      </c>
      <c r="G293" s="138">
        <v>0.54039899000000002</v>
      </c>
      <c r="H293" s="24" t="s">
        <v>104</v>
      </c>
    </row>
    <row r="294" spans="1:8" x14ac:dyDescent="0.3">
      <c r="A294" s="24" t="s">
        <v>14</v>
      </c>
      <c r="B294" s="24" t="s">
        <v>106</v>
      </c>
      <c r="C294" s="24" t="s">
        <v>73</v>
      </c>
      <c r="D294" s="138">
        <v>-0.30781146999999998</v>
      </c>
      <c r="E294" s="138">
        <v>0.57523497000000001</v>
      </c>
      <c r="F294" s="138">
        <v>0.53239749000000003</v>
      </c>
      <c r="G294" s="138">
        <v>0.62221691999999995</v>
      </c>
      <c r="H294" s="24" t="s">
        <v>104</v>
      </c>
    </row>
    <row r="295" spans="1:8" x14ac:dyDescent="0.3">
      <c r="A295" s="24" t="s">
        <v>14</v>
      </c>
      <c r="B295" s="24" t="s">
        <v>106</v>
      </c>
      <c r="C295" s="24" t="s">
        <v>78</v>
      </c>
      <c r="D295" s="138">
        <v>-0.14207106999999999</v>
      </c>
      <c r="E295" s="138">
        <v>0.61072024999999996</v>
      </c>
      <c r="F295" s="138">
        <v>0.27193774999999998</v>
      </c>
      <c r="G295" s="138">
        <v>0.62372269999999996</v>
      </c>
      <c r="H295" s="24" t="s">
        <v>104</v>
      </c>
    </row>
    <row r="296" spans="1:8" x14ac:dyDescent="0.3">
      <c r="A296" s="24" t="s">
        <v>15</v>
      </c>
      <c r="B296" s="24" t="s">
        <v>95</v>
      </c>
      <c r="C296" s="24" t="s">
        <v>79</v>
      </c>
      <c r="D296" s="138">
        <v>0.95046701</v>
      </c>
      <c r="E296" s="138">
        <v>7.6520000000000006E-5</v>
      </c>
      <c r="F296" s="138">
        <v>0.12236326</v>
      </c>
      <c r="G296" s="138">
        <v>3.5962889999999997E-2</v>
      </c>
      <c r="H296" s="24" t="s">
        <v>104</v>
      </c>
    </row>
    <row r="297" spans="1:8" x14ac:dyDescent="0.3">
      <c r="A297" s="24" t="s">
        <v>15</v>
      </c>
      <c r="B297" s="24" t="s">
        <v>95</v>
      </c>
      <c r="C297" s="24" t="s">
        <v>84</v>
      </c>
      <c r="D297" s="138">
        <v>0.92041819999999996</v>
      </c>
      <c r="E297" s="138">
        <v>1.019394E-2</v>
      </c>
      <c r="F297" s="138">
        <v>0.22306870000000001</v>
      </c>
      <c r="G297" s="138">
        <v>0.12988854</v>
      </c>
      <c r="H297" s="24" t="s">
        <v>104</v>
      </c>
    </row>
    <row r="298" spans="1:8" x14ac:dyDescent="0.3">
      <c r="A298" s="24" t="s">
        <v>15</v>
      </c>
      <c r="B298" s="24" t="s">
        <v>95</v>
      </c>
      <c r="C298" s="24" t="s">
        <v>83</v>
      </c>
      <c r="D298" s="138">
        <v>0.93489325999999995</v>
      </c>
      <c r="E298" s="138">
        <v>6.9049599999999999E-3</v>
      </c>
      <c r="F298" s="138">
        <v>0.20579330000000001</v>
      </c>
      <c r="G298" s="138">
        <v>8.6217580000000002E-2</v>
      </c>
      <c r="H298" s="24" t="s">
        <v>104</v>
      </c>
    </row>
    <row r="299" spans="1:8" x14ac:dyDescent="0.3">
      <c r="A299" s="24" t="s">
        <v>15</v>
      </c>
      <c r="B299" s="24" t="s">
        <v>95</v>
      </c>
      <c r="C299" s="24" t="s">
        <v>82</v>
      </c>
      <c r="D299" s="138">
        <v>0.78496968</v>
      </c>
      <c r="E299" s="138">
        <v>7.3324899999999998E-2</v>
      </c>
      <c r="F299" s="138">
        <v>0.33773916999999998</v>
      </c>
      <c r="G299" s="138">
        <v>0.18104132000000001</v>
      </c>
      <c r="H299" s="24" t="s">
        <v>104</v>
      </c>
    </row>
    <row r="300" spans="1:8" x14ac:dyDescent="0.3">
      <c r="A300" s="24" t="s">
        <v>15</v>
      </c>
      <c r="B300" s="24" t="s">
        <v>95</v>
      </c>
      <c r="C300" s="24" t="s">
        <v>81</v>
      </c>
      <c r="D300" s="138">
        <v>0.94265085000000004</v>
      </c>
      <c r="E300" s="138">
        <v>2.0155999999999999E-4</v>
      </c>
      <c r="F300" s="138">
        <v>9.4881709999999994E-2</v>
      </c>
      <c r="G300" s="138">
        <v>0.10057845</v>
      </c>
      <c r="H300" s="24" t="s">
        <v>104</v>
      </c>
    </row>
    <row r="301" spans="1:8" x14ac:dyDescent="0.3">
      <c r="A301" s="24" t="s">
        <v>15</v>
      </c>
      <c r="B301" s="24" t="s">
        <v>95</v>
      </c>
      <c r="C301" s="24" t="s">
        <v>85</v>
      </c>
      <c r="D301" s="138">
        <v>-0.51357576999999999</v>
      </c>
      <c r="E301" s="138">
        <v>0.33090630999999998</v>
      </c>
      <c r="F301" s="138">
        <v>0.46399104000000002</v>
      </c>
      <c r="G301" s="138">
        <v>0.47396658000000003</v>
      </c>
      <c r="H301" s="24" t="s">
        <v>104</v>
      </c>
    </row>
    <row r="302" spans="1:8" x14ac:dyDescent="0.3">
      <c r="A302" s="24" t="s">
        <v>15</v>
      </c>
      <c r="B302" s="24" t="s">
        <v>95</v>
      </c>
      <c r="C302" s="24" t="s">
        <v>92</v>
      </c>
      <c r="D302" s="138">
        <v>0.92157606999999997</v>
      </c>
      <c r="E302" s="138">
        <v>9.91445E-3</v>
      </c>
      <c r="F302" s="138">
        <v>0.22179508000000001</v>
      </c>
      <c r="G302" s="138">
        <v>0.10612215999999999</v>
      </c>
      <c r="H302" s="24" t="s">
        <v>104</v>
      </c>
    </row>
    <row r="303" spans="1:8" x14ac:dyDescent="0.3">
      <c r="A303" s="24" t="s">
        <v>15</v>
      </c>
      <c r="B303" s="24" t="s">
        <v>95</v>
      </c>
      <c r="C303" s="24" t="s">
        <v>80</v>
      </c>
      <c r="D303" s="138">
        <v>0.91608341999999998</v>
      </c>
      <c r="E303" s="138">
        <v>1.11006E-2</v>
      </c>
      <c r="F303" s="138">
        <v>0.22684889</v>
      </c>
      <c r="G303" s="138">
        <v>0.14066775000000001</v>
      </c>
      <c r="H303" s="24" t="s">
        <v>104</v>
      </c>
    </row>
    <row r="304" spans="1:8" x14ac:dyDescent="0.3">
      <c r="A304" s="24" t="s">
        <v>15</v>
      </c>
      <c r="B304" s="24" t="s">
        <v>95</v>
      </c>
      <c r="C304" s="24" t="s">
        <v>77</v>
      </c>
      <c r="D304" s="138">
        <v>0.93601332000000004</v>
      </c>
      <c r="E304" s="138">
        <v>6.4118200000000004E-3</v>
      </c>
      <c r="F304" s="138">
        <v>0.20237805</v>
      </c>
      <c r="G304" s="138">
        <v>8.6111820000000006E-2</v>
      </c>
      <c r="H304" s="24" t="s">
        <v>104</v>
      </c>
    </row>
    <row r="305" spans="1:8" x14ac:dyDescent="0.3">
      <c r="A305" s="24" t="s">
        <v>15</v>
      </c>
      <c r="B305" s="24" t="s">
        <v>95</v>
      </c>
      <c r="C305" s="24" t="s">
        <v>76</v>
      </c>
      <c r="D305" s="138">
        <v>0.93356706</v>
      </c>
      <c r="E305" s="138">
        <v>3.1971999999999999E-3</v>
      </c>
      <c r="F305" s="138">
        <v>0.17136556999999999</v>
      </c>
      <c r="G305" s="138">
        <v>0.14624923000000001</v>
      </c>
      <c r="H305" s="24" t="s">
        <v>104</v>
      </c>
    </row>
    <row r="306" spans="1:8" x14ac:dyDescent="0.3">
      <c r="A306" s="24" t="s">
        <v>15</v>
      </c>
      <c r="B306" s="24" t="s">
        <v>95</v>
      </c>
      <c r="C306" s="24" t="s">
        <v>75</v>
      </c>
      <c r="D306" s="138">
        <v>0.96075379000000005</v>
      </c>
      <c r="E306" s="138">
        <v>8.9554999999999995E-4</v>
      </c>
      <c r="F306" s="138">
        <v>0.13280056000000001</v>
      </c>
      <c r="G306" s="138">
        <v>7.6434660000000001E-2</v>
      </c>
      <c r="H306" s="24" t="s">
        <v>104</v>
      </c>
    </row>
    <row r="307" spans="1:8" x14ac:dyDescent="0.3">
      <c r="A307" s="24" t="s">
        <v>15</v>
      </c>
      <c r="B307" s="24" t="s">
        <v>95</v>
      </c>
      <c r="C307" s="24" t="s">
        <v>74</v>
      </c>
      <c r="D307" s="138">
        <v>0.92182308999999996</v>
      </c>
      <c r="E307" s="138">
        <v>8.7574699999999998E-3</v>
      </c>
      <c r="F307" s="138">
        <v>0.21509549</v>
      </c>
      <c r="G307" s="138">
        <v>0.12760495999999999</v>
      </c>
      <c r="H307" s="24" t="s">
        <v>104</v>
      </c>
    </row>
    <row r="308" spans="1:8" x14ac:dyDescent="0.3">
      <c r="A308" s="24" t="s">
        <v>15</v>
      </c>
      <c r="B308" s="24" t="s">
        <v>95</v>
      </c>
      <c r="C308" s="24" t="s">
        <v>73</v>
      </c>
      <c r="D308" s="138">
        <v>-2.6146300000000001E-2</v>
      </c>
      <c r="E308" s="138">
        <v>0.95184413000000001</v>
      </c>
      <c r="F308" s="138">
        <v>0.40056055000000002</v>
      </c>
      <c r="G308" s="138">
        <v>0.50518019000000003</v>
      </c>
      <c r="H308" s="24" t="s">
        <v>104</v>
      </c>
    </row>
    <row r="309" spans="1:8" x14ac:dyDescent="0.3">
      <c r="A309" s="24" t="s">
        <v>15</v>
      </c>
      <c r="B309" s="24" t="s">
        <v>95</v>
      </c>
      <c r="C309" s="24" t="s">
        <v>78</v>
      </c>
      <c r="D309" s="138">
        <v>-0.86069103999999996</v>
      </c>
      <c r="E309" s="138">
        <v>3.83462E-3</v>
      </c>
      <c r="F309" s="138">
        <v>0.16477117999999999</v>
      </c>
      <c r="G309" s="138">
        <v>0.21389647000000001</v>
      </c>
      <c r="H309" s="24" t="s">
        <v>104</v>
      </c>
    </row>
    <row r="310" spans="1:8" x14ac:dyDescent="0.3">
      <c r="A310" s="24" t="s">
        <v>15</v>
      </c>
      <c r="B310" s="24" t="s">
        <v>105</v>
      </c>
      <c r="C310" s="24" t="s">
        <v>79</v>
      </c>
      <c r="D310" s="138">
        <v>0.79228582000000003</v>
      </c>
      <c r="E310" s="138">
        <v>7.8270500000000003E-3</v>
      </c>
      <c r="F310" s="138">
        <v>0.24398563000000001</v>
      </c>
      <c r="G310" s="138">
        <v>0.11985791</v>
      </c>
      <c r="H310" s="24" t="s">
        <v>104</v>
      </c>
    </row>
    <row r="311" spans="1:8" x14ac:dyDescent="0.3">
      <c r="A311" s="24" t="s">
        <v>15</v>
      </c>
      <c r="B311" s="24" t="s">
        <v>105</v>
      </c>
      <c r="C311" s="24" t="s">
        <v>84</v>
      </c>
      <c r="D311" s="138">
        <v>0.68714147000000003</v>
      </c>
      <c r="E311" s="138">
        <v>3.3423639999999998E-2</v>
      </c>
      <c r="F311" s="138">
        <v>0.26390768999999997</v>
      </c>
      <c r="G311" s="138">
        <v>0.20003140999999999</v>
      </c>
      <c r="H311" s="24" t="s">
        <v>104</v>
      </c>
    </row>
    <row r="312" spans="1:8" x14ac:dyDescent="0.3">
      <c r="A312" s="24" t="s">
        <v>15</v>
      </c>
      <c r="B312" s="24" t="s">
        <v>105</v>
      </c>
      <c r="C312" s="24" t="s">
        <v>83</v>
      </c>
      <c r="D312" s="138">
        <v>0.71174201000000004</v>
      </c>
      <c r="E312" s="138">
        <v>3.04719E-2</v>
      </c>
      <c r="F312" s="138">
        <v>0.26604812</v>
      </c>
      <c r="G312" s="138">
        <v>0.17054341000000001</v>
      </c>
      <c r="H312" s="24" t="s">
        <v>104</v>
      </c>
    </row>
    <row r="313" spans="1:8" x14ac:dyDescent="0.3">
      <c r="A313" s="24" t="s">
        <v>15</v>
      </c>
      <c r="B313" s="24" t="s">
        <v>105</v>
      </c>
      <c r="C313" s="24" t="s">
        <v>82</v>
      </c>
      <c r="D313" s="138">
        <v>0.61120227000000005</v>
      </c>
      <c r="E313" s="138">
        <v>4.7293780000000001E-2</v>
      </c>
      <c r="F313" s="138">
        <v>0.26101261999999997</v>
      </c>
      <c r="G313" s="138">
        <v>0.22164424999999999</v>
      </c>
      <c r="H313" s="24" t="s">
        <v>104</v>
      </c>
    </row>
    <row r="314" spans="1:8" x14ac:dyDescent="0.3">
      <c r="A314" s="24" t="s">
        <v>15</v>
      </c>
      <c r="B314" s="24" t="s">
        <v>105</v>
      </c>
      <c r="C314" s="24" t="s">
        <v>81</v>
      </c>
      <c r="D314" s="138">
        <v>0.48090850000000002</v>
      </c>
      <c r="E314" s="138">
        <v>9.2704430000000004E-2</v>
      </c>
      <c r="F314" s="138">
        <v>0.25903004000000002</v>
      </c>
      <c r="G314" s="138">
        <v>0.21333315</v>
      </c>
      <c r="H314" s="24" t="s">
        <v>104</v>
      </c>
    </row>
    <row r="315" spans="1:8" x14ac:dyDescent="0.3">
      <c r="A315" s="24" t="s">
        <v>15</v>
      </c>
      <c r="B315" s="24" t="s">
        <v>105</v>
      </c>
      <c r="C315" s="24" t="s">
        <v>85</v>
      </c>
      <c r="D315" s="138">
        <v>-0.48450021999999998</v>
      </c>
      <c r="E315" s="138">
        <v>0.32264198999999999</v>
      </c>
      <c r="F315" s="138">
        <v>0.49350863</v>
      </c>
      <c r="G315" s="138">
        <v>0.43024306000000001</v>
      </c>
      <c r="H315" s="24" t="s">
        <v>104</v>
      </c>
    </row>
    <row r="316" spans="1:8" x14ac:dyDescent="0.3">
      <c r="A316" s="24" t="s">
        <v>15</v>
      </c>
      <c r="B316" s="24" t="s">
        <v>105</v>
      </c>
      <c r="C316" s="24" t="s">
        <v>92</v>
      </c>
      <c r="D316" s="138">
        <v>0.70770211999999999</v>
      </c>
      <c r="E316" s="138">
        <v>2.8741719999999998E-2</v>
      </c>
      <c r="F316" s="138">
        <v>0.26010250000000001</v>
      </c>
      <c r="G316" s="138">
        <v>0.17399186999999999</v>
      </c>
      <c r="H316" s="24" t="s">
        <v>104</v>
      </c>
    </row>
    <row r="317" spans="1:8" x14ac:dyDescent="0.3">
      <c r="A317" s="24" t="s">
        <v>15</v>
      </c>
      <c r="B317" s="24" t="s">
        <v>105</v>
      </c>
      <c r="C317" s="24" t="s">
        <v>80</v>
      </c>
      <c r="D317" s="138">
        <v>0.69939468000000005</v>
      </c>
      <c r="E317" s="138">
        <v>2.9396559999999999E-2</v>
      </c>
      <c r="F317" s="138">
        <v>0.25872468999999998</v>
      </c>
      <c r="G317" s="138">
        <v>0.19481646999999999</v>
      </c>
      <c r="H317" s="24" t="s">
        <v>104</v>
      </c>
    </row>
    <row r="318" spans="1:8" x14ac:dyDescent="0.3">
      <c r="A318" s="24" t="s">
        <v>15</v>
      </c>
      <c r="B318" s="24" t="s">
        <v>105</v>
      </c>
      <c r="C318" s="24" t="s">
        <v>77</v>
      </c>
      <c r="D318" s="138">
        <v>0.70484930999999995</v>
      </c>
      <c r="E318" s="138">
        <v>3.1046790000000001E-2</v>
      </c>
      <c r="F318" s="138">
        <v>0.26490944</v>
      </c>
      <c r="G318" s="138">
        <v>0.17084084999999999</v>
      </c>
      <c r="H318" s="24" t="s">
        <v>104</v>
      </c>
    </row>
    <row r="319" spans="1:8" x14ac:dyDescent="0.3">
      <c r="A319" s="24" t="s">
        <v>15</v>
      </c>
      <c r="B319" s="24" t="s">
        <v>105</v>
      </c>
      <c r="C319" s="24" t="s">
        <v>76</v>
      </c>
      <c r="D319" s="138">
        <v>0.76183148999999994</v>
      </c>
      <c r="E319" s="138">
        <v>2.95979E-2</v>
      </c>
      <c r="F319" s="138">
        <v>0.28237839999999997</v>
      </c>
      <c r="G319" s="138">
        <v>0.15226103999999999</v>
      </c>
      <c r="H319" s="24" t="s">
        <v>104</v>
      </c>
    </row>
    <row r="320" spans="1:8" x14ac:dyDescent="0.3">
      <c r="A320" s="24" t="s">
        <v>15</v>
      </c>
      <c r="B320" s="24" t="s">
        <v>105</v>
      </c>
      <c r="C320" s="24" t="s">
        <v>75</v>
      </c>
      <c r="D320" s="138">
        <v>0.75650868000000004</v>
      </c>
      <c r="E320" s="138">
        <v>3.534267E-2</v>
      </c>
      <c r="F320" s="138">
        <v>0.29540710999999997</v>
      </c>
      <c r="G320" s="138">
        <v>0.14422793</v>
      </c>
      <c r="H320" s="24" t="s">
        <v>104</v>
      </c>
    </row>
    <row r="321" spans="1:8" x14ac:dyDescent="0.3">
      <c r="A321" s="24" t="s">
        <v>15</v>
      </c>
      <c r="B321" s="24" t="s">
        <v>105</v>
      </c>
      <c r="C321" s="24" t="s">
        <v>74</v>
      </c>
      <c r="D321" s="138">
        <v>0.66117039</v>
      </c>
      <c r="E321" s="138">
        <v>4.1021879999999997E-2</v>
      </c>
      <c r="F321" s="138">
        <v>0.27009664</v>
      </c>
      <c r="G321" s="138">
        <v>0.21254450999999999</v>
      </c>
      <c r="H321" s="24" t="s">
        <v>104</v>
      </c>
    </row>
    <row r="322" spans="1:8" x14ac:dyDescent="0.3">
      <c r="A322" s="24" t="s">
        <v>15</v>
      </c>
      <c r="B322" s="24" t="s">
        <v>105</v>
      </c>
      <c r="C322" s="24" t="s">
        <v>73</v>
      </c>
      <c r="D322" s="138">
        <v>-3.0387210000000001E-2</v>
      </c>
      <c r="E322" s="138">
        <v>0.94578028999999997</v>
      </c>
      <c r="F322" s="138">
        <v>0.47496385000000002</v>
      </c>
      <c r="G322" s="138">
        <v>0.54223471999999995</v>
      </c>
      <c r="H322" s="24" t="s">
        <v>104</v>
      </c>
    </row>
    <row r="323" spans="1:8" x14ac:dyDescent="0.3">
      <c r="A323" s="24" t="s">
        <v>15</v>
      </c>
      <c r="B323" s="24" t="s">
        <v>105</v>
      </c>
      <c r="C323" s="24" t="s">
        <v>78</v>
      </c>
      <c r="D323" s="138">
        <v>-0.76550598999999997</v>
      </c>
      <c r="E323" s="138">
        <v>4.7437310000000003E-2</v>
      </c>
      <c r="F323" s="138">
        <v>0.3272216</v>
      </c>
      <c r="G323" s="138">
        <v>0.21381395</v>
      </c>
      <c r="H323" s="24" t="s">
        <v>104</v>
      </c>
    </row>
    <row r="324" spans="1:8" x14ac:dyDescent="0.3">
      <c r="A324" s="24" t="s">
        <v>15</v>
      </c>
      <c r="B324" s="24" t="s">
        <v>106</v>
      </c>
      <c r="C324" s="24" t="s">
        <v>79</v>
      </c>
      <c r="D324" s="138">
        <v>0.92206043000000004</v>
      </c>
      <c r="E324" s="138">
        <v>2.4902000000000002E-4</v>
      </c>
      <c r="F324" s="138">
        <v>0.15341357</v>
      </c>
      <c r="G324" s="138">
        <v>4.5540200000000003E-2</v>
      </c>
      <c r="H324" s="24" t="s">
        <v>104</v>
      </c>
    </row>
    <row r="325" spans="1:8" x14ac:dyDescent="0.3">
      <c r="A325" s="24" t="s">
        <v>15</v>
      </c>
      <c r="B325" s="24" t="s">
        <v>106</v>
      </c>
      <c r="C325" s="24" t="s">
        <v>84</v>
      </c>
      <c r="D325" s="138">
        <v>0.86868652999999996</v>
      </c>
      <c r="E325" s="138">
        <v>4.0766700000000001E-3</v>
      </c>
      <c r="F325" s="138">
        <v>0.18263415999999999</v>
      </c>
      <c r="G325" s="138">
        <v>0.16051551</v>
      </c>
      <c r="H325" s="24" t="s">
        <v>104</v>
      </c>
    </row>
    <row r="326" spans="1:8" x14ac:dyDescent="0.3">
      <c r="A326" s="24" t="s">
        <v>15</v>
      </c>
      <c r="B326" s="24" t="s">
        <v>106</v>
      </c>
      <c r="C326" s="24" t="s">
        <v>83</v>
      </c>
      <c r="D326" s="138">
        <v>0.88975499000000002</v>
      </c>
      <c r="E326" s="138">
        <v>2.5133400000000002E-3</v>
      </c>
      <c r="F326" s="138">
        <v>0.16736635</v>
      </c>
      <c r="G326" s="138">
        <v>0.11769999</v>
      </c>
      <c r="H326" s="24" t="s">
        <v>104</v>
      </c>
    </row>
    <row r="327" spans="1:8" x14ac:dyDescent="0.3">
      <c r="A327" s="24" t="s">
        <v>15</v>
      </c>
      <c r="B327" s="24" t="s">
        <v>106</v>
      </c>
      <c r="C327" s="24" t="s">
        <v>82</v>
      </c>
      <c r="D327" s="138">
        <v>0.75437184999999995</v>
      </c>
      <c r="E327" s="138">
        <v>3.6164399999999999E-2</v>
      </c>
      <c r="F327" s="138">
        <v>0.27948347000000001</v>
      </c>
      <c r="G327" s="138">
        <v>0.20540560999999999</v>
      </c>
      <c r="H327" s="24" t="s">
        <v>104</v>
      </c>
    </row>
    <row r="328" spans="1:8" x14ac:dyDescent="0.3">
      <c r="A328" s="24" t="s">
        <v>15</v>
      </c>
      <c r="B328" s="24" t="s">
        <v>106</v>
      </c>
      <c r="C328" s="24" t="s">
        <v>81</v>
      </c>
      <c r="D328" s="138">
        <v>0.77001701</v>
      </c>
      <c r="E328" s="138">
        <v>6.7039700000000001E-3</v>
      </c>
      <c r="F328" s="138">
        <v>0.18220074</v>
      </c>
      <c r="G328" s="138">
        <v>0.14758279999999999</v>
      </c>
      <c r="H328" s="24" t="s">
        <v>104</v>
      </c>
    </row>
    <row r="329" spans="1:8" x14ac:dyDescent="0.3">
      <c r="A329" s="24" t="s">
        <v>15</v>
      </c>
      <c r="B329" s="24" t="s">
        <v>106</v>
      </c>
      <c r="C329" s="24" t="s">
        <v>85</v>
      </c>
      <c r="D329" s="138">
        <v>-0.53899140999999995</v>
      </c>
      <c r="E329" s="138">
        <v>0.28505604000000001</v>
      </c>
      <c r="F329" s="138">
        <v>0.47421010000000002</v>
      </c>
      <c r="G329" s="138">
        <v>0.43037808</v>
      </c>
      <c r="H329" s="24" t="s">
        <v>104</v>
      </c>
    </row>
    <row r="330" spans="1:8" x14ac:dyDescent="0.3">
      <c r="A330" s="24" t="s">
        <v>15</v>
      </c>
      <c r="B330" s="24" t="s">
        <v>106</v>
      </c>
      <c r="C330" s="24" t="s">
        <v>92</v>
      </c>
      <c r="D330" s="138">
        <v>0.88035551999999995</v>
      </c>
      <c r="E330" s="138">
        <v>3.18242E-3</v>
      </c>
      <c r="F330" s="138">
        <v>0.17476907999999999</v>
      </c>
      <c r="G330" s="138">
        <v>0.12825160999999999</v>
      </c>
      <c r="H330" s="24" t="s">
        <v>104</v>
      </c>
    </row>
    <row r="331" spans="1:8" x14ac:dyDescent="0.3">
      <c r="A331" s="24" t="s">
        <v>15</v>
      </c>
      <c r="B331" s="24" t="s">
        <v>106</v>
      </c>
      <c r="C331" s="24" t="s">
        <v>80</v>
      </c>
      <c r="D331" s="138">
        <v>0.87291262999999997</v>
      </c>
      <c r="E331" s="138">
        <v>3.63445E-3</v>
      </c>
      <c r="F331" s="138">
        <v>0.17868609999999999</v>
      </c>
      <c r="G331" s="138">
        <v>0.15949189</v>
      </c>
      <c r="H331" s="24" t="s">
        <v>104</v>
      </c>
    </row>
    <row r="332" spans="1:8" x14ac:dyDescent="0.3">
      <c r="A332" s="24" t="s">
        <v>15</v>
      </c>
      <c r="B332" s="24" t="s">
        <v>106</v>
      </c>
      <c r="C332" s="24" t="s">
        <v>77</v>
      </c>
      <c r="D332" s="138">
        <v>0.88666195000000003</v>
      </c>
      <c r="E332" s="138">
        <v>2.36768E-3</v>
      </c>
      <c r="F332" s="138">
        <v>0.16454390999999999</v>
      </c>
      <c r="G332" s="138">
        <v>0.11761479</v>
      </c>
      <c r="H332" s="24" t="s">
        <v>104</v>
      </c>
    </row>
    <row r="333" spans="1:8" x14ac:dyDescent="0.3">
      <c r="A333" s="24" t="s">
        <v>15</v>
      </c>
      <c r="B333" s="24" t="s">
        <v>106</v>
      </c>
      <c r="C333" s="24" t="s">
        <v>76</v>
      </c>
      <c r="D333" s="138">
        <v>0.91593126999999996</v>
      </c>
      <c r="E333" s="138">
        <v>6.2314E-4</v>
      </c>
      <c r="F333" s="138">
        <v>0.12674858999999999</v>
      </c>
      <c r="G333" s="138">
        <v>6.7515080000000005E-2</v>
      </c>
      <c r="H333" s="24" t="s">
        <v>104</v>
      </c>
    </row>
    <row r="334" spans="1:8" x14ac:dyDescent="0.3">
      <c r="A334" s="24" t="s">
        <v>15</v>
      </c>
      <c r="B334" s="24" t="s">
        <v>106</v>
      </c>
      <c r="C334" s="24" t="s">
        <v>75</v>
      </c>
      <c r="D334" s="138">
        <v>0.92783336999999999</v>
      </c>
      <c r="E334" s="138">
        <v>6.6262999999999999E-4</v>
      </c>
      <c r="F334" s="138">
        <v>0.13010205</v>
      </c>
      <c r="G334" s="138">
        <v>3.6314730000000003E-2</v>
      </c>
      <c r="H334" s="24" t="s">
        <v>104</v>
      </c>
    </row>
    <row r="335" spans="1:8" x14ac:dyDescent="0.3">
      <c r="A335" s="24" t="s">
        <v>15</v>
      </c>
      <c r="B335" s="24" t="s">
        <v>106</v>
      </c>
      <c r="C335" s="24" t="s">
        <v>74</v>
      </c>
      <c r="D335" s="138">
        <v>0.85550369000000004</v>
      </c>
      <c r="E335" s="138">
        <v>4.7448899999999999E-3</v>
      </c>
      <c r="F335" s="138">
        <v>0.1863842</v>
      </c>
      <c r="G335" s="138">
        <v>0.17164473</v>
      </c>
      <c r="H335" s="24" t="s">
        <v>104</v>
      </c>
    </row>
    <row r="336" spans="1:8" x14ac:dyDescent="0.3">
      <c r="A336" s="24" t="s">
        <v>15</v>
      </c>
      <c r="B336" s="24" t="s">
        <v>106</v>
      </c>
      <c r="C336" s="24" t="s">
        <v>73</v>
      </c>
      <c r="D336" s="138">
        <v>-3.05122E-2</v>
      </c>
      <c r="E336" s="138">
        <v>0.94567387000000003</v>
      </c>
      <c r="F336" s="138">
        <v>0.44850498999999999</v>
      </c>
      <c r="G336" s="138">
        <v>0.51190400000000003</v>
      </c>
      <c r="H336" s="24" t="s">
        <v>104</v>
      </c>
    </row>
    <row r="337" spans="1:8" x14ac:dyDescent="0.3">
      <c r="A337" s="24" t="s">
        <v>15</v>
      </c>
      <c r="B337" s="24" t="s">
        <v>106</v>
      </c>
      <c r="C337" s="24" t="s">
        <v>78</v>
      </c>
      <c r="D337" s="138">
        <v>-0.87833835000000005</v>
      </c>
      <c r="E337" s="138">
        <v>9.4550000000000005E-4</v>
      </c>
      <c r="F337" s="138">
        <v>0.13300385000000001</v>
      </c>
      <c r="G337" s="138">
        <v>0.14856947000000001</v>
      </c>
      <c r="H337" s="24" t="s">
        <v>104</v>
      </c>
    </row>
    <row r="338" spans="1:8" x14ac:dyDescent="0.3">
      <c r="A338" s="24" t="s">
        <v>16</v>
      </c>
      <c r="B338" s="24" t="s">
        <v>95</v>
      </c>
      <c r="C338" s="24" t="s">
        <v>79</v>
      </c>
      <c r="D338" s="138">
        <v>-4.2592390000000001E-2</v>
      </c>
      <c r="E338" s="138">
        <v>0.90598677000000005</v>
      </c>
      <c r="F338" s="138">
        <v>0.38473595999999999</v>
      </c>
      <c r="G338" s="138">
        <v>0.40973454999999998</v>
      </c>
      <c r="H338" s="24" t="s">
        <v>104</v>
      </c>
    </row>
    <row r="339" spans="1:8" x14ac:dyDescent="0.3">
      <c r="A339" s="24" t="s">
        <v>16</v>
      </c>
      <c r="B339" s="24" t="s">
        <v>95</v>
      </c>
      <c r="C339" s="24" t="s">
        <v>84</v>
      </c>
      <c r="D339" s="138">
        <v>-0.10279791000000001</v>
      </c>
      <c r="E339" s="138">
        <v>0.90761060000000005</v>
      </c>
      <c r="F339" s="138">
        <v>0.81276550999999997</v>
      </c>
      <c r="G339" s="138">
        <v>0.79671208999999998</v>
      </c>
      <c r="H339" s="24" t="s">
        <v>104</v>
      </c>
    </row>
    <row r="340" spans="1:8" x14ac:dyDescent="0.3">
      <c r="A340" s="24" t="s">
        <v>16</v>
      </c>
      <c r="B340" s="24" t="s">
        <v>95</v>
      </c>
      <c r="C340" s="24" t="s">
        <v>83</v>
      </c>
      <c r="D340" s="138">
        <v>1.481965E-2</v>
      </c>
      <c r="E340" s="138">
        <v>0.98665809999999998</v>
      </c>
      <c r="F340" s="138">
        <v>0.81700454</v>
      </c>
      <c r="G340" s="138">
        <v>0.78613692000000002</v>
      </c>
      <c r="H340" s="24" t="s">
        <v>104</v>
      </c>
    </row>
    <row r="341" spans="1:8" x14ac:dyDescent="0.3">
      <c r="A341" s="24" t="s">
        <v>16</v>
      </c>
      <c r="B341" s="24" t="s">
        <v>95</v>
      </c>
      <c r="C341" s="24" t="s">
        <v>82</v>
      </c>
      <c r="D341" s="138">
        <v>0.49699953000000002</v>
      </c>
      <c r="E341" s="138">
        <v>0.56659013999999996</v>
      </c>
      <c r="F341" s="138">
        <v>0.70903419000000001</v>
      </c>
      <c r="G341" s="138">
        <v>0.78092298999999998</v>
      </c>
      <c r="H341" s="24" t="s">
        <v>104</v>
      </c>
    </row>
    <row r="342" spans="1:8" x14ac:dyDescent="0.3">
      <c r="A342" s="24" t="s">
        <v>16</v>
      </c>
      <c r="B342" s="24" t="s">
        <v>95</v>
      </c>
      <c r="C342" s="24" t="s">
        <v>81</v>
      </c>
      <c r="D342" s="138">
        <v>-0.98980765999999998</v>
      </c>
      <c r="E342" s="138">
        <v>6.4545370000000005E-2</v>
      </c>
      <c r="F342" s="138">
        <v>0.11636293</v>
      </c>
      <c r="G342" s="138">
        <v>0.80877975999999996</v>
      </c>
      <c r="H342" s="24" t="s">
        <v>104</v>
      </c>
    </row>
    <row r="343" spans="1:8" x14ac:dyDescent="0.3">
      <c r="A343" s="24" t="s">
        <v>16</v>
      </c>
      <c r="B343" s="24" t="s">
        <v>95</v>
      </c>
      <c r="C343" s="24" t="s">
        <v>85</v>
      </c>
      <c r="D343" s="138">
        <v>0.47425308999999999</v>
      </c>
      <c r="E343" s="138">
        <v>0.58554693999999996</v>
      </c>
      <c r="F343" s="138">
        <v>0.71936040999999995</v>
      </c>
      <c r="G343" s="138">
        <v>0.77977863999999997</v>
      </c>
      <c r="H343" s="24" t="s">
        <v>104</v>
      </c>
    </row>
    <row r="344" spans="1:8" x14ac:dyDescent="0.3">
      <c r="A344" s="24" t="s">
        <v>16</v>
      </c>
      <c r="B344" s="24" t="s">
        <v>95</v>
      </c>
      <c r="C344" s="24" t="s">
        <v>92</v>
      </c>
      <c r="D344" s="138">
        <v>3.8739400000000002E-3</v>
      </c>
      <c r="E344" s="138">
        <v>0.99651221999999995</v>
      </c>
      <c r="F344" s="138">
        <v>0.81708815000000001</v>
      </c>
      <c r="G344" s="138">
        <v>0.78696984000000003</v>
      </c>
      <c r="H344" s="24" t="s">
        <v>104</v>
      </c>
    </row>
    <row r="345" spans="1:8" x14ac:dyDescent="0.3">
      <c r="A345" s="24" t="s">
        <v>16</v>
      </c>
      <c r="B345" s="24" t="s">
        <v>95</v>
      </c>
      <c r="C345" s="24" t="s">
        <v>80</v>
      </c>
      <c r="D345" s="138">
        <v>7.1015999999999996E-3</v>
      </c>
      <c r="E345" s="138">
        <v>0.99360636000000002</v>
      </c>
      <c r="F345" s="138">
        <v>0.81707368000000002</v>
      </c>
      <c r="G345" s="138">
        <v>0.78672098000000001</v>
      </c>
      <c r="H345" s="24" t="s">
        <v>104</v>
      </c>
    </row>
    <row r="346" spans="1:8" x14ac:dyDescent="0.3">
      <c r="A346" s="24" t="s">
        <v>16</v>
      </c>
      <c r="B346" s="24" t="s">
        <v>95</v>
      </c>
      <c r="C346" s="24" t="s">
        <v>77</v>
      </c>
      <c r="D346" s="138">
        <v>3.3213850000000003E-2</v>
      </c>
      <c r="E346" s="138">
        <v>0.97010251000000003</v>
      </c>
      <c r="F346" s="138">
        <v>0.81664347000000004</v>
      </c>
      <c r="G346" s="138">
        <v>0.78480771000000005</v>
      </c>
      <c r="H346" s="24" t="s">
        <v>104</v>
      </c>
    </row>
    <row r="347" spans="1:8" x14ac:dyDescent="0.3">
      <c r="A347" s="24" t="s">
        <v>16</v>
      </c>
      <c r="B347" s="24" t="s">
        <v>95</v>
      </c>
      <c r="C347" s="24" t="s">
        <v>76</v>
      </c>
      <c r="D347" s="138">
        <v>0.20422317000000001</v>
      </c>
      <c r="E347" s="138">
        <v>0.81735767999999998</v>
      </c>
      <c r="F347" s="138">
        <v>0.79987348999999996</v>
      </c>
      <c r="G347" s="138">
        <v>0.77672094000000003</v>
      </c>
      <c r="H347" s="24" t="s">
        <v>104</v>
      </c>
    </row>
    <row r="348" spans="1:8" x14ac:dyDescent="0.3">
      <c r="A348" s="24" t="s">
        <v>16</v>
      </c>
      <c r="B348" s="24" t="s">
        <v>95</v>
      </c>
      <c r="C348" s="24" t="s">
        <v>75</v>
      </c>
      <c r="D348" s="138">
        <v>0.35035265999999998</v>
      </c>
      <c r="E348" s="138">
        <v>0.69023369999999995</v>
      </c>
      <c r="F348" s="138">
        <v>0.76530505999999998</v>
      </c>
      <c r="G348" s="138">
        <v>0.77596693999999999</v>
      </c>
      <c r="H348" s="24" t="s">
        <v>104</v>
      </c>
    </row>
    <row r="349" spans="1:8" x14ac:dyDescent="0.3">
      <c r="A349" s="24" t="s">
        <v>16</v>
      </c>
      <c r="B349" s="24" t="s">
        <v>95</v>
      </c>
      <c r="C349" s="24" t="s">
        <v>74</v>
      </c>
      <c r="D349" s="138">
        <v>-0.43287689000000001</v>
      </c>
      <c r="E349" s="138">
        <v>0.62021574999999995</v>
      </c>
      <c r="F349" s="138">
        <v>0.73657209999999995</v>
      </c>
      <c r="G349" s="138">
        <v>0.75444078999999997</v>
      </c>
      <c r="H349" s="24" t="s">
        <v>104</v>
      </c>
    </row>
    <row r="350" spans="1:8" x14ac:dyDescent="0.3">
      <c r="A350" s="24" t="s">
        <v>16</v>
      </c>
      <c r="B350" s="24" t="s">
        <v>95</v>
      </c>
      <c r="C350" s="24" t="s">
        <v>73</v>
      </c>
      <c r="D350" s="138">
        <v>0.58118725999999998</v>
      </c>
      <c r="E350" s="138">
        <v>0.49682680000000001</v>
      </c>
      <c r="F350" s="138">
        <v>0.66492664999999995</v>
      </c>
      <c r="G350" s="138">
        <v>0.78636812</v>
      </c>
      <c r="H350" s="24" t="s">
        <v>104</v>
      </c>
    </row>
    <row r="351" spans="1:8" x14ac:dyDescent="0.3">
      <c r="A351" s="24" t="s">
        <v>16</v>
      </c>
      <c r="B351" s="24" t="s">
        <v>95</v>
      </c>
      <c r="C351" s="24" t="s">
        <v>78</v>
      </c>
      <c r="D351" s="138">
        <v>0.59830506000000006</v>
      </c>
      <c r="E351" s="138">
        <v>0.48266756</v>
      </c>
      <c r="F351" s="138">
        <v>0.65471182000000006</v>
      </c>
      <c r="G351" s="138">
        <v>0.20567832</v>
      </c>
      <c r="H351" s="24" t="s">
        <v>104</v>
      </c>
    </row>
    <row r="352" spans="1:8" x14ac:dyDescent="0.3">
      <c r="A352" s="24" t="s">
        <v>16</v>
      </c>
      <c r="B352" s="24" t="s">
        <v>105</v>
      </c>
      <c r="C352" s="24" t="s">
        <v>79</v>
      </c>
      <c r="D352" s="138">
        <v>-0.13616056000000001</v>
      </c>
      <c r="E352" s="138">
        <v>0.75310204999999997</v>
      </c>
      <c r="F352" s="138">
        <v>0.46928682999999999</v>
      </c>
      <c r="G352" s="138">
        <v>0.44113992000000002</v>
      </c>
      <c r="H352" s="24" t="s">
        <v>104</v>
      </c>
    </row>
    <row r="353" spans="1:8" x14ac:dyDescent="0.3">
      <c r="A353" s="24" t="s">
        <v>16</v>
      </c>
      <c r="B353" s="24" t="s">
        <v>105</v>
      </c>
      <c r="C353" s="24" t="s">
        <v>84</v>
      </c>
      <c r="D353" s="138">
        <v>0.75265349999999998</v>
      </c>
      <c r="E353" s="138">
        <v>0.35266456000000002</v>
      </c>
      <c r="F353" s="138">
        <v>0.38495116000000001</v>
      </c>
      <c r="G353" s="138">
        <v>0.77423812999999997</v>
      </c>
      <c r="H353" s="24" t="s">
        <v>104</v>
      </c>
    </row>
    <row r="354" spans="1:8" x14ac:dyDescent="0.3">
      <c r="A354" s="24" t="s">
        <v>16</v>
      </c>
      <c r="B354" s="24" t="s">
        <v>105</v>
      </c>
      <c r="C354" s="24" t="s">
        <v>83</v>
      </c>
      <c r="D354" s="138">
        <v>0.67005506000000004</v>
      </c>
      <c r="E354" s="138">
        <v>0.42304090999999999</v>
      </c>
      <c r="F354" s="138">
        <v>0.43400112000000002</v>
      </c>
      <c r="G354" s="138">
        <v>0.76641400000000004</v>
      </c>
      <c r="H354" s="24" t="s">
        <v>104</v>
      </c>
    </row>
    <row r="355" spans="1:8" x14ac:dyDescent="0.3">
      <c r="A355" s="24" t="s">
        <v>16</v>
      </c>
      <c r="B355" s="24" t="s">
        <v>105</v>
      </c>
      <c r="C355" s="24" t="s">
        <v>82</v>
      </c>
      <c r="D355" s="138">
        <v>0.22697020000000001</v>
      </c>
      <c r="E355" s="138">
        <v>0.79731673000000003</v>
      </c>
      <c r="F355" s="138">
        <v>0.56940309</v>
      </c>
      <c r="G355" s="138">
        <v>0.75904198000000001</v>
      </c>
      <c r="H355" s="24" t="s">
        <v>104</v>
      </c>
    </row>
    <row r="356" spans="1:8" x14ac:dyDescent="0.3">
      <c r="A356" s="24" t="s">
        <v>16</v>
      </c>
      <c r="B356" s="24" t="s">
        <v>105</v>
      </c>
      <c r="C356" s="24" t="s">
        <v>81</v>
      </c>
      <c r="D356" s="138">
        <v>0.82181517000000004</v>
      </c>
      <c r="E356" s="138">
        <v>0.29017110000000002</v>
      </c>
      <c r="F356" s="138">
        <v>0.33311348000000002</v>
      </c>
      <c r="G356" s="138">
        <v>9.3907190000000001E-2</v>
      </c>
      <c r="H356" s="24" t="s">
        <v>104</v>
      </c>
    </row>
    <row r="357" spans="1:8" x14ac:dyDescent="0.3">
      <c r="A357" s="24" t="s">
        <v>16</v>
      </c>
      <c r="B357" s="24" t="s">
        <v>105</v>
      </c>
      <c r="C357" s="24" t="s">
        <v>85</v>
      </c>
      <c r="D357" s="138">
        <v>0.25223349</v>
      </c>
      <c r="E357" s="138">
        <v>0.77516156000000003</v>
      </c>
      <c r="F357" s="138">
        <v>0.56575754</v>
      </c>
      <c r="G357" s="138">
        <v>0.75800285000000001</v>
      </c>
      <c r="H357" s="24" t="s">
        <v>104</v>
      </c>
    </row>
    <row r="358" spans="1:8" x14ac:dyDescent="0.3">
      <c r="A358" s="24" t="s">
        <v>16</v>
      </c>
      <c r="B358" s="24" t="s">
        <v>105</v>
      </c>
      <c r="C358" s="24" t="s">
        <v>92</v>
      </c>
      <c r="D358" s="138">
        <v>0.67814026999999999</v>
      </c>
      <c r="E358" s="138">
        <v>0.41626494000000003</v>
      </c>
      <c r="F358" s="138">
        <v>0.42968695000000001</v>
      </c>
      <c r="G358" s="138">
        <v>0.76708553000000002</v>
      </c>
      <c r="H358" s="24" t="s">
        <v>104</v>
      </c>
    </row>
    <row r="359" spans="1:8" x14ac:dyDescent="0.3">
      <c r="A359" s="24" t="s">
        <v>16</v>
      </c>
      <c r="B359" s="24" t="s">
        <v>105</v>
      </c>
      <c r="C359" s="24" t="s">
        <v>80</v>
      </c>
      <c r="D359" s="138">
        <v>0.67576460000000005</v>
      </c>
      <c r="E359" s="138">
        <v>0.41825768000000002</v>
      </c>
      <c r="F359" s="138">
        <v>0.43096444</v>
      </c>
      <c r="G359" s="138">
        <v>0.76688610999999995</v>
      </c>
      <c r="H359" s="24" t="s">
        <v>104</v>
      </c>
    </row>
    <row r="360" spans="1:8" x14ac:dyDescent="0.3">
      <c r="A360" s="24" t="s">
        <v>16</v>
      </c>
      <c r="B360" s="24" t="s">
        <v>105</v>
      </c>
      <c r="C360" s="24" t="s">
        <v>77</v>
      </c>
      <c r="D360" s="138">
        <v>0.65628405000000001</v>
      </c>
      <c r="E360" s="138">
        <v>0.43454628000000001</v>
      </c>
      <c r="F360" s="138">
        <v>0.44113545999999998</v>
      </c>
      <c r="G360" s="138">
        <v>0.76531696999999999</v>
      </c>
      <c r="H360" s="24" t="s">
        <v>104</v>
      </c>
    </row>
    <row r="361" spans="1:8" x14ac:dyDescent="0.3">
      <c r="A361" s="24" t="s">
        <v>16</v>
      </c>
      <c r="B361" s="24" t="s">
        <v>105</v>
      </c>
      <c r="C361" s="24" t="s">
        <v>76</v>
      </c>
      <c r="D361" s="138">
        <v>0.51707751999999996</v>
      </c>
      <c r="E361" s="138">
        <v>0.54990649999999996</v>
      </c>
      <c r="F361" s="138">
        <v>0.50043457999999996</v>
      </c>
      <c r="G361" s="138">
        <v>0.75747865000000003</v>
      </c>
      <c r="H361" s="24" t="s">
        <v>104</v>
      </c>
    </row>
    <row r="362" spans="1:8" x14ac:dyDescent="0.3">
      <c r="A362" s="24" t="s">
        <v>16</v>
      </c>
      <c r="B362" s="24" t="s">
        <v>105</v>
      </c>
      <c r="C362" s="24" t="s">
        <v>75</v>
      </c>
      <c r="D362" s="138">
        <v>0.38125693999999999</v>
      </c>
      <c r="E362" s="138">
        <v>0.66386615000000004</v>
      </c>
      <c r="F362" s="138">
        <v>0.54050175</v>
      </c>
      <c r="G362" s="138">
        <v>0.75532454999999998</v>
      </c>
      <c r="H362" s="24" t="s">
        <v>104</v>
      </c>
    </row>
    <row r="363" spans="1:8" x14ac:dyDescent="0.3">
      <c r="A363" s="24" t="s">
        <v>16</v>
      </c>
      <c r="B363" s="24" t="s">
        <v>105</v>
      </c>
      <c r="C363" s="24" t="s">
        <v>74</v>
      </c>
      <c r="D363" s="138">
        <v>0.93086924999999998</v>
      </c>
      <c r="E363" s="138">
        <v>0.17234309</v>
      </c>
      <c r="F363" s="138">
        <v>0.21360763999999999</v>
      </c>
      <c r="G363" s="138">
        <v>3.6551159999999999E-2</v>
      </c>
      <c r="H363" s="24" t="s">
        <v>104</v>
      </c>
    </row>
    <row r="364" spans="1:8" x14ac:dyDescent="0.3">
      <c r="A364" s="24" t="s">
        <v>16</v>
      </c>
      <c r="B364" s="24" t="s">
        <v>105</v>
      </c>
      <c r="C364" s="24" t="s">
        <v>73</v>
      </c>
      <c r="D364" s="138">
        <v>0.12855945999999999</v>
      </c>
      <c r="E364" s="138">
        <v>0.88456917000000002</v>
      </c>
      <c r="F364" s="138">
        <v>0.57981013000000003</v>
      </c>
      <c r="G364" s="138">
        <v>0.7646406</v>
      </c>
      <c r="H364" s="24" t="s">
        <v>104</v>
      </c>
    </row>
    <row r="365" spans="1:8" x14ac:dyDescent="0.3">
      <c r="A365" s="24" t="s">
        <v>16</v>
      </c>
      <c r="B365" s="24" t="s">
        <v>105</v>
      </c>
      <c r="C365" s="24" t="s">
        <v>78</v>
      </c>
      <c r="D365" s="138">
        <v>0.10751083</v>
      </c>
      <c r="E365" s="138">
        <v>0.90339046000000001</v>
      </c>
      <c r="F365" s="138">
        <v>0.58127302999999997</v>
      </c>
      <c r="G365" s="138">
        <v>0.79012103</v>
      </c>
      <c r="H365" s="24" t="s">
        <v>104</v>
      </c>
    </row>
    <row r="366" spans="1:8" x14ac:dyDescent="0.3">
      <c r="A366" s="24" t="s">
        <v>16</v>
      </c>
      <c r="B366" s="24" t="s">
        <v>106</v>
      </c>
      <c r="C366" s="24" t="s">
        <v>79</v>
      </c>
      <c r="D366" s="138">
        <v>-0.13707283000000001</v>
      </c>
      <c r="E366" s="138">
        <v>0.76763475000000003</v>
      </c>
      <c r="F366" s="138">
        <v>0.50625829</v>
      </c>
      <c r="G366" s="138">
        <v>0.50256659000000004</v>
      </c>
      <c r="H366" s="24" t="s">
        <v>104</v>
      </c>
    </row>
    <row r="367" spans="1:8" x14ac:dyDescent="0.3">
      <c r="A367" s="24" t="s">
        <v>16</v>
      </c>
      <c r="B367" s="24" t="s">
        <v>106</v>
      </c>
      <c r="C367" s="24" t="s">
        <v>84</v>
      </c>
      <c r="D367" s="138">
        <v>0.99981907000000003</v>
      </c>
      <c r="E367" s="138">
        <v>8.5638299999999997E-3</v>
      </c>
      <c r="F367" s="138">
        <v>6.76488E-3</v>
      </c>
      <c r="G367" s="138">
        <v>9.6589999999999995E-5</v>
      </c>
      <c r="H367" s="24" t="s">
        <v>104</v>
      </c>
    </row>
    <row r="368" spans="1:8" x14ac:dyDescent="0.3">
      <c r="A368" s="24" t="s">
        <v>16</v>
      </c>
      <c r="B368" s="24" t="s">
        <v>106</v>
      </c>
      <c r="C368" s="24" t="s">
        <v>83</v>
      </c>
      <c r="D368" s="138">
        <v>0.99065435000000002</v>
      </c>
      <c r="E368" s="138">
        <v>6.1784480000000003E-2</v>
      </c>
      <c r="F368" s="138">
        <v>4.8507950000000001E-2</v>
      </c>
      <c r="G368" s="138">
        <v>4.9752499999999996E-3</v>
      </c>
      <c r="H368" s="24" t="s">
        <v>104</v>
      </c>
    </row>
    <row r="369" spans="1:8" x14ac:dyDescent="0.3">
      <c r="A369" s="24" t="s">
        <v>16</v>
      </c>
      <c r="B369" s="24" t="s">
        <v>106</v>
      </c>
      <c r="C369" s="24" t="s">
        <v>82</v>
      </c>
      <c r="D369" s="138">
        <v>0.80081577000000004</v>
      </c>
      <c r="E369" s="138">
        <v>0.30967938</v>
      </c>
      <c r="F369" s="138">
        <v>0.21299631999999999</v>
      </c>
      <c r="G369" s="138">
        <v>0.10229409</v>
      </c>
      <c r="H369" s="24" t="s">
        <v>104</v>
      </c>
    </row>
    <row r="370" spans="1:8" x14ac:dyDescent="0.3">
      <c r="A370" s="24" t="s">
        <v>16</v>
      </c>
      <c r="B370" s="24" t="s">
        <v>106</v>
      </c>
      <c r="C370" s="24" t="s">
        <v>81</v>
      </c>
      <c r="D370" s="138">
        <v>0.26181189999999999</v>
      </c>
      <c r="E370" s="138">
        <v>0.76679109999999995</v>
      </c>
      <c r="F370" s="138">
        <v>0.3432344</v>
      </c>
      <c r="G370" s="138">
        <v>0.75662297999999995</v>
      </c>
      <c r="H370" s="24" t="s">
        <v>104</v>
      </c>
    </row>
    <row r="371" spans="1:8" x14ac:dyDescent="0.3">
      <c r="A371" s="24" t="s">
        <v>16</v>
      </c>
      <c r="B371" s="24" t="s">
        <v>106</v>
      </c>
      <c r="C371" s="24" t="s">
        <v>85</v>
      </c>
      <c r="D371" s="138">
        <v>0.81612781999999995</v>
      </c>
      <c r="E371" s="138">
        <v>0.29551218000000001</v>
      </c>
      <c r="F371" s="138">
        <v>0.2055139</v>
      </c>
      <c r="G371" s="138">
        <v>9.4668020000000005E-2</v>
      </c>
      <c r="H371" s="24" t="s">
        <v>104</v>
      </c>
    </row>
    <row r="372" spans="1:8" x14ac:dyDescent="0.3">
      <c r="A372" s="24" t="s">
        <v>16</v>
      </c>
      <c r="B372" s="24" t="s">
        <v>106</v>
      </c>
      <c r="C372" s="24" t="s">
        <v>92</v>
      </c>
      <c r="D372" s="138">
        <v>0.99208799000000003</v>
      </c>
      <c r="E372" s="138">
        <v>5.6814280000000002E-2</v>
      </c>
      <c r="F372" s="138">
        <v>4.464858E-2</v>
      </c>
      <c r="G372" s="138">
        <v>4.21354E-3</v>
      </c>
      <c r="H372" s="24" t="s">
        <v>104</v>
      </c>
    </row>
    <row r="373" spans="1:8" x14ac:dyDescent="0.3">
      <c r="A373" s="24" t="s">
        <v>16</v>
      </c>
      <c r="B373" s="24" t="s">
        <v>106</v>
      </c>
      <c r="C373" s="24" t="s">
        <v>80</v>
      </c>
      <c r="D373" s="138">
        <v>0.99167760999999999</v>
      </c>
      <c r="E373" s="138">
        <v>5.82791E-2</v>
      </c>
      <c r="F373" s="138">
        <v>4.5787170000000002E-2</v>
      </c>
      <c r="G373" s="138">
        <v>4.4316299999999998E-3</v>
      </c>
      <c r="H373" s="24" t="s">
        <v>104</v>
      </c>
    </row>
    <row r="374" spans="1:8" x14ac:dyDescent="0.3">
      <c r="A374" s="24" t="s">
        <v>16</v>
      </c>
      <c r="B374" s="24" t="s">
        <v>106</v>
      </c>
      <c r="C374" s="24" t="s">
        <v>77</v>
      </c>
      <c r="D374" s="138">
        <v>0.98797714000000003</v>
      </c>
      <c r="E374" s="138">
        <v>7.0156019999999999E-2</v>
      </c>
      <c r="F374" s="138">
        <v>5.49819E-2</v>
      </c>
      <c r="G374" s="138">
        <v>6.3963700000000002E-3</v>
      </c>
      <c r="H374" s="24" t="s">
        <v>104</v>
      </c>
    </row>
    <row r="375" spans="1:8" x14ac:dyDescent="0.3">
      <c r="A375" s="24" t="s">
        <v>16</v>
      </c>
      <c r="B375" s="24" t="s">
        <v>106</v>
      </c>
      <c r="C375" s="24" t="s">
        <v>76</v>
      </c>
      <c r="D375" s="138">
        <v>0.94679391000000002</v>
      </c>
      <c r="E375" s="138">
        <v>0.15017195999999999</v>
      </c>
      <c r="F375" s="138">
        <v>0.1144592</v>
      </c>
      <c r="G375" s="138">
        <v>2.8060229999999999E-2</v>
      </c>
      <c r="H375" s="24" t="s">
        <v>104</v>
      </c>
    </row>
    <row r="376" spans="1:8" x14ac:dyDescent="0.3">
      <c r="A376" s="24" t="s">
        <v>16</v>
      </c>
      <c r="B376" s="24" t="s">
        <v>106</v>
      </c>
      <c r="C376" s="24" t="s">
        <v>75</v>
      </c>
      <c r="D376" s="138">
        <v>0.88701788999999998</v>
      </c>
      <c r="E376" s="138">
        <v>0.22453102999999999</v>
      </c>
      <c r="F376" s="138">
        <v>0.16421123000000001</v>
      </c>
      <c r="G376" s="138">
        <v>5.8900479999999998E-2</v>
      </c>
      <c r="H376" s="24" t="s">
        <v>104</v>
      </c>
    </row>
    <row r="377" spans="1:8" x14ac:dyDescent="0.3">
      <c r="A377" s="24" t="s">
        <v>16</v>
      </c>
      <c r="B377" s="24" t="s">
        <v>106</v>
      </c>
      <c r="C377" s="24" t="s">
        <v>74</v>
      </c>
      <c r="D377" s="138">
        <v>0.94743367999999994</v>
      </c>
      <c r="E377" s="138">
        <v>0.14922574</v>
      </c>
      <c r="F377" s="138">
        <v>0.11378763</v>
      </c>
      <c r="G377" s="138">
        <v>0.80135078000000004</v>
      </c>
      <c r="H377" s="24" t="s">
        <v>104</v>
      </c>
    </row>
    <row r="378" spans="1:8" x14ac:dyDescent="0.3">
      <c r="A378" s="24" t="s">
        <v>16</v>
      </c>
      <c r="B378" s="24" t="s">
        <v>106</v>
      </c>
      <c r="C378" s="24" t="s">
        <v>73</v>
      </c>
      <c r="D378" s="138">
        <v>0.73699039</v>
      </c>
      <c r="E378" s="138">
        <v>0.36625858999999999</v>
      </c>
      <c r="F378" s="138">
        <v>0.24037787999999999</v>
      </c>
      <c r="G378" s="138">
        <v>0.13375977</v>
      </c>
      <c r="H378" s="24" t="s">
        <v>104</v>
      </c>
    </row>
    <row r="379" spans="1:8" x14ac:dyDescent="0.3">
      <c r="A379" s="24" t="s">
        <v>16</v>
      </c>
      <c r="B379" s="24" t="s">
        <v>106</v>
      </c>
      <c r="C379" s="24" t="s">
        <v>78</v>
      </c>
      <c r="D379" s="138">
        <v>0.72249863000000003</v>
      </c>
      <c r="E379" s="138">
        <v>0.37871107999999998</v>
      </c>
      <c r="F379" s="138">
        <v>0.24587932000000001</v>
      </c>
      <c r="G379" s="138">
        <v>0.80064981000000002</v>
      </c>
      <c r="H379" s="24" t="s">
        <v>104</v>
      </c>
    </row>
    <row r="380" spans="1:8" x14ac:dyDescent="0.3">
      <c r="A380" s="24" t="s">
        <v>17</v>
      </c>
      <c r="B380" s="24" t="s">
        <v>95</v>
      </c>
      <c r="C380" s="24" t="s">
        <v>79</v>
      </c>
      <c r="D380" s="138">
        <v>-0.11379182</v>
      </c>
      <c r="E380" s="138">
        <v>0.7582257</v>
      </c>
      <c r="F380" s="138">
        <v>0.40426498999999999</v>
      </c>
      <c r="G380" s="138">
        <v>0.36568929999999999</v>
      </c>
      <c r="H380" s="24" t="s">
        <v>104</v>
      </c>
    </row>
    <row r="381" spans="1:8" x14ac:dyDescent="0.3">
      <c r="A381" s="24" t="s">
        <v>17</v>
      </c>
      <c r="B381" s="24" t="s">
        <v>95</v>
      </c>
      <c r="C381" s="24" t="s">
        <v>84</v>
      </c>
      <c r="D381" s="138">
        <v>-4.3071659999999998E-2</v>
      </c>
      <c r="E381" s="138">
        <v>0.90608462999999995</v>
      </c>
      <c r="F381" s="138">
        <v>0.40046025000000002</v>
      </c>
      <c r="G381" s="138">
        <v>0.34867893999999999</v>
      </c>
      <c r="H381" s="24" t="s">
        <v>104</v>
      </c>
    </row>
    <row r="382" spans="1:8" x14ac:dyDescent="0.3">
      <c r="A382" s="24" t="s">
        <v>17</v>
      </c>
      <c r="B382" s="24" t="s">
        <v>95</v>
      </c>
      <c r="C382" s="24" t="s">
        <v>83</v>
      </c>
      <c r="D382" s="138">
        <v>-9.818549E-2</v>
      </c>
      <c r="E382" s="138">
        <v>0.80717110000000003</v>
      </c>
      <c r="F382" s="138">
        <v>0.44049382999999998</v>
      </c>
      <c r="G382" s="138">
        <v>0.38944633000000001</v>
      </c>
      <c r="H382" s="24" t="s">
        <v>104</v>
      </c>
    </row>
    <row r="383" spans="1:8" x14ac:dyDescent="0.3">
      <c r="A383" s="24" t="s">
        <v>17</v>
      </c>
      <c r="B383" s="24" t="s">
        <v>95</v>
      </c>
      <c r="C383" s="24" t="s">
        <v>82</v>
      </c>
      <c r="D383" s="138">
        <v>4.4318829999999997E-2</v>
      </c>
      <c r="E383" s="138">
        <v>0.87522334999999996</v>
      </c>
      <c r="F383" s="138">
        <v>0.30946219000000003</v>
      </c>
      <c r="G383" s="138">
        <v>0.33159346000000001</v>
      </c>
      <c r="H383" s="24" t="s">
        <v>104</v>
      </c>
    </row>
    <row r="384" spans="1:8" x14ac:dyDescent="0.3">
      <c r="A384" s="24" t="s">
        <v>17</v>
      </c>
      <c r="B384" s="24" t="s">
        <v>95</v>
      </c>
      <c r="C384" s="24" t="s">
        <v>81</v>
      </c>
      <c r="D384" s="138">
        <v>0.30929864000000001</v>
      </c>
      <c r="E384" s="138">
        <v>8.3761269999999999E-2</v>
      </c>
      <c r="F384" s="138">
        <v>0.17457771</v>
      </c>
      <c r="G384" s="138">
        <v>0.38167658999999998</v>
      </c>
      <c r="H384" s="24" t="s">
        <v>104</v>
      </c>
    </row>
    <row r="385" spans="1:8" x14ac:dyDescent="0.3">
      <c r="A385" s="24" t="s">
        <v>17</v>
      </c>
      <c r="B385" s="24" t="s">
        <v>95</v>
      </c>
      <c r="C385" s="24" t="s">
        <v>85</v>
      </c>
      <c r="D385" s="138">
        <v>0.54995607000000002</v>
      </c>
      <c r="E385" s="138">
        <v>0.13435801999999999</v>
      </c>
      <c r="F385" s="138">
        <v>0.36950627000000003</v>
      </c>
      <c r="G385" s="138">
        <v>0.30967090000000003</v>
      </c>
      <c r="H385" s="24" t="s">
        <v>104</v>
      </c>
    </row>
    <row r="386" spans="1:8" x14ac:dyDescent="0.3">
      <c r="A386" s="24" t="s">
        <v>17</v>
      </c>
      <c r="B386" s="24" t="s">
        <v>95</v>
      </c>
      <c r="C386" s="24" t="s">
        <v>92</v>
      </c>
      <c r="D386" s="138">
        <v>-0.11379182</v>
      </c>
      <c r="E386" s="138">
        <v>0.7582257</v>
      </c>
      <c r="F386" s="138">
        <v>0.40426498999999999</v>
      </c>
      <c r="G386" s="138">
        <v>0.36568929999999999</v>
      </c>
      <c r="H386" s="24" t="s">
        <v>104</v>
      </c>
    </row>
    <row r="387" spans="1:8" x14ac:dyDescent="0.3">
      <c r="A387" s="24" t="s">
        <v>17</v>
      </c>
      <c r="B387" s="24" t="s">
        <v>95</v>
      </c>
      <c r="C387" s="24" t="s">
        <v>80</v>
      </c>
      <c r="D387" s="138">
        <v>-7.3022630000000005E-2</v>
      </c>
      <c r="E387" s="138">
        <v>0.83976927000000001</v>
      </c>
      <c r="F387" s="138">
        <v>0.39575650000000001</v>
      </c>
      <c r="G387" s="138">
        <v>0.35011175999999999</v>
      </c>
      <c r="H387" s="24" t="s">
        <v>104</v>
      </c>
    </row>
    <row r="388" spans="1:8" x14ac:dyDescent="0.3">
      <c r="A388" s="24" t="s">
        <v>17</v>
      </c>
      <c r="B388" s="24" t="s">
        <v>95</v>
      </c>
      <c r="C388" s="24" t="s">
        <v>77</v>
      </c>
      <c r="D388" s="138">
        <v>-0.10993972</v>
      </c>
      <c r="E388" s="138">
        <v>0.78654886000000002</v>
      </c>
      <c r="F388" s="138">
        <v>0.4443317</v>
      </c>
      <c r="G388" s="138">
        <v>0.39453789</v>
      </c>
      <c r="H388" s="24" t="s">
        <v>104</v>
      </c>
    </row>
    <row r="389" spans="1:8" x14ac:dyDescent="0.3">
      <c r="A389" s="24" t="s">
        <v>17</v>
      </c>
      <c r="B389" s="24" t="s">
        <v>95</v>
      </c>
      <c r="C389" s="24" t="s">
        <v>76</v>
      </c>
      <c r="D389" s="138">
        <v>-0.30155785000000002</v>
      </c>
      <c r="E389" s="138">
        <v>0.41933645000000003</v>
      </c>
      <c r="F389" s="138">
        <v>0.39974261</v>
      </c>
      <c r="G389" s="138">
        <v>0.55696635000000005</v>
      </c>
      <c r="H389" s="24" t="s">
        <v>104</v>
      </c>
    </row>
    <row r="390" spans="1:8" x14ac:dyDescent="0.3">
      <c r="A390" s="24" t="s">
        <v>17</v>
      </c>
      <c r="B390" s="24" t="s">
        <v>95</v>
      </c>
      <c r="C390" s="24" t="s">
        <v>75</v>
      </c>
      <c r="D390" s="138">
        <v>-0.33830250000000001</v>
      </c>
      <c r="E390" s="138">
        <v>0.2855434</v>
      </c>
      <c r="F390" s="138">
        <v>0.33276948000000001</v>
      </c>
      <c r="G390" s="138">
        <v>0.50944645</v>
      </c>
      <c r="H390" s="24" t="s">
        <v>104</v>
      </c>
    </row>
    <row r="391" spans="1:8" x14ac:dyDescent="0.3">
      <c r="A391" s="24" t="s">
        <v>17</v>
      </c>
      <c r="B391" s="24" t="s">
        <v>95</v>
      </c>
      <c r="C391" s="24" t="s">
        <v>74</v>
      </c>
      <c r="D391" s="138">
        <v>6.7727170000000003E-2</v>
      </c>
      <c r="E391" s="138">
        <v>0.82836951000000003</v>
      </c>
      <c r="F391" s="138">
        <v>0.34225032</v>
      </c>
      <c r="G391" s="138">
        <v>0.33731784999999997</v>
      </c>
      <c r="H391" s="24" t="s">
        <v>104</v>
      </c>
    </row>
    <row r="392" spans="1:8" x14ac:dyDescent="0.3">
      <c r="A392" s="24" t="s">
        <v>17</v>
      </c>
      <c r="B392" s="24" t="s">
        <v>95</v>
      </c>
      <c r="C392" s="24" t="s">
        <v>73</v>
      </c>
      <c r="D392" s="138">
        <v>0.49698469000000001</v>
      </c>
      <c r="E392" s="138">
        <v>0.23525275000000001</v>
      </c>
      <c r="F392" s="138">
        <v>0.43526930000000003</v>
      </c>
      <c r="G392" s="138">
        <v>0.24980542999999999</v>
      </c>
      <c r="H392" s="24" t="s">
        <v>104</v>
      </c>
    </row>
    <row r="393" spans="1:8" x14ac:dyDescent="0.3">
      <c r="A393" s="24" t="s">
        <v>17</v>
      </c>
      <c r="B393" s="24" t="s">
        <v>95</v>
      </c>
      <c r="C393" s="24" t="s">
        <v>78</v>
      </c>
      <c r="D393" s="138">
        <v>0.62807628000000004</v>
      </c>
      <c r="E393" s="138">
        <v>6.0549739999999998E-2</v>
      </c>
      <c r="F393" s="138">
        <v>0.31963364999999999</v>
      </c>
      <c r="G393" s="138">
        <v>0.32953608000000001</v>
      </c>
      <c r="H393" s="24" t="s">
        <v>104</v>
      </c>
    </row>
    <row r="394" spans="1:8" x14ac:dyDescent="0.3">
      <c r="A394" s="24" t="s">
        <v>17</v>
      </c>
      <c r="B394" s="24" t="s">
        <v>105</v>
      </c>
      <c r="C394" s="24" t="s">
        <v>79</v>
      </c>
      <c r="D394" s="138">
        <v>0.34364329999999998</v>
      </c>
      <c r="E394" s="138">
        <v>0.20409706999999999</v>
      </c>
      <c r="F394" s="138">
        <v>0.24632905999999999</v>
      </c>
      <c r="G394" s="138">
        <v>0.29724019000000002</v>
      </c>
      <c r="H394" s="24" t="s">
        <v>104</v>
      </c>
    </row>
    <row r="395" spans="1:8" x14ac:dyDescent="0.3">
      <c r="A395" s="24" t="s">
        <v>17</v>
      </c>
      <c r="B395" s="24" t="s">
        <v>105</v>
      </c>
      <c r="C395" s="24" t="s">
        <v>84</v>
      </c>
      <c r="D395" s="138">
        <v>0.30396169000000001</v>
      </c>
      <c r="E395" s="138">
        <v>0.28378590999999997</v>
      </c>
      <c r="F395" s="138">
        <v>0.26288384999999997</v>
      </c>
      <c r="G395" s="138">
        <v>0.28594493999999998</v>
      </c>
      <c r="H395" s="24" t="s">
        <v>104</v>
      </c>
    </row>
    <row r="396" spans="1:8" x14ac:dyDescent="0.3">
      <c r="A396" s="24" t="s">
        <v>17</v>
      </c>
      <c r="B396" s="24" t="s">
        <v>105</v>
      </c>
      <c r="C396" s="24" t="s">
        <v>83</v>
      </c>
      <c r="D396" s="138">
        <v>0.39131260000000001</v>
      </c>
      <c r="E396" s="138">
        <v>0.16629039000000001</v>
      </c>
      <c r="F396" s="138">
        <v>0.25428495000000001</v>
      </c>
      <c r="G396" s="138">
        <v>0.29909374999999999</v>
      </c>
      <c r="H396" s="24" t="s">
        <v>104</v>
      </c>
    </row>
    <row r="397" spans="1:8" x14ac:dyDescent="0.3">
      <c r="A397" s="24" t="s">
        <v>17</v>
      </c>
      <c r="B397" s="24" t="s">
        <v>105</v>
      </c>
      <c r="C397" s="24" t="s">
        <v>82</v>
      </c>
      <c r="D397" s="138">
        <v>0.17581343999999999</v>
      </c>
      <c r="E397" s="138">
        <v>0.49279669999999998</v>
      </c>
      <c r="F397" s="138">
        <v>0.24393000000000001</v>
      </c>
      <c r="G397" s="138">
        <v>0.32082712000000002</v>
      </c>
      <c r="H397" s="24" t="s">
        <v>104</v>
      </c>
    </row>
    <row r="398" spans="1:8" x14ac:dyDescent="0.3">
      <c r="A398" s="24" t="s">
        <v>17</v>
      </c>
      <c r="B398" s="24" t="s">
        <v>105</v>
      </c>
      <c r="C398" s="24" t="s">
        <v>81</v>
      </c>
      <c r="D398" s="138">
        <v>-2.7732070000000001E-2</v>
      </c>
      <c r="E398" s="138">
        <v>0.89343249999999996</v>
      </c>
      <c r="F398" s="138">
        <v>0.20041838000000001</v>
      </c>
      <c r="G398" s="138">
        <v>0.30670338000000003</v>
      </c>
      <c r="H398" s="24" t="s">
        <v>104</v>
      </c>
    </row>
    <row r="399" spans="1:8" x14ac:dyDescent="0.3">
      <c r="A399" s="24" t="s">
        <v>17</v>
      </c>
      <c r="B399" s="24" t="s">
        <v>105</v>
      </c>
      <c r="C399" s="24" t="s">
        <v>85</v>
      </c>
      <c r="D399" s="138">
        <v>-0.40636876999999999</v>
      </c>
      <c r="E399" s="138">
        <v>0.18001607999999999</v>
      </c>
      <c r="F399" s="138">
        <v>0.27392137</v>
      </c>
      <c r="G399" s="138">
        <v>0.30573898999999999</v>
      </c>
      <c r="H399" s="24" t="s">
        <v>104</v>
      </c>
    </row>
    <row r="400" spans="1:8" x14ac:dyDescent="0.3">
      <c r="A400" s="24" t="s">
        <v>17</v>
      </c>
      <c r="B400" s="24" t="s">
        <v>105</v>
      </c>
      <c r="C400" s="24" t="s">
        <v>92</v>
      </c>
      <c r="D400" s="138">
        <v>0.34364329999999998</v>
      </c>
      <c r="E400" s="138">
        <v>0.20409706999999999</v>
      </c>
      <c r="F400" s="138">
        <v>0.24632905999999999</v>
      </c>
      <c r="G400" s="138">
        <v>0.29724019000000002</v>
      </c>
      <c r="H400" s="24" t="s">
        <v>104</v>
      </c>
    </row>
    <row r="401" spans="1:8" x14ac:dyDescent="0.3">
      <c r="A401" s="24" t="s">
        <v>17</v>
      </c>
      <c r="B401" s="24" t="s">
        <v>105</v>
      </c>
      <c r="C401" s="24" t="s">
        <v>80</v>
      </c>
      <c r="D401" s="138">
        <v>0.30400797000000002</v>
      </c>
      <c r="E401" s="138">
        <v>0.26798181999999998</v>
      </c>
      <c r="F401" s="138">
        <v>0.25363690999999999</v>
      </c>
      <c r="G401" s="138">
        <v>0.29203143999999998</v>
      </c>
      <c r="H401" s="24" t="s">
        <v>104</v>
      </c>
    </row>
    <row r="402" spans="1:8" x14ac:dyDescent="0.3">
      <c r="A402" s="24" t="s">
        <v>17</v>
      </c>
      <c r="B402" s="24" t="s">
        <v>105</v>
      </c>
      <c r="C402" s="24" t="s">
        <v>77</v>
      </c>
      <c r="D402" s="138">
        <v>0.39594895000000002</v>
      </c>
      <c r="E402" s="138">
        <v>0.16023842999999999</v>
      </c>
      <c r="F402" s="138">
        <v>0.25306338</v>
      </c>
      <c r="G402" s="138">
        <v>0.30141145000000003</v>
      </c>
      <c r="H402" s="24" t="s">
        <v>104</v>
      </c>
    </row>
    <row r="403" spans="1:8" x14ac:dyDescent="0.3">
      <c r="A403" s="24" t="s">
        <v>17</v>
      </c>
      <c r="B403" s="24" t="s">
        <v>105</v>
      </c>
      <c r="C403" s="24" t="s">
        <v>76</v>
      </c>
      <c r="D403" s="138">
        <v>0.45090055000000001</v>
      </c>
      <c r="E403" s="138">
        <v>7.0160849999999997E-2</v>
      </c>
      <c r="F403" s="138">
        <v>0.21202888</v>
      </c>
      <c r="G403" s="138">
        <v>0.44132987000000001</v>
      </c>
      <c r="H403" s="24" t="s">
        <v>104</v>
      </c>
    </row>
    <row r="404" spans="1:8" x14ac:dyDescent="0.3">
      <c r="A404" s="24" t="s">
        <v>17</v>
      </c>
      <c r="B404" s="24" t="s">
        <v>105</v>
      </c>
      <c r="C404" s="24" t="s">
        <v>75</v>
      </c>
      <c r="D404" s="138">
        <v>0.51051780000000002</v>
      </c>
      <c r="E404" s="138">
        <v>2.0583730000000001E-2</v>
      </c>
      <c r="F404" s="138">
        <v>0.17211982000000001</v>
      </c>
      <c r="G404" s="138">
        <v>0.37714283999999998</v>
      </c>
      <c r="H404" s="24" t="s">
        <v>104</v>
      </c>
    </row>
    <row r="405" spans="1:8" x14ac:dyDescent="0.3">
      <c r="A405" s="24" t="s">
        <v>17</v>
      </c>
      <c r="B405" s="24" t="s">
        <v>105</v>
      </c>
      <c r="C405" s="24" t="s">
        <v>74</v>
      </c>
      <c r="D405" s="138">
        <v>0.18881437000000001</v>
      </c>
      <c r="E405" s="138">
        <v>0.49159952000000001</v>
      </c>
      <c r="F405" s="138">
        <v>0.26121831000000001</v>
      </c>
      <c r="G405" s="138">
        <v>0.28841978000000001</v>
      </c>
      <c r="H405" s="24" t="s">
        <v>104</v>
      </c>
    </row>
    <row r="406" spans="1:8" x14ac:dyDescent="0.3">
      <c r="A406" s="24" t="s">
        <v>17</v>
      </c>
      <c r="B406" s="24" t="s">
        <v>105</v>
      </c>
      <c r="C406" s="24" t="s">
        <v>73</v>
      </c>
      <c r="D406" s="138">
        <v>-0.29781552999999999</v>
      </c>
      <c r="E406" s="138">
        <v>0.35074309999999997</v>
      </c>
      <c r="F406" s="138">
        <v>0.29906148999999999</v>
      </c>
      <c r="G406" s="138">
        <v>0.31032767</v>
      </c>
      <c r="H406" s="24" t="s">
        <v>104</v>
      </c>
    </row>
    <row r="407" spans="1:8" x14ac:dyDescent="0.3">
      <c r="A407" s="24" t="s">
        <v>17</v>
      </c>
      <c r="B407" s="24" t="s">
        <v>105</v>
      </c>
      <c r="C407" s="24" t="s">
        <v>78</v>
      </c>
      <c r="D407" s="138">
        <v>-0.5299064</v>
      </c>
      <c r="E407" s="138">
        <v>5.774833E-2</v>
      </c>
      <c r="F407" s="138">
        <v>0.23467950000000001</v>
      </c>
      <c r="G407" s="138">
        <v>0.28798799000000003</v>
      </c>
      <c r="H407" s="24" t="s">
        <v>104</v>
      </c>
    </row>
    <row r="408" spans="1:8" x14ac:dyDescent="0.3">
      <c r="A408" s="24" t="s">
        <v>17</v>
      </c>
      <c r="B408" s="24" t="s">
        <v>106</v>
      </c>
      <c r="C408" s="24" t="s">
        <v>79</v>
      </c>
      <c r="D408" s="138">
        <v>0.28825215999999998</v>
      </c>
      <c r="E408" s="138">
        <v>0.23318464</v>
      </c>
      <c r="F408" s="138">
        <v>0.20209951000000001</v>
      </c>
      <c r="G408" s="138">
        <v>0.24490033999999999</v>
      </c>
      <c r="H408" s="24" t="s">
        <v>104</v>
      </c>
    </row>
    <row r="409" spans="1:8" x14ac:dyDescent="0.3">
      <c r="A409" s="24" t="s">
        <v>17</v>
      </c>
      <c r="B409" s="24" t="s">
        <v>106</v>
      </c>
      <c r="C409" s="24" t="s">
        <v>84</v>
      </c>
      <c r="D409" s="138">
        <v>0.33541501000000001</v>
      </c>
      <c r="E409" s="138">
        <v>0.12897847000000001</v>
      </c>
      <c r="F409" s="138">
        <v>0.17833528000000001</v>
      </c>
      <c r="G409" s="138">
        <v>0.2475224</v>
      </c>
      <c r="H409" s="24" t="s">
        <v>104</v>
      </c>
    </row>
    <row r="410" spans="1:8" x14ac:dyDescent="0.3">
      <c r="A410" s="24" t="s">
        <v>17</v>
      </c>
      <c r="B410" s="24" t="s">
        <v>106</v>
      </c>
      <c r="C410" s="24" t="s">
        <v>83</v>
      </c>
      <c r="D410" s="138">
        <v>0.37209599999999998</v>
      </c>
      <c r="E410" s="138">
        <v>0.18147998000000001</v>
      </c>
      <c r="F410" s="138">
        <v>0.22945768</v>
      </c>
      <c r="G410" s="138">
        <v>0.2296253</v>
      </c>
      <c r="H410" s="24" t="s">
        <v>104</v>
      </c>
    </row>
    <row r="411" spans="1:8" x14ac:dyDescent="0.3">
      <c r="A411" s="24" t="s">
        <v>17</v>
      </c>
      <c r="B411" s="24" t="s">
        <v>106</v>
      </c>
      <c r="C411" s="24" t="s">
        <v>82</v>
      </c>
      <c r="D411" s="138">
        <v>0.29073347999999999</v>
      </c>
      <c r="E411" s="138">
        <v>0.17431369999999999</v>
      </c>
      <c r="F411" s="138">
        <v>0.17592920000000001</v>
      </c>
      <c r="G411" s="138">
        <v>0.28222017999999999</v>
      </c>
      <c r="H411" s="24" t="s">
        <v>104</v>
      </c>
    </row>
    <row r="412" spans="1:8" x14ac:dyDescent="0.3">
      <c r="A412" s="24" t="s">
        <v>17</v>
      </c>
      <c r="B412" s="24" t="s">
        <v>106</v>
      </c>
      <c r="C412" s="24" t="s">
        <v>81</v>
      </c>
      <c r="D412" s="138">
        <v>0.39604464</v>
      </c>
      <c r="E412" s="138">
        <v>2.660875E-2</v>
      </c>
      <c r="F412" s="138">
        <v>0.12950864000000001</v>
      </c>
      <c r="G412" s="138">
        <v>0.35022408999999999</v>
      </c>
      <c r="H412" s="24" t="s">
        <v>104</v>
      </c>
    </row>
    <row r="413" spans="1:8" x14ac:dyDescent="0.3">
      <c r="A413" s="24" t="s">
        <v>17</v>
      </c>
      <c r="B413" s="24" t="s">
        <v>106</v>
      </c>
      <c r="C413" s="24" t="s">
        <v>85</v>
      </c>
      <c r="D413" s="138">
        <v>0.23950094</v>
      </c>
      <c r="E413" s="138">
        <v>0.46540077000000002</v>
      </c>
      <c r="F413" s="138">
        <v>0.28384828000000001</v>
      </c>
      <c r="G413" s="138">
        <v>0.33382094000000001</v>
      </c>
      <c r="H413" s="24" t="s">
        <v>104</v>
      </c>
    </row>
    <row r="414" spans="1:8" x14ac:dyDescent="0.3">
      <c r="A414" s="24" t="s">
        <v>17</v>
      </c>
      <c r="B414" s="24" t="s">
        <v>106</v>
      </c>
      <c r="C414" s="24" t="s">
        <v>92</v>
      </c>
      <c r="D414" s="138">
        <v>0.28825215999999998</v>
      </c>
      <c r="E414" s="138">
        <v>0.23318464</v>
      </c>
      <c r="F414" s="138">
        <v>0.20209951000000001</v>
      </c>
      <c r="G414" s="138">
        <v>0.24490033999999999</v>
      </c>
      <c r="H414" s="24" t="s">
        <v>104</v>
      </c>
    </row>
    <row r="415" spans="1:8" x14ac:dyDescent="0.3">
      <c r="A415" s="24" t="s">
        <v>17</v>
      </c>
      <c r="B415" s="24" t="s">
        <v>106</v>
      </c>
      <c r="C415" s="24" t="s">
        <v>80</v>
      </c>
      <c r="D415" s="138">
        <v>0.29362927</v>
      </c>
      <c r="E415" s="138">
        <v>0.20905267</v>
      </c>
      <c r="F415" s="138">
        <v>0.19418751000000001</v>
      </c>
      <c r="G415" s="138">
        <v>0.24819451000000001</v>
      </c>
      <c r="H415" s="24" t="s">
        <v>104</v>
      </c>
    </row>
    <row r="416" spans="1:8" x14ac:dyDescent="0.3">
      <c r="A416" s="24" t="s">
        <v>17</v>
      </c>
      <c r="B416" s="24" t="s">
        <v>106</v>
      </c>
      <c r="C416" s="24" t="s">
        <v>77</v>
      </c>
      <c r="D416" s="138">
        <v>0.36170755999999998</v>
      </c>
      <c r="E416" s="138">
        <v>0.19784607000000001</v>
      </c>
      <c r="F416" s="138">
        <v>0.23261641999999999</v>
      </c>
      <c r="G416" s="138">
        <v>0.23357331000000001</v>
      </c>
      <c r="H416" s="24" t="s">
        <v>104</v>
      </c>
    </row>
    <row r="417" spans="1:8" x14ac:dyDescent="0.3">
      <c r="A417" s="24" t="s">
        <v>17</v>
      </c>
      <c r="B417" s="24" t="s">
        <v>106</v>
      </c>
      <c r="C417" s="24" t="s">
        <v>76</v>
      </c>
      <c r="D417" s="138">
        <v>0.16550517000000001</v>
      </c>
      <c r="E417" s="138">
        <v>0.53376151000000005</v>
      </c>
      <c r="F417" s="138">
        <v>0.23138903</v>
      </c>
      <c r="G417" s="138">
        <v>0.30956886</v>
      </c>
      <c r="H417" s="24" t="s">
        <v>104</v>
      </c>
    </row>
    <row r="418" spans="1:8" x14ac:dyDescent="0.3">
      <c r="A418" s="24" t="s">
        <v>17</v>
      </c>
      <c r="B418" s="24" t="s">
        <v>106</v>
      </c>
      <c r="C418" s="24" t="s">
        <v>75</v>
      </c>
      <c r="D418" s="138">
        <v>0.19175652000000001</v>
      </c>
      <c r="E418" s="138">
        <v>0.48669814</v>
      </c>
      <c r="F418" s="138">
        <v>0.23895569</v>
      </c>
      <c r="G418" s="138">
        <v>0.31329188000000002</v>
      </c>
      <c r="H418" s="24" t="s">
        <v>104</v>
      </c>
    </row>
    <row r="419" spans="1:8" x14ac:dyDescent="0.3">
      <c r="A419" s="24" t="s">
        <v>17</v>
      </c>
      <c r="B419" s="24" t="s">
        <v>106</v>
      </c>
      <c r="C419" s="24" t="s">
        <v>74</v>
      </c>
      <c r="D419" s="138">
        <v>0.34035853999999999</v>
      </c>
      <c r="E419" s="138">
        <v>7.441151E-2</v>
      </c>
      <c r="F419" s="138">
        <v>0.14863069000000001</v>
      </c>
      <c r="G419" s="138">
        <v>0.29024738</v>
      </c>
      <c r="H419" s="24" t="s">
        <v>104</v>
      </c>
    </row>
    <row r="420" spans="1:8" x14ac:dyDescent="0.3">
      <c r="A420" s="24" t="s">
        <v>17</v>
      </c>
      <c r="B420" s="24" t="s">
        <v>106</v>
      </c>
      <c r="C420" s="24" t="s">
        <v>73</v>
      </c>
      <c r="D420" s="138">
        <v>0.30676912000000001</v>
      </c>
      <c r="E420" s="138">
        <v>0.33926635999999999</v>
      </c>
      <c r="F420" s="138">
        <v>0.27368905999999998</v>
      </c>
      <c r="G420" s="138">
        <v>0.30338709000000003</v>
      </c>
      <c r="H420" s="24" t="s">
        <v>104</v>
      </c>
    </row>
    <row r="421" spans="1:8" x14ac:dyDescent="0.3">
      <c r="A421" s="24" t="s">
        <v>17</v>
      </c>
      <c r="B421" s="24" t="s">
        <v>106</v>
      </c>
      <c r="C421" s="24" t="s">
        <v>78</v>
      </c>
      <c r="D421" s="138">
        <v>0.18786791999999999</v>
      </c>
      <c r="E421" s="138">
        <v>0.57588645000000005</v>
      </c>
      <c r="F421" s="138">
        <v>0.29300331000000002</v>
      </c>
      <c r="G421" s="138">
        <v>0.34998156000000002</v>
      </c>
      <c r="H421" s="24" t="s">
        <v>104</v>
      </c>
    </row>
    <row r="422" spans="1:8" x14ac:dyDescent="0.3">
      <c r="A422" s="24" t="s">
        <v>18</v>
      </c>
      <c r="B422" s="24" t="s">
        <v>95</v>
      </c>
      <c r="C422" s="24" t="s">
        <v>79</v>
      </c>
      <c r="D422" s="138">
        <v>0.13975752999999999</v>
      </c>
      <c r="E422" s="138">
        <v>0.53718502000000001</v>
      </c>
      <c r="F422" s="138">
        <v>0.24729707000000001</v>
      </c>
      <c r="G422" s="138">
        <v>0.26611494000000002</v>
      </c>
      <c r="H422" s="24" t="s">
        <v>104</v>
      </c>
    </row>
    <row r="423" spans="1:8" x14ac:dyDescent="0.3">
      <c r="A423" s="24" t="s">
        <v>18</v>
      </c>
      <c r="B423" s="24" t="s">
        <v>95</v>
      </c>
      <c r="C423" s="24" t="s">
        <v>84</v>
      </c>
      <c r="D423" s="138">
        <v>0.1544711</v>
      </c>
      <c r="E423" s="138">
        <v>0.46003939999999999</v>
      </c>
      <c r="F423" s="138">
        <v>0.23844777</v>
      </c>
      <c r="G423" s="138">
        <v>0.27526981</v>
      </c>
      <c r="H423" s="24" t="s">
        <v>104</v>
      </c>
    </row>
    <row r="424" spans="1:8" x14ac:dyDescent="0.3">
      <c r="A424" s="24" t="s">
        <v>18</v>
      </c>
      <c r="B424" s="24" t="s">
        <v>95</v>
      </c>
      <c r="C424" s="24" t="s">
        <v>83</v>
      </c>
      <c r="D424" s="138">
        <v>0.17980473</v>
      </c>
      <c r="E424" s="138">
        <v>0.45121169999999999</v>
      </c>
      <c r="F424" s="138">
        <v>0.27190104999999998</v>
      </c>
      <c r="G424" s="138">
        <v>0.28503952999999999</v>
      </c>
      <c r="H424" s="24" t="s">
        <v>104</v>
      </c>
    </row>
    <row r="425" spans="1:8" x14ac:dyDescent="0.3">
      <c r="A425" s="24" t="s">
        <v>18</v>
      </c>
      <c r="B425" s="24" t="s">
        <v>95</v>
      </c>
      <c r="C425" s="24" t="s">
        <v>82</v>
      </c>
      <c r="D425" s="138">
        <v>-0.10663024</v>
      </c>
      <c r="E425" s="138">
        <v>0.73799161000000002</v>
      </c>
      <c r="F425" s="138">
        <v>0.37068867999999999</v>
      </c>
      <c r="G425" s="138">
        <v>0.35452402999999999</v>
      </c>
      <c r="H425" s="24" t="s">
        <v>104</v>
      </c>
    </row>
    <row r="426" spans="1:8" x14ac:dyDescent="0.3">
      <c r="A426" s="24" t="s">
        <v>18</v>
      </c>
      <c r="B426" s="24" t="s">
        <v>95</v>
      </c>
      <c r="C426" s="24" t="s">
        <v>81</v>
      </c>
      <c r="D426" s="138">
        <v>0.13493337999999999</v>
      </c>
      <c r="E426" s="138">
        <v>0.53165393000000005</v>
      </c>
      <c r="F426" s="138">
        <v>0.24774159000000001</v>
      </c>
      <c r="G426" s="138">
        <v>0.30889264</v>
      </c>
      <c r="H426" s="24" t="s">
        <v>104</v>
      </c>
    </row>
    <row r="427" spans="1:8" x14ac:dyDescent="0.3">
      <c r="A427" s="24" t="s">
        <v>18</v>
      </c>
      <c r="B427" s="24" t="s">
        <v>95</v>
      </c>
      <c r="C427" s="24" t="s">
        <v>85</v>
      </c>
      <c r="D427" s="138">
        <v>-0.3212583</v>
      </c>
      <c r="E427" s="138">
        <v>0.26192015000000002</v>
      </c>
      <c r="F427" s="138">
        <v>0.31609924</v>
      </c>
      <c r="G427" s="138">
        <v>0.26880377999999999</v>
      </c>
      <c r="H427" s="24" t="s">
        <v>104</v>
      </c>
    </row>
    <row r="428" spans="1:8" x14ac:dyDescent="0.3">
      <c r="A428" s="24" t="s">
        <v>18</v>
      </c>
      <c r="B428" s="24" t="s">
        <v>95</v>
      </c>
      <c r="C428" s="24" t="s">
        <v>92</v>
      </c>
      <c r="D428" s="138">
        <v>0.17165241000000001</v>
      </c>
      <c r="E428" s="138">
        <v>0.45960617999999998</v>
      </c>
      <c r="F428" s="138">
        <v>0.26470123000000001</v>
      </c>
      <c r="G428" s="138">
        <v>0.28240041999999999</v>
      </c>
      <c r="H428" s="24" t="s">
        <v>104</v>
      </c>
    </row>
    <row r="429" spans="1:8" x14ac:dyDescent="0.3">
      <c r="A429" s="24" t="s">
        <v>18</v>
      </c>
      <c r="B429" s="24" t="s">
        <v>95</v>
      </c>
      <c r="C429" s="24" t="s">
        <v>80</v>
      </c>
      <c r="D429" s="138">
        <v>0.17912682999999999</v>
      </c>
      <c r="E429" s="138">
        <v>0.44684328000000001</v>
      </c>
      <c r="F429" s="138">
        <v>0.26814518999999998</v>
      </c>
      <c r="G429" s="138">
        <v>0.28088786999999998</v>
      </c>
      <c r="H429" s="24" t="s">
        <v>104</v>
      </c>
    </row>
    <row r="430" spans="1:8" x14ac:dyDescent="0.3">
      <c r="A430" s="24" t="s">
        <v>18</v>
      </c>
      <c r="B430" s="24" t="s">
        <v>95</v>
      </c>
      <c r="C430" s="24" t="s">
        <v>77</v>
      </c>
      <c r="D430" s="138">
        <v>0.17427469000000001</v>
      </c>
      <c r="E430" s="138">
        <v>0.45981362999999997</v>
      </c>
      <c r="F430" s="138">
        <v>0.26887536000000001</v>
      </c>
      <c r="G430" s="138">
        <v>0.28653173999999998</v>
      </c>
      <c r="H430" s="24" t="s">
        <v>104</v>
      </c>
    </row>
    <row r="431" spans="1:8" x14ac:dyDescent="0.3">
      <c r="A431" s="24" t="s">
        <v>18</v>
      </c>
      <c r="B431" s="24" t="s">
        <v>95</v>
      </c>
      <c r="C431" s="24" t="s">
        <v>76</v>
      </c>
      <c r="D431" s="138">
        <v>0.10299591</v>
      </c>
      <c r="E431" s="138">
        <v>0.58968293000000005</v>
      </c>
      <c r="F431" s="138">
        <v>0.22031866999999999</v>
      </c>
      <c r="G431" s="138">
        <v>0.29741357000000002</v>
      </c>
      <c r="H431" s="24" t="s">
        <v>104</v>
      </c>
    </row>
    <row r="432" spans="1:8" x14ac:dyDescent="0.3">
      <c r="A432" s="24" t="s">
        <v>18</v>
      </c>
      <c r="B432" s="24" t="s">
        <v>95</v>
      </c>
      <c r="C432" s="24" t="s">
        <v>75</v>
      </c>
      <c r="D432" s="138">
        <v>0.20491635</v>
      </c>
      <c r="E432" s="138">
        <v>0.43044666999999998</v>
      </c>
      <c r="F432" s="138">
        <v>0.29538246000000001</v>
      </c>
      <c r="G432" s="138">
        <v>0.29920234000000001</v>
      </c>
      <c r="H432" s="24" t="s">
        <v>104</v>
      </c>
    </row>
    <row r="433" spans="1:8" x14ac:dyDescent="0.3">
      <c r="A433" s="24" t="s">
        <v>18</v>
      </c>
      <c r="B433" s="24" t="s">
        <v>95</v>
      </c>
      <c r="C433" s="24" t="s">
        <v>74</v>
      </c>
      <c r="D433" s="138">
        <v>0.11277477</v>
      </c>
      <c r="E433" s="138">
        <v>0.55346278000000004</v>
      </c>
      <c r="F433" s="138">
        <v>0.21895007</v>
      </c>
      <c r="G433" s="138">
        <v>0.29357541999999998</v>
      </c>
      <c r="H433" s="24" t="s">
        <v>104</v>
      </c>
    </row>
    <row r="434" spans="1:8" x14ac:dyDescent="0.3">
      <c r="A434" s="24" t="s">
        <v>18</v>
      </c>
      <c r="B434" s="24" t="s">
        <v>95</v>
      </c>
      <c r="C434" s="24" t="s">
        <v>73</v>
      </c>
      <c r="D434" s="138">
        <v>-0.47920142999999998</v>
      </c>
      <c r="E434" s="138">
        <v>0.23430028999999999</v>
      </c>
      <c r="F434" s="138">
        <v>0.44155283000000001</v>
      </c>
      <c r="G434" s="138">
        <v>0.29235662000000001</v>
      </c>
      <c r="H434" s="24" t="s">
        <v>104</v>
      </c>
    </row>
    <row r="435" spans="1:8" x14ac:dyDescent="0.3">
      <c r="A435" s="24" t="s">
        <v>18</v>
      </c>
      <c r="B435" s="24" t="s">
        <v>95</v>
      </c>
      <c r="C435" s="24" t="s">
        <v>78</v>
      </c>
      <c r="D435" s="138">
        <v>-0.36306525000000001</v>
      </c>
      <c r="E435" s="138">
        <v>0.30846318</v>
      </c>
      <c r="F435" s="138">
        <v>0.39753702000000002</v>
      </c>
      <c r="G435" s="138">
        <v>0.28640483999999999</v>
      </c>
      <c r="H435" s="24" t="s">
        <v>104</v>
      </c>
    </row>
    <row r="436" spans="1:8" x14ac:dyDescent="0.3">
      <c r="A436" s="24" t="s">
        <v>18</v>
      </c>
      <c r="B436" s="24" t="s">
        <v>105</v>
      </c>
      <c r="C436" s="24" t="s">
        <v>79</v>
      </c>
      <c r="D436" s="138">
        <v>-0.38823962000000001</v>
      </c>
      <c r="E436" s="138">
        <v>0.34150246000000001</v>
      </c>
      <c r="F436" s="138">
        <v>0.42774877</v>
      </c>
      <c r="G436" s="138">
        <v>0.33905073000000002</v>
      </c>
      <c r="H436" s="24" t="s">
        <v>104</v>
      </c>
    </row>
    <row r="437" spans="1:8" x14ac:dyDescent="0.3">
      <c r="A437" s="24" t="s">
        <v>18</v>
      </c>
      <c r="B437" s="24" t="s">
        <v>105</v>
      </c>
      <c r="C437" s="24" t="s">
        <v>84</v>
      </c>
      <c r="D437" s="138">
        <v>-0.48085296999999999</v>
      </c>
      <c r="E437" s="138">
        <v>0.26392301000000001</v>
      </c>
      <c r="F437" s="138">
        <v>0.45449400000000001</v>
      </c>
      <c r="G437" s="138">
        <v>0.32058911000000001</v>
      </c>
      <c r="H437" s="24" t="s">
        <v>104</v>
      </c>
    </row>
    <row r="438" spans="1:8" x14ac:dyDescent="0.3">
      <c r="A438" s="24" t="s">
        <v>18</v>
      </c>
      <c r="B438" s="24" t="s">
        <v>105</v>
      </c>
      <c r="C438" s="24" t="s">
        <v>83</v>
      </c>
      <c r="D438" s="138">
        <v>-0.49104345999999999</v>
      </c>
      <c r="E438" s="138">
        <v>0.26025830999999999</v>
      </c>
      <c r="F438" s="138">
        <v>0.46016397999999997</v>
      </c>
      <c r="G438" s="138">
        <v>0.32725726999999999</v>
      </c>
      <c r="H438" s="24" t="s">
        <v>104</v>
      </c>
    </row>
    <row r="439" spans="1:8" x14ac:dyDescent="0.3">
      <c r="A439" s="24" t="s">
        <v>18</v>
      </c>
      <c r="B439" s="24" t="s">
        <v>105</v>
      </c>
      <c r="C439" s="24" t="s">
        <v>82</v>
      </c>
      <c r="D439" s="138">
        <v>-0.50701574000000005</v>
      </c>
      <c r="E439" s="138">
        <v>0.24760834000000001</v>
      </c>
      <c r="F439" s="138">
        <v>0.4611594</v>
      </c>
      <c r="G439" s="138">
        <v>0.38106688999999999</v>
      </c>
      <c r="H439" s="24" t="s">
        <v>104</v>
      </c>
    </row>
    <row r="440" spans="1:8" x14ac:dyDescent="0.3">
      <c r="A440" s="24" t="s">
        <v>18</v>
      </c>
      <c r="B440" s="24" t="s">
        <v>105</v>
      </c>
      <c r="C440" s="24" t="s">
        <v>81</v>
      </c>
      <c r="D440" s="138">
        <v>-8.0316650000000003E-2</v>
      </c>
      <c r="E440" s="138">
        <v>0.75916713000000002</v>
      </c>
      <c r="F440" s="138">
        <v>0.29152398000000002</v>
      </c>
      <c r="G440" s="138">
        <v>0.34865497000000001</v>
      </c>
      <c r="H440" s="24" t="s">
        <v>104</v>
      </c>
    </row>
    <row r="441" spans="1:8" x14ac:dyDescent="0.3">
      <c r="A441" s="24" t="s">
        <v>18</v>
      </c>
      <c r="B441" s="24" t="s">
        <v>105</v>
      </c>
      <c r="C441" s="24" t="s">
        <v>85</v>
      </c>
      <c r="D441" s="138">
        <v>0.62526137999999998</v>
      </c>
      <c r="E441" s="138">
        <v>7.0677779999999996E-2</v>
      </c>
      <c r="F441" s="138">
        <v>0.33193594999999998</v>
      </c>
      <c r="G441" s="138">
        <v>0.32196076000000001</v>
      </c>
      <c r="H441" s="24" t="s">
        <v>104</v>
      </c>
    </row>
    <row r="442" spans="1:8" x14ac:dyDescent="0.3">
      <c r="A442" s="24" t="s">
        <v>18</v>
      </c>
      <c r="B442" s="24" t="s">
        <v>105</v>
      </c>
      <c r="C442" s="24" t="s">
        <v>92</v>
      </c>
      <c r="D442" s="138">
        <v>-0.46769922000000003</v>
      </c>
      <c r="E442" s="138">
        <v>0.28028427</v>
      </c>
      <c r="F442" s="138">
        <v>0.45914908999999998</v>
      </c>
      <c r="G442" s="138">
        <v>0.32547063999999998</v>
      </c>
      <c r="H442" s="24" t="s">
        <v>104</v>
      </c>
    </row>
    <row r="443" spans="1:8" x14ac:dyDescent="0.3">
      <c r="A443" s="24" t="s">
        <v>18</v>
      </c>
      <c r="B443" s="24" t="s">
        <v>105</v>
      </c>
      <c r="C443" s="24" t="s">
        <v>80</v>
      </c>
      <c r="D443" s="138">
        <v>-0.474825</v>
      </c>
      <c r="E443" s="138">
        <v>0.26805825</v>
      </c>
      <c r="F443" s="138">
        <v>0.45314253999999998</v>
      </c>
      <c r="G443" s="138">
        <v>0.32192288000000002</v>
      </c>
      <c r="H443" s="24" t="s">
        <v>104</v>
      </c>
    </row>
    <row r="444" spans="1:8" x14ac:dyDescent="0.3">
      <c r="A444" s="24" t="s">
        <v>18</v>
      </c>
      <c r="B444" s="24" t="s">
        <v>105</v>
      </c>
      <c r="C444" s="24" t="s">
        <v>77</v>
      </c>
      <c r="D444" s="138">
        <v>-0.48941338000000001</v>
      </c>
      <c r="E444" s="138">
        <v>0.26543670000000003</v>
      </c>
      <c r="F444" s="138">
        <v>0.46422190000000002</v>
      </c>
      <c r="G444" s="138">
        <v>0.32958585000000001</v>
      </c>
      <c r="H444" s="24" t="s">
        <v>104</v>
      </c>
    </row>
    <row r="445" spans="1:8" x14ac:dyDescent="0.3">
      <c r="A445" s="24" t="s">
        <v>18</v>
      </c>
      <c r="B445" s="24" t="s">
        <v>105</v>
      </c>
      <c r="C445" s="24" t="s">
        <v>76</v>
      </c>
      <c r="D445" s="138">
        <v>-0.50560932999999997</v>
      </c>
      <c r="E445" s="138">
        <v>0.21482966000000001</v>
      </c>
      <c r="F445" s="138">
        <v>0.42466271999999999</v>
      </c>
      <c r="G445" s="138">
        <v>0.37595522999999997</v>
      </c>
      <c r="H445" s="24" t="s">
        <v>104</v>
      </c>
    </row>
    <row r="446" spans="1:8" x14ac:dyDescent="0.3">
      <c r="A446" s="24" t="s">
        <v>18</v>
      </c>
      <c r="B446" s="24" t="s">
        <v>105</v>
      </c>
      <c r="C446" s="24" t="s">
        <v>75</v>
      </c>
      <c r="D446" s="138">
        <v>-0.57563874000000004</v>
      </c>
      <c r="E446" s="138">
        <v>0.15808541000000001</v>
      </c>
      <c r="F446" s="138">
        <v>0.4159331</v>
      </c>
      <c r="G446" s="138">
        <v>0.34206217999999999</v>
      </c>
      <c r="H446" s="24" t="s">
        <v>104</v>
      </c>
    </row>
    <row r="447" spans="1:8" x14ac:dyDescent="0.3">
      <c r="A447" s="24" t="s">
        <v>18</v>
      </c>
      <c r="B447" s="24" t="s">
        <v>105</v>
      </c>
      <c r="C447" s="24" t="s">
        <v>74</v>
      </c>
      <c r="D447" s="138">
        <v>-0.46219545000000001</v>
      </c>
      <c r="E447" s="138">
        <v>0.25313786999999999</v>
      </c>
      <c r="F447" s="138">
        <v>0.42593568999999998</v>
      </c>
      <c r="G447" s="138">
        <v>0.31707907000000002</v>
      </c>
      <c r="H447" s="24" t="s">
        <v>104</v>
      </c>
    </row>
    <row r="448" spans="1:8" x14ac:dyDescent="0.3">
      <c r="A448" s="24" t="s">
        <v>18</v>
      </c>
      <c r="B448" s="24" t="s">
        <v>105</v>
      </c>
      <c r="C448" s="24" t="s">
        <v>73</v>
      </c>
      <c r="D448" s="138">
        <v>0.26792750999999998</v>
      </c>
      <c r="E448" s="138">
        <v>0.39306574</v>
      </c>
      <c r="F448" s="138">
        <v>0.33921824</v>
      </c>
      <c r="G448" s="138">
        <v>0.33539541</v>
      </c>
      <c r="H448" s="24" t="s">
        <v>104</v>
      </c>
    </row>
    <row r="449" spans="1:8" x14ac:dyDescent="0.3">
      <c r="A449" s="24" t="s">
        <v>18</v>
      </c>
      <c r="B449" s="24" t="s">
        <v>105</v>
      </c>
      <c r="C449" s="24" t="s">
        <v>78</v>
      </c>
      <c r="D449" s="138">
        <v>0.73395438000000002</v>
      </c>
      <c r="E449" s="138">
        <v>1.0789999999999999E-2</v>
      </c>
      <c r="F449" s="138">
        <v>0.23463634999999999</v>
      </c>
      <c r="G449" s="138">
        <v>0.29964572</v>
      </c>
      <c r="H449" s="24" t="s">
        <v>104</v>
      </c>
    </row>
    <row r="450" spans="1:8" x14ac:dyDescent="0.3">
      <c r="A450" s="24" t="s">
        <v>18</v>
      </c>
      <c r="B450" s="24" t="s">
        <v>106</v>
      </c>
      <c r="C450" s="24" t="s">
        <v>79</v>
      </c>
      <c r="D450" s="138">
        <v>-0.2474556</v>
      </c>
      <c r="E450" s="138">
        <v>0.47939619</v>
      </c>
      <c r="F450" s="138">
        <v>0.34908143000000003</v>
      </c>
      <c r="G450" s="138">
        <v>0.38778298</v>
      </c>
      <c r="H450" s="24" t="s">
        <v>104</v>
      </c>
    </row>
    <row r="451" spans="1:8" x14ac:dyDescent="0.3">
      <c r="A451" s="24" t="s">
        <v>18</v>
      </c>
      <c r="B451" s="24" t="s">
        <v>106</v>
      </c>
      <c r="C451" s="24" t="s">
        <v>84</v>
      </c>
      <c r="D451" s="138">
        <v>-0.31616991999999999</v>
      </c>
      <c r="E451" s="138">
        <v>0.36863695000000002</v>
      </c>
      <c r="F451" s="138">
        <v>0.36385489999999998</v>
      </c>
      <c r="G451" s="138">
        <v>0.38430523999999999</v>
      </c>
      <c r="H451" s="24" t="s">
        <v>104</v>
      </c>
    </row>
    <row r="452" spans="1:8" x14ac:dyDescent="0.3">
      <c r="A452" s="24" t="s">
        <v>18</v>
      </c>
      <c r="B452" s="24" t="s">
        <v>106</v>
      </c>
      <c r="C452" s="24" t="s">
        <v>83</v>
      </c>
      <c r="D452" s="138">
        <v>-0.29704698000000002</v>
      </c>
      <c r="E452" s="138">
        <v>0.41307569</v>
      </c>
      <c r="F452" s="138">
        <v>0.37785582000000001</v>
      </c>
      <c r="G452" s="138">
        <v>0.40359869999999998</v>
      </c>
      <c r="H452" s="24" t="s">
        <v>104</v>
      </c>
    </row>
    <row r="453" spans="1:8" x14ac:dyDescent="0.3">
      <c r="A453" s="24" t="s">
        <v>18</v>
      </c>
      <c r="B453" s="24" t="s">
        <v>106</v>
      </c>
      <c r="C453" s="24" t="s">
        <v>82</v>
      </c>
      <c r="D453" s="138">
        <v>-0.64885541999999996</v>
      </c>
      <c r="E453" s="138">
        <v>7.9172590000000001E-2</v>
      </c>
      <c r="F453" s="138">
        <v>0.34365038999999997</v>
      </c>
      <c r="G453" s="138">
        <v>0.22619122999999999</v>
      </c>
      <c r="H453" s="24" t="s">
        <v>104</v>
      </c>
    </row>
    <row r="454" spans="1:8" x14ac:dyDescent="0.3">
      <c r="A454" s="24" t="s">
        <v>18</v>
      </c>
      <c r="B454" s="24" t="s">
        <v>106</v>
      </c>
      <c r="C454" s="24" t="s">
        <v>81</v>
      </c>
      <c r="D454" s="138">
        <v>7.4939909999999998E-2</v>
      </c>
      <c r="E454" s="138">
        <v>0.66686767999999996</v>
      </c>
      <c r="F454" s="138">
        <v>0.18526970000000001</v>
      </c>
      <c r="G454" s="138">
        <v>0.29551708999999998</v>
      </c>
      <c r="H454" s="24" t="s">
        <v>104</v>
      </c>
    </row>
    <row r="455" spans="1:8" x14ac:dyDescent="0.3">
      <c r="A455" s="24" t="s">
        <v>18</v>
      </c>
      <c r="B455" s="24" t="s">
        <v>106</v>
      </c>
      <c r="C455" s="24" t="s">
        <v>85</v>
      </c>
      <c r="D455" s="138">
        <v>0.27018503999999999</v>
      </c>
      <c r="E455" s="138">
        <v>0.57067064999999995</v>
      </c>
      <c r="F455" s="138">
        <v>0.50394826000000004</v>
      </c>
      <c r="G455" s="138">
        <v>0.53874699000000004</v>
      </c>
      <c r="H455" s="24" t="s">
        <v>104</v>
      </c>
    </row>
    <row r="456" spans="1:8" x14ac:dyDescent="0.3">
      <c r="A456" s="24" t="s">
        <v>18</v>
      </c>
      <c r="B456" s="24" t="s">
        <v>106</v>
      </c>
      <c r="C456" s="24" t="s">
        <v>92</v>
      </c>
      <c r="D456" s="138">
        <v>-0.28246223999999998</v>
      </c>
      <c r="E456" s="138">
        <v>0.42395662000000001</v>
      </c>
      <c r="F456" s="138">
        <v>0.36831589999999997</v>
      </c>
      <c r="G456" s="138">
        <v>0.39566744999999998</v>
      </c>
      <c r="H456" s="24" t="s">
        <v>104</v>
      </c>
    </row>
    <row r="457" spans="1:8" x14ac:dyDescent="0.3">
      <c r="A457" s="24" t="s">
        <v>18</v>
      </c>
      <c r="B457" s="24" t="s">
        <v>106</v>
      </c>
      <c r="C457" s="24" t="s">
        <v>80</v>
      </c>
      <c r="D457" s="138">
        <v>-0.28107766000000001</v>
      </c>
      <c r="E457" s="138">
        <v>0.42567592999999998</v>
      </c>
      <c r="F457" s="138">
        <v>0.36795266999999998</v>
      </c>
      <c r="G457" s="138">
        <v>0.39597823999999998</v>
      </c>
      <c r="H457" s="24" t="s">
        <v>104</v>
      </c>
    </row>
    <row r="458" spans="1:8" x14ac:dyDescent="0.3">
      <c r="A458" s="24" t="s">
        <v>18</v>
      </c>
      <c r="B458" s="24" t="s">
        <v>106</v>
      </c>
      <c r="C458" s="24" t="s">
        <v>77</v>
      </c>
      <c r="D458" s="138">
        <v>-0.30183564000000002</v>
      </c>
      <c r="E458" s="138">
        <v>0.40732831000000003</v>
      </c>
      <c r="F458" s="138">
        <v>0.37897504999999998</v>
      </c>
      <c r="G458" s="138">
        <v>0.40504465000000001</v>
      </c>
      <c r="H458" s="24" t="s">
        <v>104</v>
      </c>
    </row>
    <row r="459" spans="1:8" x14ac:dyDescent="0.3">
      <c r="A459" s="24" t="s">
        <v>18</v>
      </c>
      <c r="B459" s="24" t="s">
        <v>106</v>
      </c>
      <c r="C459" s="24" t="s">
        <v>76</v>
      </c>
      <c r="D459" s="138">
        <v>-0.40201405000000001</v>
      </c>
      <c r="E459" s="138">
        <v>0.26752641999999999</v>
      </c>
      <c r="F459" s="138">
        <v>0.36795123000000002</v>
      </c>
      <c r="G459" s="138">
        <v>0.43837395000000001</v>
      </c>
      <c r="H459" s="24" t="s">
        <v>104</v>
      </c>
    </row>
    <row r="460" spans="1:8" x14ac:dyDescent="0.3">
      <c r="A460" s="24" t="s">
        <v>18</v>
      </c>
      <c r="B460" s="24" t="s">
        <v>106</v>
      </c>
      <c r="C460" s="24" t="s">
        <v>75</v>
      </c>
      <c r="D460" s="138">
        <v>-0.35508626999999998</v>
      </c>
      <c r="E460" s="138">
        <v>0.35206831</v>
      </c>
      <c r="F460" s="138">
        <v>0.39374509000000002</v>
      </c>
      <c r="G460" s="138">
        <v>0.45241981999999997</v>
      </c>
      <c r="H460" s="24" t="s">
        <v>104</v>
      </c>
    </row>
    <row r="461" spans="1:8" x14ac:dyDescent="0.3">
      <c r="A461" s="24" t="s">
        <v>18</v>
      </c>
      <c r="B461" s="24" t="s">
        <v>106</v>
      </c>
      <c r="C461" s="24" t="s">
        <v>74</v>
      </c>
      <c r="D461" s="138">
        <v>-0.34569576000000002</v>
      </c>
      <c r="E461" s="138">
        <v>0.31522483000000001</v>
      </c>
      <c r="F461" s="138">
        <v>0.35287762</v>
      </c>
      <c r="G461" s="138">
        <v>0.33230547999999999</v>
      </c>
      <c r="H461" s="24" t="s">
        <v>104</v>
      </c>
    </row>
    <row r="462" spans="1:8" x14ac:dyDescent="0.3">
      <c r="A462" s="24" t="s">
        <v>18</v>
      </c>
      <c r="B462" s="24" t="s">
        <v>106</v>
      </c>
      <c r="C462" s="24" t="s">
        <v>73</v>
      </c>
      <c r="D462" s="138">
        <v>-0.28403099999999998</v>
      </c>
      <c r="E462" s="138">
        <v>0.47225433999999999</v>
      </c>
      <c r="F462" s="138">
        <v>0.41426782000000001</v>
      </c>
      <c r="G462" s="138">
        <v>0.408111</v>
      </c>
      <c r="H462" s="24" t="s">
        <v>104</v>
      </c>
    </row>
    <row r="463" spans="1:8" x14ac:dyDescent="0.3">
      <c r="A463" s="24" t="s">
        <v>18</v>
      </c>
      <c r="B463" s="24" t="s">
        <v>106</v>
      </c>
      <c r="C463" s="24" t="s">
        <v>78</v>
      </c>
      <c r="D463" s="138">
        <v>0.33358732000000002</v>
      </c>
      <c r="E463" s="138">
        <v>0.47471481999999998</v>
      </c>
      <c r="F463" s="138">
        <v>0.48938747999999999</v>
      </c>
      <c r="G463" s="138">
        <v>0.59476644999999995</v>
      </c>
      <c r="H463" s="24" t="s">
        <v>104</v>
      </c>
    </row>
    <row r="464" spans="1:8" x14ac:dyDescent="0.3">
      <c r="A464" s="24" t="s">
        <v>19</v>
      </c>
      <c r="B464" s="24" t="s">
        <v>95</v>
      </c>
      <c r="C464" s="24" t="s">
        <v>79</v>
      </c>
      <c r="D464" s="138">
        <v>0.55442648000000005</v>
      </c>
      <c r="E464" s="138">
        <v>0.13907479</v>
      </c>
      <c r="F464" s="138">
        <v>0.32437906999999999</v>
      </c>
      <c r="G464" s="138">
        <v>0.29283092999999999</v>
      </c>
      <c r="H464" s="24" t="s">
        <v>104</v>
      </c>
    </row>
    <row r="465" spans="1:8" x14ac:dyDescent="0.3">
      <c r="A465" s="24" t="s">
        <v>19</v>
      </c>
      <c r="B465" s="24" t="s">
        <v>95</v>
      </c>
      <c r="C465" s="24" t="s">
        <v>84</v>
      </c>
      <c r="D465" s="138">
        <v>0.20891984</v>
      </c>
      <c r="E465" s="138">
        <v>0.73133654999999997</v>
      </c>
      <c r="F465" s="138">
        <v>0.50777695</v>
      </c>
      <c r="G465" s="138">
        <v>0.58815660999999997</v>
      </c>
      <c r="H465" s="24" t="s">
        <v>104</v>
      </c>
    </row>
    <row r="466" spans="1:8" x14ac:dyDescent="0.3">
      <c r="A466" s="24" t="s">
        <v>19</v>
      </c>
      <c r="B466" s="24" t="s">
        <v>95</v>
      </c>
      <c r="C466" s="24" t="s">
        <v>83</v>
      </c>
      <c r="D466" s="138">
        <v>0.19063103000000001</v>
      </c>
      <c r="E466" s="138">
        <v>0.74960329000000003</v>
      </c>
      <c r="F466" s="138">
        <v>0.49920146999999998</v>
      </c>
      <c r="G466" s="138">
        <v>0.58611515000000003</v>
      </c>
      <c r="H466" s="24" t="s">
        <v>104</v>
      </c>
    </row>
    <row r="467" spans="1:8" x14ac:dyDescent="0.3">
      <c r="A467" s="24" t="s">
        <v>19</v>
      </c>
      <c r="B467" s="24" t="s">
        <v>95</v>
      </c>
      <c r="C467" s="24" t="s">
        <v>82</v>
      </c>
      <c r="D467" s="138">
        <v>8.0679500000000001E-2</v>
      </c>
      <c r="E467" s="138">
        <v>0.87959792000000003</v>
      </c>
      <c r="F467" s="138">
        <v>0.44851512999999998</v>
      </c>
      <c r="G467" s="138">
        <v>0.60655466999999996</v>
      </c>
      <c r="H467" s="24" t="s">
        <v>104</v>
      </c>
    </row>
    <row r="468" spans="1:8" x14ac:dyDescent="0.3">
      <c r="A468" s="24" t="s">
        <v>19</v>
      </c>
      <c r="B468" s="24" t="s">
        <v>95</v>
      </c>
      <c r="C468" s="24" t="s">
        <v>81</v>
      </c>
      <c r="D468" s="138">
        <v>0.27360394999999998</v>
      </c>
      <c r="E468" s="138">
        <v>0.65042226000000003</v>
      </c>
      <c r="F468" s="138">
        <v>0.49961660000000002</v>
      </c>
      <c r="G468" s="138">
        <v>0.62080685000000002</v>
      </c>
      <c r="H468" s="24" t="s">
        <v>104</v>
      </c>
    </row>
    <row r="469" spans="1:8" x14ac:dyDescent="0.3">
      <c r="A469" s="24" t="s">
        <v>19</v>
      </c>
      <c r="B469" s="24" t="s">
        <v>95</v>
      </c>
      <c r="C469" s="24" t="s">
        <v>85</v>
      </c>
      <c r="D469" s="138">
        <v>-0.70655663000000002</v>
      </c>
      <c r="E469" s="138">
        <v>0.13772066999999999</v>
      </c>
      <c r="F469" s="138">
        <v>0.32168479</v>
      </c>
      <c r="G469" s="138">
        <v>0.65182054</v>
      </c>
      <c r="H469" s="24" t="s">
        <v>104</v>
      </c>
    </row>
    <row r="470" spans="1:8" x14ac:dyDescent="0.3">
      <c r="A470" s="24" t="s">
        <v>19</v>
      </c>
      <c r="B470" s="24" t="s">
        <v>95</v>
      </c>
      <c r="C470" s="24" t="s">
        <v>92</v>
      </c>
      <c r="D470" s="138">
        <v>0.21423855</v>
      </c>
      <c r="E470" s="138">
        <v>0.72699873000000004</v>
      </c>
      <c r="F470" s="138">
        <v>0.51189841999999997</v>
      </c>
      <c r="G470" s="138">
        <v>0.58799816999999999</v>
      </c>
      <c r="H470" s="24" t="s">
        <v>104</v>
      </c>
    </row>
    <row r="471" spans="1:8" x14ac:dyDescent="0.3">
      <c r="A471" s="24" t="s">
        <v>19</v>
      </c>
      <c r="B471" s="24" t="s">
        <v>95</v>
      </c>
      <c r="C471" s="24" t="s">
        <v>80</v>
      </c>
      <c r="D471" s="138">
        <v>0.21929936</v>
      </c>
      <c r="E471" s="138">
        <v>0.72174716999999999</v>
      </c>
      <c r="F471" s="138">
        <v>0.51344213999999999</v>
      </c>
      <c r="G471" s="138">
        <v>0.58832293999999996</v>
      </c>
      <c r="H471" s="24" t="s">
        <v>104</v>
      </c>
    </row>
    <row r="472" spans="1:8" x14ac:dyDescent="0.3">
      <c r="A472" s="24" t="s">
        <v>19</v>
      </c>
      <c r="B472" s="24" t="s">
        <v>95</v>
      </c>
      <c r="C472" s="24" t="s">
        <v>77</v>
      </c>
      <c r="D472" s="138">
        <v>0.18946566000000001</v>
      </c>
      <c r="E472" s="138">
        <v>0.75029184999999998</v>
      </c>
      <c r="F472" s="138">
        <v>0.4975927</v>
      </c>
      <c r="G472" s="138">
        <v>0.58600571000000001</v>
      </c>
      <c r="H472" s="24" t="s">
        <v>104</v>
      </c>
    </row>
    <row r="473" spans="1:8" x14ac:dyDescent="0.3">
      <c r="A473" s="24" t="s">
        <v>19</v>
      </c>
      <c r="B473" s="24" t="s">
        <v>95</v>
      </c>
      <c r="C473" s="24" t="s">
        <v>76</v>
      </c>
      <c r="D473" s="138">
        <v>0.17603664999999999</v>
      </c>
      <c r="E473" s="138">
        <v>0.76759980000000005</v>
      </c>
      <c r="F473" s="138">
        <v>0.49856297999999999</v>
      </c>
      <c r="G473" s="138">
        <v>0.60197363999999998</v>
      </c>
      <c r="H473" s="24" t="s">
        <v>104</v>
      </c>
    </row>
    <row r="474" spans="1:8" x14ac:dyDescent="0.3">
      <c r="A474" s="24" t="s">
        <v>19</v>
      </c>
      <c r="B474" s="24" t="s">
        <v>95</v>
      </c>
      <c r="C474" s="24" t="s">
        <v>75</v>
      </c>
      <c r="D474" s="138">
        <v>0.12846091000000001</v>
      </c>
      <c r="E474" s="138">
        <v>0.81353807</v>
      </c>
      <c r="F474" s="138">
        <v>0.45721623</v>
      </c>
      <c r="G474" s="138">
        <v>0.62668098999999999</v>
      </c>
      <c r="H474" s="24" t="s">
        <v>104</v>
      </c>
    </row>
    <row r="475" spans="1:8" x14ac:dyDescent="0.3">
      <c r="A475" s="24" t="s">
        <v>19</v>
      </c>
      <c r="B475" s="24" t="s">
        <v>95</v>
      </c>
      <c r="C475" s="24" t="s">
        <v>74</v>
      </c>
      <c r="D475" s="138">
        <v>0.22594705000000001</v>
      </c>
      <c r="E475" s="138">
        <v>0.71410328000000001</v>
      </c>
      <c r="F475" s="138">
        <v>0.51387585999999996</v>
      </c>
      <c r="G475" s="138">
        <v>0.58925512999999996</v>
      </c>
      <c r="H475" s="24" t="s">
        <v>104</v>
      </c>
    </row>
    <row r="476" spans="1:8" x14ac:dyDescent="0.3">
      <c r="A476" s="24" t="s">
        <v>19</v>
      </c>
      <c r="B476" s="24" t="s">
        <v>95</v>
      </c>
      <c r="C476" s="24" t="s">
        <v>73</v>
      </c>
      <c r="D476" s="138">
        <v>-0.64444710999999999</v>
      </c>
      <c r="E476" s="138">
        <v>0.22132927999999999</v>
      </c>
      <c r="F476" s="138">
        <v>0.38347065000000002</v>
      </c>
      <c r="G476" s="138">
        <v>0.38824107000000002</v>
      </c>
      <c r="H476" s="24" t="s">
        <v>104</v>
      </c>
    </row>
    <row r="477" spans="1:8" x14ac:dyDescent="0.3">
      <c r="A477" s="24" t="s">
        <v>19</v>
      </c>
      <c r="B477" s="24" t="s">
        <v>95</v>
      </c>
      <c r="C477" s="24" t="s">
        <v>78</v>
      </c>
      <c r="D477" s="138">
        <v>-0.66716792000000003</v>
      </c>
      <c r="E477" s="138">
        <v>0.23690823</v>
      </c>
      <c r="F477" s="138">
        <v>0.41460152</v>
      </c>
      <c r="G477" s="138">
        <v>0.61675409000000003</v>
      </c>
      <c r="H477" s="24" t="s">
        <v>104</v>
      </c>
    </row>
    <row r="478" spans="1:8" x14ac:dyDescent="0.3">
      <c r="A478" s="24" t="s">
        <v>19</v>
      </c>
      <c r="B478" s="24" t="s">
        <v>105</v>
      </c>
      <c r="C478" s="24" t="s">
        <v>79</v>
      </c>
      <c r="D478" s="138">
        <v>-0.38165718999999998</v>
      </c>
      <c r="E478" s="138">
        <v>0.27421722999999998</v>
      </c>
      <c r="F478" s="138">
        <v>0.34241468000000003</v>
      </c>
      <c r="G478" s="138">
        <v>0.33786463999999999</v>
      </c>
      <c r="H478" s="24" t="s">
        <v>104</v>
      </c>
    </row>
    <row r="479" spans="1:8" x14ac:dyDescent="0.3">
      <c r="A479" s="24" t="s">
        <v>19</v>
      </c>
      <c r="B479" s="24" t="s">
        <v>105</v>
      </c>
      <c r="C479" s="24" t="s">
        <v>84</v>
      </c>
      <c r="D479" s="138">
        <v>-0.32113551000000001</v>
      </c>
      <c r="E479" s="138">
        <v>0.60487955999999998</v>
      </c>
      <c r="F479" s="138">
        <v>0.47535266999999998</v>
      </c>
      <c r="G479" s="138">
        <v>0.59599785999999999</v>
      </c>
      <c r="H479" s="24" t="s">
        <v>104</v>
      </c>
    </row>
    <row r="480" spans="1:8" x14ac:dyDescent="0.3">
      <c r="A480" s="24" t="s">
        <v>19</v>
      </c>
      <c r="B480" s="24" t="s">
        <v>105</v>
      </c>
      <c r="C480" s="24" t="s">
        <v>83</v>
      </c>
      <c r="D480" s="138">
        <v>-0.35164252000000001</v>
      </c>
      <c r="E480" s="138">
        <v>0.54552696000000001</v>
      </c>
      <c r="F480" s="138">
        <v>0.44133204999999998</v>
      </c>
      <c r="G480" s="138">
        <v>0.58115547000000001</v>
      </c>
      <c r="H480" s="24" t="s">
        <v>104</v>
      </c>
    </row>
    <row r="481" spans="1:8" x14ac:dyDescent="0.3">
      <c r="A481" s="24" t="s">
        <v>19</v>
      </c>
      <c r="B481" s="24" t="s">
        <v>105</v>
      </c>
      <c r="C481" s="24" t="s">
        <v>82</v>
      </c>
      <c r="D481" s="138">
        <v>-0.58628442000000003</v>
      </c>
      <c r="E481" s="138">
        <v>0.17424997</v>
      </c>
      <c r="F481" s="138">
        <v>0.28194112999999998</v>
      </c>
      <c r="G481" s="138">
        <v>0.46184603000000002</v>
      </c>
      <c r="H481" s="24" t="s">
        <v>104</v>
      </c>
    </row>
    <row r="482" spans="1:8" x14ac:dyDescent="0.3">
      <c r="A482" s="24" t="s">
        <v>19</v>
      </c>
      <c r="B482" s="24" t="s">
        <v>105</v>
      </c>
      <c r="C482" s="24" t="s">
        <v>81</v>
      </c>
      <c r="D482" s="138">
        <v>-0.10354985999999999</v>
      </c>
      <c r="E482" s="138">
        <v>0.88788138999999999</v>
      </c>
      <c r="F482" s="138">
        <v>0.57603269999999995</v>
      </c>
      <c r="G482" s="138">
        <v>0.70125979000000005</v>
      </c>
      <c r="H482" s="24" t="s">
        <v>104</v>
      </c>
    </row>
    <row r="483" spans="1:8" x14ac:dyDescent="0.3">
      <c r="A483" s="24" t="s">
        <v>19</v>
      </c>
      <c r="B483" s="24" t="s">
        <v>105</v>
      </c>
      <c r="C483" s="24" t="s">
        <v>85</v>
      </c>
      <c r="D483" s="138">
        <v>-0.24233732999999999</v>
      </c>
      <c r="E483" s="138">
        <v>0.61533325000000005</v>
      </c>
      <c r="F483" s="138">
        <v>0.36990853000000001</v>
      </c>
      <c r="G483" s="138">
        <v>0.61179857999999998</v>
      </c>
      <c r="H483" s="24" t="s">
        <v>104</v>
      </c>
    </row>
    <row r="484" spans="1:8" x14ac:dyDescent="0.3">
      <c r="A484" s="24" t="s">
        <v>19</v>
      </c>
      <c r="B484" s="24" t="s">
        <v>105</v>
      </c>
      <c r="C484" s="24" t="s">
        <v>92</v>
      </c>
      <c r="D484" s="138">
        <v>-0.33270518999999998</v>
      </c>
      <c r="E484" s="138">
        <v>0.58527328999999995</v>
      </c>
      <c r="F484" s="138">
        <v>0.46558087999999997</v>
      </c>
      <c r="G484" s="138">
        <v>0.58787889999999998</v>
      </c>
      <c r="H484" s="24" t="s">
        <v>104</v>
      </c>
    </row>
    <row r="485" spans="1:8" x14ac:dyDescent="0.3">
      <c r="A485" s="24" t="s">
        <v>19</v>
      </c>
      <c r="B485" s="24" t="s">
        <v>105</v>
      </c>
      <c r="C485" s="24" t="s">
        <v>80</v>
      </c>
      <c r="D485" s="138">
        <v>-0.32381932000000002</v>
      </c>
      <c r="E485" s="138">
        <v>0.59988812999999996</v>
      </c>
      <c r="F485" s="138">
        <v>0.47243735999999997</v>
      </c>
      <c r="G485" s="138">
        <v>0.59125910999999998</v>
      </c>
      <c r="H485" s="24" t="s">
        <v>104</v>
      </c>
    </row>
    <row r="486" spans="1:8" x14ac:dyDescent="0.3">
      <c r="A486" s="24" t="s">
        <v>19</v>
      </c>
      <c r="B486" s="24" t="s">
        <v>105</v>
      </c>
      <c r="C486" s="24" t="s">
        <v>77</v>
      </c>
      <c r="D486" s="138">
        <v>-0.34969135000000001</v>
      </c>
      <c r="E486" s="138">
        <v>0.54512366000000001</v>
      </c>
      <c r="F486" s="138">
        <v>0.43841180000000002</v>
      </c>
      <c r="G486" s="138">
        <v>0.58108778000000005</v>
      </c>
      <c r="H486" s="24" t="s">
        <v>104</v>
      </c>
    </row>
    <row r="487" spans="1:8" x14ac:dyDescent="0.3">
      <c r="A487" s="24" t="s">
        <v>19</v>
      </c>
      <c r="B487" s="24" t="s">
        <v>105</v>
      </c>
      <c r="C487" s="24" t="s">
        <v>76</v>
      </c>
      <c r="D487" s="138">
        <v>-0.40125328999999998</v>
      </c>
      <c r="E487" s="138">
        <v>0.43341897000000001</v>
      </c>
      <c r="F487" s="138">
        <v>0.37928696000000001</v>
      </c>
      <c r="G487" s="138">
        <v>0.56049077000000003</v>
      </c>
      <c r="H487" s="24" t="s">
        <v>104</v>
      </c>
    </row>
    <row r="488" spans="1:8" x14ac:dyDescent="0.3">
      <c r="A488" s="24" t="s">
        <v>19</v>
      </c>
      <c r="B488" s="24" t="s">
        <v>105</v>
      </c>
      <c r="C488" s="24" t="s">
        <v>75</v>
      </c>
      <c r="D488" s="138">
        <v>-0.35391278999999998</v>
      </c>
      <c r="E488" s="138">
        <v>0.46175948999999999</v>
      </c>
      <c r="F488" s="138">
        <v>0.35861206000000001</v>
      </c>
      <c r="G488" s="138">
        <v>0.62467139999999999</v>
      </c>
      <c r="H488" s="24" t="s">
        <v>104</v>
      </c>
    </row>
    <row r="489" spans="1:8" x14ac:dyDescent="0.3">
      <c r="A489" s="24" t="s">
        <v>19</v>
      </c>
      <c r="B489" s="24" t="s">
        <v>105</v>
      </c>
      <c r="C489" s="24" t="s">
        <v>74</v>
      </c>
      <c r="D489" s="138">
        <v>-0.27898592</v>
      </c>
      <c r="E489" s="138">
        <v>0.67248591999999996</v>
      </c>
      <c r="F489" s="138">
        <v>0.50978109000000005</v>
      </c>
      <c r="G489" s="138">
        <v>0.62935231000000003</v>
      </c>
      <c r="H489" s="24" t="s">
        <v>104</v>
      </c>
    </row>
    <row r="490" spans="1:8" x14ac:dyDescent="0.3">
      <c r="A490" s="24" t="s">
        <v>19</v>
      </c>
      <c r="B490" s="24" t="s">
        <v>105</v>
      </c>
      <c r="C490" s="24" t="s">
        <v>73</v>
      </c>
      <c r="D490" s="138">
        <v>-0.78587235</v>
      </c>
      <c r="E490" s="138">
        <v>1.1812599999999999E-2</v>
      </c>
      <c r="F490" s="138">
        <v>0.12180054</v>
      </c>
      <c r="G490" s="138">
        <v>0.54665328000000002</v>
      </c>
      <c r="H490" s="24" t="s">
        <v>104</v>
      </c>
    </row>
    <row r="491" spans="1:8" x14ac:dyDescent="0.3">
      <c r="A491" s="24" t="s">
        <v>19</v>
      </c>
      <c r="B491" s="24" t="s">
        <v>105</v>
      </c>
      <c r="C491" s="24" t="s">
        <v>78</v>
      </c>
      <c r="D491" s="138">
        <v>-0.10708932</v>
      </c>
      <c r="E491" s="138">
        <v>0.84096369000000004</v>
      </c>
      <c r="F491" s="138">
        <v>0.41774528999999999</v>
      </c>
      <c r="G491" s="138">
        <v>0.61528223999999998</v>
      </c>
      <c r="H491" s="24" t="s">
        <v>104</v>
      </c>
    </row>
    <row r="492" spans="1:8" x14ac:dyDescent="0.3">
      <c r="A492" s="24" t="s">
        <v>19</v>
      </c>
      <c r="B492" s="24" t="s">
        <v>106</v>
      </c>
      <c r="C492" s="24" t="s">
        <v>79</v>
      </c>
      <c r="D492" s="138">
        <v>0.15356269</v>
      </c>
      <c r="E492" s="138">
        <v>0.70226752999999997</v>
      </c>
      <c r="F492" s="138">
        <v>0.42312050000000001</v>
      </c>
      <c r="G492" s="138">
        <v>0.38165270000000001</v>
      </c>
      <c r="H492" s="24" t="s">
        <v>104</v>
      </c>
    </row>
    <row r="493" spans="1:8" x14ac:dyDescent="0.3">
      <c r="A493" s="24" t="s">
        <v>19</v>
      </c>
      <c r="B493" s="24" t="s">
        <v>106</v>
      </c>
      <c r="C493" s="24" t="s">
        <v>84</v>
      </c>
      <c r="D493" s="138">
        <v>-2.267856E-2</v>
      </c>
      <c r="E493" s="138">
        <v>0.97177838000000005</v>
      </c>
      <c r="F493" s="138">
        <v>0.72225209000000001</v>
      </c>
      <c r="G493" s="138">
        <v>0.60400264000000004</v>
      </c>
      <c r="H493" s="24" t="s">
        <v>104</v>
      </c>
    </row>
    <row r="494" spans="1:8" x14ac:dyDescent="0.3">
      <c r="A494" s="24" t="s">
        <v>19</v>
      </c>
      <c r="B494" s="24" t="s">
        <v>106</v>
      </c>
      <c r="C494" s="24" t="s">
        <v>83</v>
      </c>
      <c r="D494" s="138">
        <v>-4.8087520000000002E-2</v>
      </c>
      <c r="E494" s="138">
        <v>0.93782641</v>
      </c>
      <c r="F494" s="138">
        <v>0.69427634999999999</v>
      </c>
      <c r="G494" s="138">
        <v>0.59447388999999995</v>
      </c>
      <c r="H494" s="24" t="s">
        <v>104</v>
      </c>
    </row>
    <row r="495" spans="1:8" x14ac:dyDescent="0.3">
      <c r="A495" s="24" t="s">
        <v>19</v>
      </c>
      <c r="B495" s="24" t="s">
        <v>106</v>
      </c>
      <c r="C495" s="24" t="s">
        <v>82</v>
      </c>
      <c r="D495" s="138">
        <v>-0.22478855</v>
      </c>
      <c r="E495" s="138">
        <v>0.65281486</v>
      </c>
      <c r="F495" s="138">
        <v>0.55226889999999995</v>
      </c>
      <c r="G495" s="138">
        <v>0.58360387999999996</v>
      </c>
      <c r="H495" s="24" t="s">
        <v>104</v>
      </c>
    </row>
    <row r="496" spans="1:8" x14ac:dyDescent="0.3">
      <c r="A496" s="24" t="s">
        <v>19</v>
      </c>
      <c r="B496" s="24" t="s">
        <v>106</v>
      </c>
      <c r="C496" s="24" t="s">
        <v>81</v>
      </c>
      <c r="D496" s="138">
        <v>0.11844825</v>
      </c>
      <c r="E496" s="138">
        <v>0.86508041000000002</v>
      </c>
      <c r="F496" s="138">
        <v>0.78337873000000002</v>
      </c>
      <c r="G496" s="138">
        <v>0.66705707000000003</v>
      </c>
      <c r="H496" s="24" t="s">
        <v>104</v>
      </c>
    </row>
    <row r="497" spans="1:8" x14ac:dyDescent="0.3">
      <c r="A497" s="24" t="s">
        <v>19</v>
      </c>
      <c r="B497" s="24" t="s">
        <v>106</v>
      </c>
      <c r="C497" s="24" t="s">
        <v>85</v>
      </c>
      <c r="D497" s="138">
        <v>-0.54409819999999998</v>
      </c>
      <c r="E497" s="138">
        <v>0.27066252000000002</v>
      </c>
      <c r="F497" s="138">
        <v>0.49399442999999998</v>
      </c>
      <c r="G497" s="138">
        <v>0.60366048999999999</v>
      </c>
      <c r="H497" s="24" t="s">
        <v>104</v>
      </c>
    </row>
    <row r="498" spans="1:8" x14ac:dyDescent="0.3">
      <c r="A498" s="24" t="s">
        <v>19</v>
      </c>
      <c r="B498" s="24" t="s">
        <v>106</v>
      </c>
      <c r="C498" s="24" t="s">
        <v>92</v>
      </c>
      <c r="D498" s="138">
        <v>-2.4842090000000001E-2</v>
      </c>
      <c r="E498" s="138">
        <v>0.96897286000000005</v>
      </c>
      <c r="F498" s="138">
        <v>0.71956914999999999</v>
      </c>
      <c r="G498" s="138">
        <v>0.60087699999999999</v>
      </c>
      <c r="H498" s="24" t="s">
        <v>104</v>
      </c>
    </row>
    <row r="499" spans="1:8" x14ac:dyDescent="0.3">
      <c r="A499" s="24" t="s">
        <v>19</v>
      </c>
      <c r="B499" s="24" t="s">
        <v>106</v>
      </c>
      <c r="C499" s="24" t="s">
        <v>80</v>
      </c>
      <c r="D499" s="138">
        <v>-1.7603489999999999E-2</v>
      </c>
      <c r="E499" s="138">
        <v>0.97817646999999996</v>
      </c>
      <c r="F499" s="138">
        <v>0.72508125000000001</v>
      </c>
      <c r="G499" s="138">
        <v>0.60232554999999999</v>
      </c>
      <c r="H499" s="24" t="s">
        <v>104</v>
      </c>
    </row>
    <row r="500" spans="1:8" x14ac:dyDescent="0.3">
      <c r="A500" s="24" t="s">
        <v>19</v>
      </c>
      <c r="B500" s="24" t="s">
        <v>106</v>
      </c>
      <c r="C500" s="24" t="s">
        <v>77</v>
      </c>
      <c r="D500" s="138">
        <v>-4.7886320000000003E-2</v>
      </c>
      <c r="E500" s="138">
        <v>0.93779593999999999</v>
      </c>
      <c r="F500" s="138">
        <v>0.69103196</v>
      </c>
      <c r="G500" s="138">
        <v>0.59322664000000003</v>
      </c>
      <c r="H500" s="24" t="s">
        <v>104</v>
      </c>
    </row>
    <row r="501" spans="1:8" x14ac:dyDescent="0.3">
      <c r="A501" s="24" t="s">
        <v>19</v>
      </c>
      <c r="B501" s="24" t="s">
        <v>106</v>
      </c>
      <c r="C501" s="24" t="s">
        <v>76</v>
      </c>
      <c r="D501" s="138">
        <v>-8.017138E-2</v>
      </c>
      <c r="E501" s="138">
        <v>0.89061838999999998</v>
      </c>
      <c r="F501" s="138">
        <v>0.65572788000000004</v>
      </c>
      <c r="G501" s="138">
        <v>0.59309241000000001</v>
      </c>
      <c r="H501" s="24" t="s">
        <v>104</v>
      </c>
    </row>
    <row r="502" spans="1:8" x14ac:dyDescent="0.3">
      <c r="A502" s="24" t="s">
        <v>19</v>
      </c>
      <c r="B502" s="24" t="s">
        <v>106</v>
      </c>
      <c r="C502" s="24" t="s">
        <v>75</v>
      </c>
      <c r="D502" s="138">
        <v>-8.7058960000000005E-2</v>
      </c>
      <c r="E502" s="138">
        <v>0.86963999000000003</v>
      </c>
      <c r="F502" s="138">
        <v>0.59622072000000004</v>
      </c>
      <c r="G502" s="138">
        <v>0.62311689999999997</v>
      </c>
      <c r="H502" s="24" t="s">
        <v>104</v>
      </c>
    </row>
    <row r="503" spans="1:8" x14ac:dyDescent="0.3">
      <c r="A503" s="24" t="s">
        <v>19</v>
      </c>
      <c r="B503" s="24" t="s">
        <v>106</v>
      </c>
      <c r="C503" s="24" t="s">
        <v>74</v>
      </c>
      <c r="D503" s="138">
        <v>7.4019899999999998E-3</v>
      </c>
      <c r="E503" s="138">
        <v>0.99111061</v>
      </c>
      <c r="F503" s="138">
        <v>0.74861485999999999</v>
      </c>
      <c r="G503" s="138">
        <v>0.61936880000000005</v>
      </c>
      <c r="H503" s="24" t="s">
        <v>104</v>
      </c>
    </row>
    <row r="504" spans="1:8" x14ac:dyDescent="0.3">
      <c r="A504" s="24" t="s">
        <v>19</v>
      </c>
      <c r="B504" s="24" t="s">
        <v>106</v>
      </c>
      <c r="C504" s="24" t="s">
        <v>73</v>
      </c>
      <c r="D504" s="138">
        <v>-0.76023257</v>
      </c>
      <c r="E504" s="138">
        <v>7.5392979999999998E-2</v>
      </c>
      <c r="F504" s="138">
        <v>0.34764171999999999</v>
      </c>
      <c r="G504" s="138">
        <v>0.40710813000000001</v>
      </c>
      <c r="H504" s="24" t="s">
        <v>104</v>
      </c>
    </row>
    <row r="505" spans="1:8" x14ac:dyDescent="0.3">
      <c r="A505" s="24" t="s">
        <v>19</v>
      </c>
      <c r="B505" s="24" t="s">
        <v>106</v>
      </c>
      <c r="C505" s="24" t="s">
        <v>78</v>
      </c>
      <c r="D505" s="138">
        <v>-0.45687472000000001</v>
      </c>
      <c r="E505" s="138">
        <v>0.43062824</v>
      </c>
      <c r="F505" s="138">
        <v>0.61511733000000002</v>
      </c>
      <c r="G505" s="138">
        <v>0.59334160000000002</v>
      </c>
      <c r="H505" s="24" t="s">
        <v>104</v>
      </c>
    </row>
    <row r="506" spans="1:8" x14ac:dyDescent="0.3">
      <c r="A506" s="24" t="s">
        <v>20</v>
      </c>
      <c r="B506" s="24" t="s">
        <v>95</v>
      </c>
      <c r="C506" s="24" t="s">
        <v>79</v>
      </c>
      <c r="D506" s="138">
        <v>0.55467232</v>
      </c>
      <c r="E506" s="138">
        <v>0.204517</v>
      </c>
      <c r="F506" s="138">
        <v>0.46215808000000003</v>
      </c>
      <c r="G506" s="138">
        <v>0.26797775000000001</v>
      </c>
      <c r="H506" s="24" t="s">
        <v>104</v>
      </c>
    </row>
    <row r="507" spans="1:8" x14ac:dyDescent="0.3">
      <c r="A507" s="24" t="s">
        <v>20</v>
      </c>
      <c r="B507" s="24" t="s">
        <v>95</v>
      </c>
      <c r="C507" s="24" t="s">
        <v>84</v>
      </c>
      <c r="D507" s="138">
        <v>-0.46455109999999999</v>
      </c>
      <c r="E507" s="138">
        <v>0.30539484</v>
      </c>
      <c r="F507" s="138">
        <v>6.7946800000000002E-2</v>
      </c>
      <c r="G507" s="138">
        <v>0.47212655999999997</v>
      </c>
      <c r="H507" s="24" t="s">
        <v>104</v>
      </c>
    </row>
    <row r="508" spans="1:8" x14ac:dyDescent="0.3">
      <c r="A508" s="24" t="s">
        <v>20</v>
      </c>
      <c r="B508" s="24" t="s">
        <v>95</v>
      </c>
      <c r="C508" s="24" t="s">
        <v>83</v>
      </c>
      <c r="D508" s="138">
        <v>-0.45243065999999998</v>
      </c>
      <c r="E508" s="138">
        <v>0.3191253</v>
      </c>
      <c r="F508" s="138">
        <v>6.8476410000000001E-2</v>
      </c>
      <c r="G508" s="138">
        <v>0.46849387999999997</v>
      </c>
      <c r="H508" s="24" t="s">
        <v>104</v>
      </c>
    </row>
    <row r="509" spans="1:8" x14ac:dyDescent="0.3">
      <c r="A509" s="24" t="s">
        <v>20</v>
      </c>
      <c r="B509" s="24" t="s">
        <v>95</v>
      </c>
      <c r="C509" s="24" t="s">
        <v>82</v>
      </c>
      <c r="D509" s="138">
        <v>-0.32062986999999998</v>
      </c>
      <c r="E509" s="138">
        <v>0.54515033000000002</v>
      </c>
      <c r="F509" s="138">
        <v>8.5002889999999998E-2</v>
      </c>
      <c r="G509" s="138">
        <v>0.64349911000000004</v>
      </c>
      <c r="H509" s="24" t="s">
        <v>104</v>
      </c>
    </row>
    <row r="510" spans="1:8" x14ac:dyDescent="0.3">
      <c r="A510" s="24" t="s">
        <v>20</v>
      </c>
      <c r="B510" s="24" t="s">
        <v>95</v>
      </c>
      <c r="C510" s="24" t="s">
        <v>81</v>
      </c>
      <c r="D510" s="138">
        <v>-0.16775517000000001</v>
      </c>
      <c r="E510" s="138">
        <v>0.74505979</v>
      </c>
      <c r="F510" s="138">
        <v>8.485798E-2</v>
      </c>
      <c r="G510" s="138">
        <v>0.62115167000000004</v>
      </c>
      <c r="H510" s="24" t="s">
        <v>104</v>
      </c>
    </row>
    <row r="511" spans="1:8" x14ac:dyDescent="0.3">
      <c r="A511" s="24" t="s">
        <v>20</v>
      </c>
      <c r="B511" s="24" t="s">
        <v>95</v>
      </c>
      <c r="C511" s="24" t="s">
        <v>85</v>
      </c>
      <c r="D511" s="138">
        <v>0.34069316999999999</v>
      </c>
      <c r="E511" s="138">
        <v>0.27407488000000002</v>
      </c>
      <c r="F511" s="138">
        <v>4.601421E-2</v>
      </c>
      <c r="G511" s="138">
        <v>0.53988278999999995</v>
      </c>
      <c r="H511" s="24" t="s">
        <v>104</v>
      </c>
    </row>
    <row r="512" spans="1:8" x14ac:dyDescent="0.3">
      <c r="A512" s="24" t="s">
        <v>20</v>
      </c>
      <c r="B512" s="24" t="s">
        <v>95</v>
      </c>
      <c r="C512" s="24" t="s">
        <v>92</v>
      </c>
      <c r="D512" s="138">
        <v>-0.28005981000000002</v>
      </c>
      <c r="E512" s="138">
        <v>0.26581194000000002</v>
      </c>
      <c r="F512" s="138">
        <v>3.7019969999999999E-2</v>
      </c>
      <c r="G512" s="138">
        <v>0.52806947000000004</v>
      </c>
      <c r="H512" s="24" t="s">
        <v>104</v>
      </c>
    </row>
    <row r="513" spans="1:8" x14ac:dyDescent="0.3">
      <c r="A513" s="24" t="s">
        <v>20</v>
      </c>
      <c r="B513" s="24" t="s">
        <v>95</v>
      </c>
      <c r="C513" s="24" t="s">
        <v>80</v>
      </c>
      <c r="D513" s="138">
        <v>-0.26220954000000002</v>
      </c>
      <c r="E513" s="138">
        <v>0.24736387000000001</v>
      </c>
      <c r="F513" s="138">
        <v>3.3004029999999997E-2</v>
      </c>
      <c r="G513" s="138">
        <v>0.52704938000000001</v>
      </c>
      <c r="H513" s="24" t="s">
        <v>104</v>
      </c>
    </row>
    <row r="514" spans="1:8" x14ac:dyDescent="0.3">
      <c r="A514" s="24" t="s">
        <v>20</v>
      </c>
      <c r="B514" s="24" t="s">
        <v>95</v>
      </c>
      <c r="C514" s="24" t="s">
        <v>77</v>
      </c>
      <c r="D514" s="138">
        <v>-0.45443509999999998</v>
      </c>
      <c r="E514" s="138">
        <v>0.31771376000000001</v>
      </c>
      <c r="F514" s="138">
        <v>6.8539509999999998E-2</v>
      </c>
      <c r="G514" s="138">
        <v>0.46833921000000001</v>
      </c>
      <c r="H514" s="24" t="s">
        <v>104</v>
      </c>
    </row>
    <row r="515" spans="1:8" x14ac:dyDescent="0.3">
      <c r="A515" s="24" t="s">
        <v>20</v>
      </c>
      <c r="B515" s="24" t="s">
        <v>95</v>
      </c>
      <c r="C515" s="24" t="s">
        <v>76</v>
      </c>
      <c r="D515" s="138">
        <v>7.1268600000000001E-2</v>
      </c>
      <c r="E515" s="138">
        <v>0.90614397999999996</v>
      </c>
      <c r="F515" s="138">
        <v>0.1002979</v>
      </c>
      <c r="G515" s="138">
        <v>0.67714613000000001</v>
      </c>
      <c r="H515" s="24" t="s">
        <v>104</v>
      </c>
    </row>
    <row r="516" spans="1:8" x14ac:dyDescent="0.3">
      <c r="A516" s="24" t="s">
        <v>20</v>
      </c>
      <c r="B516" s="24" t="s">
        <v>95</v>
      </c>
      <c r="C516" s="24" t="s">
        <v>75</v>
      </c>
      <c r="D516" s="138">
        <v>-0.12449237</v>
      </c>
      <c r="E516" s="138">
        <v>0.73109521</v>
      </c>
      <c r="F516" s="138">
        <v>5.9511639999999998E-2</v>
      </c>
      <c r="G516" s="138">
        <v>0.53156793999999996</v>
      </c>
      <c r="H516" s="24" t="s">
        <v>104</v>
      </c>
    </row>
    <row r="517" spans="1:8" x14ac:dyDescent="0.3">
      <c r="A517" s="24" t="s">
        <v>20</v>
      </c>
      <c r="B517" s="24" t="s">
        <v>95</v>
      </c>
      <c r="C517" s="24" t="s">
        <v>74</v>
      </c>
      <c r="D517" s="138">
        <v>-0.53183577999999998</v>
      </c>
      <c r="E517" s="138">
        <v>0.28564930999999999</v>
      </c>
      <c r="F517" s="138">
        <v>7.3999999999999996E-2</v>
      </c>
      <c r="G517" s="138">
        <v>0.51834617999999999</v>
      </c>
      <c r="H517" s="24" t="s">
        <v>104</v>
      </c>
    </row>
    <row r="518" spans="1:8" x14ac:dyDescent="0.3">
      <c r="A518" s="24" t="s">
        <v>20</v>
      </c>
      <c r="B518" s="24" t="s">
        <v>95</v>
      </c>
      <c r="C518" s="24" t="s">
        <v>73</v>
      </c>
      <c r="D518" s="138">
        <v>0.13519882</v>
      </c>
      <c r="E518" s="138">
        <v>0.38177203999999998</v>
      </c>
      <c r="F518" s="138">
        <v>2.3843110000000001E-2</v>
      </c>
      <c r="G518" s="138">
        <v>0.51854971999999999</v>
      </c>
      <c r="H518" s="24" t="s">
        <v>104</v>
      </c>
    </row>
    <row r="519" spans="1:8" x14ac:dyDescent="0.3">
      <c r="A519" s="24" t="s">
        <v>20</v>
      </c>
      <c r="B519" s="24" t="s">
        <v>95</v>
      </c>
      <c r="C519" s="24" t="s">
        <v>78</v>
      </c>
      <c r="D519" s="138">
        <v>0.33106950000000002</v>
      </c>
      <c r="E519" s="138">
        <v>0.26320162000000003</v>
      </c>
      <c r="F519" s="138">
        <v>4.3464120000000002E-2</v>
      </c>
      <c r="G519" s="138">
        <v>0.53783475000000003</v>
      </c>
      <c r="H519" s="24" t="s">
        <v>104</v>
      </c>
    </row>
    <row r="520" spans="1:8" x14ac:dyDescent="0.3">
      <c r="A520" s="24" t="s">
        <v>20</v>
      </c>
      <c r="B520" s="24" t="s">
        <v>105</v>
      </c>
      <c r="C520" s="24" t="s">
        <v>79</v>
      </c>
      <c r="D520" s="138">
        <v>0.34989044000000002</v>
      </c>
      <c r="E520" s="138">
        <v>0.38441106000000003</v>
      </c>
      <c r="F520" s="138">
        <v>0.41692272000000002</v>
      </c>
      <c r="G520" s="138">
        <v>0.39490089</v>
      </c>
      <c r="H520" s="24" t="s">
        <v>104</v>
      </c>
    </row>
    <row r="521" spans="1:8" x14ac:dyDescent="0.3">
      <c r="A521" s="24" t="s">
        <v>20</v>
      </c>
      <c r="B521" s="24" t="s">
        <v>105</v>
      </c>
      <c r="C521" s="24" t="s">
        <v>84</v>
      </c>
      <c r="D521" s="138">
        <v>0.69329472000000003</v>
      </c>
      <c r="E521" s="138">
        <v>8.7367689999999998E-2</v>
      </c>
      <c r="F521" s="138">
        <v>0.27713421999999999</v>
      </c>
      <c r="G521" s="138">
        <v>0.58168724000000005</v>
      </c>
      <c r="H521" s="24" t="s">
        <v>104</v>
      </c>
    </row>
    <row r="522" spans="1:8" x14ac:dyDescent="0.3">
      <c r="A522" s="24" t="s">
        <v>20</v>
      </c>
      <c r="B522" s="24" t="s">
        <v>105</v>
      </c>
      <c r="C522" s="24" t="s">
        <v>83</v>
      </c>
      <c r="D522" s="138">
        <v>0.43148950000000003</v>
      </c>
      <c r="E522" s="138">
        <v>6.1562489999999997E-2</v>
      </c>
      <c r="F522" s="138">
        <v>0.14799956</v>
      </c>
      <c r="G522" s="138">
        <v>0.58700755999999998</v>
      </c>
      <c r="H522" s="24" t="s">
        <v>104</v>
      </c>
    </row>
    <row r="523" spans="1:8" x14ac:dyDescent="0.3">
      <c r="A523" s="24" t="s">
        <v>20</v>
      </c>
      <c r="B523" s="24" t="s">
        <v>105</v>
      </c>
      <c r="C523" s="24" t="s">
        <v>82</v>
      </c>
      <c r="D523" s="138">
        <v>5.1091299999999999E-3</v>
      </c>
      <c r="E523" s="138">
        <v>0.99321908999999997</v>
      </c>
      <c r="F523" s="138">
        <v>0.55446740000000005</v>
      </c>
      <c r="G523" s="138">
        <v>0.64916035000000005</v>
      </c>
      <c r="H523" s="24" t="s">
        <v>104</v>
      </c>
    </row>
    <row r="524" spans="1:8" x14ac:dyDescent="0.3">
      <c r="A524" s="24" t="s">
        <v>20</v>
      </c>
      <c r="B524" s="24" t="s">
        <v>105</v>
      </c>
      <c r="C524" s="24" t="s">
        <v>81</v>
      </c>
      <c r="D524" s="138">
        <v>-0.14600763</v>
      </c>
      <c r="E524" s="138">
        <v>0.80696159999999995</v>
      </c>
      <c r="F524" s="138">
        <v>0.54800042999999998</v>
      </c>
      <c r="G524" s="138">
        <v>0.62147828999999999</v>
      </c>
      <c r="H524" s="24" t="s">
        <v>104</v>
      </c>
    </row>
    <row r="525" spans="1:8" x14ac:dyDescent="0.3">
      <c r="A525" s="24" t="s">
        <v>20</v>
      </c>
      <c r="B525" s="24" t="s">
        <v>105</v>
      </c>
      <c r="C525" s="24" t="s">
        <v>85</v>
      </c>
      <c r="D525" s="138">
        <v>-0.81201117</v>
      </c>
      <c r="E525" s="138">
        <v>6.3033199999999998E-2</v>
      </c>
      <c r="F525" s="138">
        <v>0.28131840000000002</v>
      </c>
      <c r="G525" s="138">
        <v>0.36912022</v>
      </c>
      <c r="H525" s="24" t="s">
        <v>104</v>
      </c>
    </row>
    <row r="526" spans="1:8" x14ac:dyDescent="0.3">
      <c r="A526" s="24" t="s">
        <v>20</v>
      </c>
      <c r="B526" s="24" t="s">
        <v>105</v>
      </c>
      <c r="C526" s="24" t="s">
        <v>92</v>
      </c>
      <c r="D526" s="138">
        <v>0.70814500000000002</v>
      </c>
      <c r="E526" s="138">
        <v>8.8395230000000005E-2</v>
      </c>
      <c r="F526" s="138">
        <v>0.28457676999999998</v>
      </c>
      <c r="G526" s="138">
        <v>0.37110091000000001</v>
      </c>
      <c r="H526" s="24" t="s">
        <v>104</v>
      </c>
    </row>
    <row r="527" spans="1:8" x14ac:dyDescent="0.3">
      <c r="A527" s="24" t="s">
        <v>20</v>
      </c>
      <c r="B527" s="24" t="s">
        <v>105</v>
      </c>
      <c r="C527" s="24" t="s">
        <v>80</v>
      </c>
      <c r="D527" s="138">
        <v>0.70491084999999998</v>
      </c>
      <c r="E527" s="138">
        <v>8.786207E-2</v>
      </c>
      <c r="F527" s="138">
        <v>0.28249974</v>
      </c>
      <c r="G527" s="138">
        <v>0.37145874000000001</v>
      </c>
      <c r="H527" s="24" t="s">
        <v>104</v>
      </c>
    </row>
    <row r="528" spans="1:8" x14ac:dyDescent="0.3">
      <c r="A528" s="24" t="s">
        <v>20</v>
      </c>
      <c r="B528" s="24" t="s">
        <v>105</v>
      </c>
      <c r="C528" s="24" t="s">
        <v>77</v>
      </c>
      <c r="D528" s="138">
        <v>0.43098757999999998</v>
      </c>
      <c r="E528" s="138">
        <v>6.3686740000000006E-2</v>
      </c>
      <c r="F528" s="138">
        <v>0.14997031</v>
      </c>
      <c r="G528" s="138">
        <v>0.58701499000000001</v>
      </c>
      <c r="H528" s="24" t="s">
        <v>104</v>
      </c>
    </row>
    <row r="529" spans="1:8" x14ac:dyDescent="0.3">
      <c r="A529" s="24" t="s">
        <v>20</v>
      </c>
      <c r="B529" s="24" t="s">
        <v>105</v>
      </c>
      <c r="C529" s="24" t="s">
        <v>76</v>
      </c>
      <c r="D529" s="138">
        <v>0.19978061999999999</v>
      </c>
      <c r="E529" s="138">
        <v>0.73283743999999995</v>
      </c>
      <c r="F529" s="138">
        <v>0.53383055000000001</v>
      </c>
      <c r="G529" s="138">
        <v>0.65670297</v>
      </c>
      <c r="H529" s="24" t="s">
        <v>104</v>
      </c>
    </row>
    <row r="530" spans="1:8" x14ac:dyDescent="0.3">
      <c r="A530" s="24" t="s">
        <v>20</v>
      </c>
      <c r="B530" s="24" t="s">
        <v>105</v>
      </c>
      <c r="C530" s="24" t="s">
        <v>75</v>
      </c>
      <c r="D530" s="138">
        <v>-0.48900155000000001</v>
      </c>
      <c r="E530" s="138">
        <v>0.26193063</v>
      </c>
      <c r="F530" s="138">
        <v>0.35518885</v>
      </c>
      <c r="G530" s="138">
        <v>0.76949703999999997</v>
      </c>
      <c r="H530" s="24" t="s">
        <v>104</v>
      </c>
    </row>
    <row r="531" spans="1:8" x14ac:dyDescent="0.3">
      <c r="A531" s="24" t="s">
        <v>20</v>
      </c>
      <c r="B531" s="24" t="s">
        <v>105</v>
      </c>
      <c r="C531" s="24" t="s">
        <v>74</v>
      </c>
      <c r="D531" s="138">
        <v>0.71133329999999995</v>
      </c>
      <c r="E531" s="138">
        <v>0.18271612000000001</v>
      </c>
      <c r="F531" s="138">
        <v>0.41246304</v>
      </c>
      <c r="G531" s="138">
        <v>0.44263603000000001</v>
      </c>
      <c r="H531" s="24" t="s">
        <v>104</v>
      </c>
    </row>
    <row r="532" spans="1:8" x14ac:dyDescent="0.3">
      <c r="A532" s="24" t="s">
        <v>20</v>
      </c>
      <c r="B532" s="24" t="s">
        <v>105</v>
      </c>
      <c r="C532" s="24" t="s">
        <v>73</v>
      </c>
      <c r="D532" s="138">
        <v>-0.66152460000000002</v>
      </c>
      <c r="E532" s="138">
        <v>9.4485920000000001E-2</v>
      </c>
      <c r="F532" s="138">
        <v>0.27408113000000001</v>
      </c>
      <c r="G532" s="138">
        <v>0.45984035000000001</v>
      </c>
      <c r="H532" s="24" t="s">
        <v>104</v>
      </c>
    </row>
    <row r="533" spans="1:8" x14ac:dyDescent="0.3">
      <c r="A533" s="24" t="s">
        <v>20</v>
      </c>
      <c r="B533" s="24" t="s">
        <v>105</v>
      </c>
      <c r="C533" s="24" t="s">
        <v>78</v>
      </c>
      <c r="D533" s="138">
        <v>-0.80511155999999995</v>
      </c>
      <c r="E533" s="138">
        <v>6.4705620000000005E-2</v>
      </c>
      <c r="F533" s="138">
        <v>0.28205491999999999</v>
      </c>
      <c r="G533" s="138">
        <v>0.36804413000000002</v>
      </c>
      <c r="H533" s="24" t="s">
        <v>104</v>
      </c>
    </row>
    <row r="534" spans="1:8" x14ac:dyDescent="0.3">
      <c r="A534" s="24" t="s">
        <v>20</v>
      </c>
      <c r="B534" s="24" t="s">
        <v>106</v>
      </c>
      <c r="C534" s="24" t="s">
        <v>79</v>
      </c>
      <c r="D534" s="138">
        <v>0.80796058000000004</v>
      </c>
      <c r="E534" s="138">
        <v>2.3315289999999999E-2</v>
      </c>
      <c r="F534" s="138">
        <v>0.31445150999999999</v>
      </c>
      <c r="G534" s="138">
        <v>0.11214441999999999</v>
      </c>
      <c r="H534" s="24" t="s">
        <v>104</v>
      </c>
    </row>
    <row r="535" spans="1:8" x14ac:dyDescent="0.3">
      <c r="A535" s="24" t="s">
        <v>20</v>
      </c>
      <c r="B535" s="24" t="s">
        <v>106</v>
      </c>
      <c r="C535" s="24" t="s">
        <v>84</v>
      </c>
      <c r="D535" s="138">
        <v>0.65309408000000002</v>
      </c>
      <c r="E535" s="138">
        <v>9.0924050000000006E-2</v>
      </c>
      <c r="F535" s="138">
        <v>0.10410562</v>
      </c>
      <c r="G535" s="138">
        <v>0.48284886999999999</v>
      </c>
      <c r="H535" s="24" t="s">
        <v>104</v>
      </c>
    </row>
    <row r="536" spans="1:8" x14ac:dyDescent="0.3">
      <c r="A536" s="24" t="s">
        <v>20</v>
      </c>
      <c r="B536" s="24" t="s">
        <v>106</v>
      </c>
      <c r="C536" s="24" t="s">
        <v>83</v>
      </c>
      <c r="D536" s="138">
        <v>0.32345462000000003</v>
      </c>
      <c r="E536" s="138">
        <v>0.33489231000000003</v>
      </c>
      <c r="F536" s="138">
        <v>0.11063895999999999</v>
      </c>
      <c r="G536" s="138">
        <v>0.63723465000000001</v>
      </c>
      <c r="H536" s="24" t="s">
        <v>104</v>
      </c>
    </row>
    <row r="537" spans="1:8" x14ac:dyDescent="0.3">
      <c r="A537" s="24" t="s">
        <v>20</v>
      </c>
      <c r="B537" s="24" t="s">
        <v>106</v>
      </c>
      <c r="C537" s="24" t="s">
        <v>82</v>
      </c>
      <c r="D537" s="138">
        <v>-0.15643593</v>
      </c>
      <c r="E537" s="138">
        <v>0.77915975999999998</v>
      </c>
      <c r="F537" s="138">
        <v>0.19998614000000001</v>
      </c>
      <c r="G537" s="138">
        <v>0.57456494999999996</v>
      </c>
      <c r="H537" s="24" t="s">
        <v>104</v>
      </c>
    </row>
    <row r="538" spans="1:8" x14ac:dyDescent="0.3">
      <c r="A538" s="24" t="s">
        <v>20</v>
      </c>
      <c r="B538" s="24" t="s">
        <v>106</v>
      </c>
      <c r="C538" s="24" t="s">
        <v>81</v>
      </c>
      <c r="D538" s="138">
        <v>-0.27255114000000003</v>
      </c>
      <c r="E538" s="138">
        <v>0.63952416000000001</v>
      </c>
      <c r="F538" s="138">
        <v>0.20580925999999999</v>
      </c>
      <c r="G538" s="138">
        <v>0.56007258000000004</v>
      </c>
      <c r="H538" s="24" t="s">
        <v>104</v>
      </c>
    </row>
    <row r="539" spans="1:8" x14ac:dyDescent="0.3">
      <c r="A539" s="24" t="s">
        <v>20</v>
      </c>
      <c r="B539" s="24" t="s">
        <v>106</v>
      </c>
      <c r="C539" s="24" t="s">
        <v>85</v>
      </c>
      <c r="D539" s="138">
        <v>-0.86832617999999995</v>
      </c>
      <c r="E539" s="138">
        <v>6.7320820000000003E-2</v>
      </c>
      <c r="F539" s="138">
        <v>0.12116143</v>
      </c>
      <c r="G539" s="138">
        <v>8.2680130000000004E-2</v>
      </c>
      <c r="H539" s="24" t="s">
        <v>104</v>
      </c>
    </row>
    <row r="540" spans="1:8" x14ac:dyDescent="0.3">
      <c r="A540" s="24" t="s">
        <v>20</v>
      </c>
      <c r="B540" s="24" t="s">
        <v>106</v>
      </c>
      <c r="C540" s="24" t="s">
        <v>92</v>
      </c>
      <c r="D540" s="138">
        <v>0.76592605000000002</v>
      </c>
      <c r="E540" s="138">
        <v>9.662635E-2</v>
      </c>
      <c r="F540" s="138">
        <v>0.12556223999999999</v>
      </c>
      <c r="G540" s="138">
        <v>8.6791980000000005E-2</v>
      </c>
      <c r="H540" s="24" t="s">
        <v>104</v>
      </c>
    </row>
    <row r="541" spans="1:8" x14ac:dyDescent="0.3">
      <c r="A541" s="24" t="s">
        <v>20</v>
      </c>
      <c r="B541" s="24" t="s">
        <v>106</v>
      </c>
      <c r="C541" s="24" t="s">
        <v>80</v>
      </c>
      <c r="D541" s="138">
        <v>0.77085183000000002</v>
      </c>
      <c r="E541" s="138">
        <v>9.6555669999999996E-2</v>
      </c>
      <c r="F541" s="138">
        <v>0.12632684</v>
      </c>
      <c r="G541" s="138">
        <v>8.6405129999999997E-2</v>
      </c>
      <c r="H541" s="24" t="s">
        <v>104</v>
      </c>
    </row>
    <row r="542" spans="1:8" x14ac:dyDescent="0.3">
      <c r="A542" s="24" t="s">
        <v>20</v>
      </c>
      <c r="B542" s="24" t="s">
        <v>106</v>
      </c>
      <c r="C542" s="24" t="s">
        <v>77</v>
      </c>
      <c r="D542" s="138">
        <v>0.32179189000000002</v>
      </c>
      <c r="E542" s="138">
        <v>0.33973706999999997</v>
      </c>
      <c r="F542" s="138">
        <v>0.11138494</v>
      </c>
      <c r="G542" s="138">
        <v>0.63726285000000005</v>
      </c>
      <c r="H542" s="24" t="s">
        <v>104</v>
      </c>
    </row>
    <row r="543" spans="1:8" x14ac:dyDescent="0.3">
      <c r="A543" s="24" t="s">
        <v>20</v>
      </c>
      <c r="B543" s="24" t="s">
        <v>106</v>
      </c>
      <c r="C543" s="24" t="s">
        <v>76</v>
      </c>
      <c r="D543" s="138">
        <v>0.29247425999999999</v>
      </c>
      <c r="E543" s="138">
        <v>0.56519814000000002</v>
      </c>
      <c r="F543" s="138">
        <v>0.17792725000000001</v>
      </c>
      <c r="G543" s="138">
        <v>0.60825225000000005</v>
      </c>
      <c r="H543" s="24" t="s">
        <v>104</v>
      </c>
    </row>
    <row r="544" spans="1:8" x14ac:dyDescent="0.3">
      <c r="A544" s="24" t="s">
        <v>20</v>
      </c>
      <c r="B544" s="24" t="s">
        <v>106</v>
      </c>
      <c r="C544" s="24" t="s">
        <v>75</v>
      </c>
      <c r="D544" s="138">
        <v>-0.69049534000000001</v>
      </c>
      <c r="E544" s="138">
        <v>0.12555105999999999</v>
      </c>
      <c r="F544" s="138">
        <v>0.12838253999999999</v>
      </c>
      <c r="G544" s="138">
        <v>0.82692533999999995</v>
      </c>
      <c r="H544" s="24" t="s">
        <v>104</v>
      </c>
    </row>
    <row r="545" spans="1:8" x14ac:dyDescent="0.3">
      <c r="A545" s="24" t="s">
        <v>20</v>
      </c>
      <c r="B545" s="24" t="s">
        <v>106</v>
      </c>
      <c r="C545" s="24" t="s">
        <v>74</v>
      </c>
      <c r="D545" s="138">
        <v>0.64202758000000004</v>
      </c>
      <c r="E545" s="138">
        <v>0.20452698</v>
      </c>
      <c r="F545" s="138">
        <v>0.15575489000000001</v>
      </c>
      <c r="G545" s="138">
        <v>0.44462621000000002</v>
      </c>
      <c r="H545" s="24" t="s">
        <v>104</v>
      </c>
    </row>
    <row r="546" spans="1:8" x14ac:dyDescent="0.3">
      <c r="A546" s="24" t="s">
        <v>20</v>
      </c>
      <c r="B546" s="24" t="s">
        <v>106</v>
      </c>
      <c r="C546" s="24" t="s">
        <v>73</v>
      </c>
      <c r="D546" s="138">
        <v>-0.77976783000000005</v>
      </c>
      <c r="E546" s="138">
        <v>9.7162600000000002E-2</v>
      </c>
      <c r="F546" s="138">
        <v>0.12816047999999999</v>
      </c>
      <c r="G546" s="138">
        <v>0.28494144999999999</v>
      </c>
      <c r="H546" s="24" t="s">
        <v>104</v>
      </c>
    </row>
    <row r="547" spans="1:8" x14ac:dyDescent="0.3">
      <c r="A547" s="24" t="s">
        <v>20</v>
      </c>
      <c r="B547" s="24" t="s">
        <v>106</v>
      </c>
      <c r="C547" s="24" t="s">
        <v>78</v>
      </c>
      <c r="D547" s="138">
        <v>-0.86436858999999999</v>
      </c>
      <c r="E547" s="138">
        <v>6.8817500000000004E-2</v>
      </c>
      <c r="F547" s="138">
        <v>0.12175672999999999</v>
      </c>
      <c r="G547" s="138">
        <v>7.9093720000000006E-2</v>
      </c>
      <c r="H547" s="24" t="s">
        <v>104</v>
      </c>
    </row>
    <row r="548" spans="1:8" x14ac:dyDescent="0.3">
      <c r="A548" s="24" t="s">
        <v>21</v>
      </c>
      <c r="B548" s="24" t="s">
        <v>95</v>
      </c>
      <c r="C548" s="24" t="s">
        <v>79</v>
      </c>
      <c r="D548" s="138">
        <v>0.82234845999999995</v>
      </c>
      <c r="E548" s="138">
        <v>2.5531760000000001E-2</v>
      </c>
      <c r="F548" s="138">
        <v>0.30823903000000002</v>
      </c>
      <c r="G548" s="138">
        <v>9.7497109999999998E-2</v>
      </c>
      <c r="H548" s="24" t="s">
        <v>104</v>
      </c>
    </row>
    <row r="549" spans="1:8" x14ac:dyDescent="0.3">
      <c r="A549" s="24" t="s">
        <v>21</v>
      </c>
      <c r="B549" s="24" t="s">
        <v>95</v>
      </c>
      <c r="C549" s="24" t="s">
        <v>84</v>
      </c>
      <c r="D549" s="138">
        <v>0.75714769000000004</v>
      </c>
      <c r="E549" s="138">
        <v>2.364523E-2</v>
      </c>
      <c r="F549" s="138">
        <v>9.9713640000000006E-2</v>
      </c>
      <c r="G549" s="138">
        <v>0.43376934</v>
      </c>
      <c r="H549" s="24" t="s">
        <v>104</v>
      </c>
    </row>
    <row r="550" spans="1:8" x14ac:dyDescent="0.3">
      <c r="A550" s="24" t="s">
        <v>21</v>
      </c>
      <c r="B550" s="24" t="s">
        <v>95</v>
      </c>
      <c r="C550" s="24" t="s">
        <v>83</v>
      </c>
      <c r="D550" s="138">
        <v>0.75108421000000003</v>
      </c>
      <c r="E550" s="138">
        <v>2.6945139999999999E-2</v>
      </c>
      <c r="F550" s="138">
        <v>0.10308489999999999</v>
      </c>
      <c r="G550" s="138">
        <v>0.43279634</v>
      </c>
      <c r="H550" s="24" t="s">
        <v>104</v>
      </c>
    </row>
    <row r="551" spans="1:8" x14ac:dyDescent="0.3">
      <c r="A551" s="24" t="s">
        <v>21</v>
      </c>
      <c r="B551" s="24" t="s">
        <v>95</v>
      </c>
      <c r="C551" s="24" t="s">
        <v>82</v>
      </c>
      <c r="D551" s="138">
        <v>0.77063846000000003</v>
      </c>
      <c r="E551" s="138">
        <v>1.5802179999999999E-2</v>
      </c>
      <c r="F551" s="138">
        <v>8.9700580000000002E-2</v>
      </c>
      <c r="G551" s="138">
        <v>0.44550907000000001</v>
      </c>
      <c r="H551" s="24" t="s">
        <v>104</v>
      </c>
    </row>
    <row r="552" spans="1:8" x14ac:dyDescent="0.3">
      <c r="A552" s="24" t="s">
        <v>21</v>
      </c>
      <c r="B552" s="24" t="s">
        <v>95</v>
      </c>
      <c r="C552" s="24" t="s">
        <v>81</v>
      </c>
      <c r="D552" s="138">
        <v>0.77846093999999999</v>
      </c>
      <c r="E552" s="138">
        <v>1.242128E-2</v>
      </c>
      <c r="F552" s="138">
        <v>8.4366120000000003E-2</v>
      </c>
      <c r="G552" s="138">
        <v>0.44897738999999998</v>
      </c>
      <c r="H552" s="24" t="s">
        <v>104</v>
      </c>
    </row>
    <row r="553" spans="1:8" x14ac:dyDescent="0.3">
      <c r="A553" s="24" t="s">
        <v>21</v>
      </c>
      <c r="B553" s="24" t="s">
        <v>95</v>
      </c>
      <c r="C553" s="24" t="s">
        <v>85</v>
      </c>
      <c r="D553" s="138">
        <v>-0.47050690000000001</v>
      </c>
      <c r="E553" s="138">
        <v>0.29692731999999999</v>
      </c>
      <c r="F553" s="138">
        <v>0.18393606000000001</v>
      </c>
      <c r="G553" s="138">
        <v>0.46210074000000001</v>
      </c>
      <c r="H553" s="24" t="s">
        <v>104</v>
      </c>
    </row>
    <row r="554" spans="1:8" x14ac:dyDescent="0.3">
      <c r="A554" s="24" t="s">
        <v>21</v>
      </c>
      <c r="B554" s="24" t="s">
        <v>95</v>
      </c>
      <c r="C554" s="24" t="s">
        <v>92</v>
      </c>
      <c r="D554" s="138">
        <v>0.74201929</v>
      </c>
      <c r="E554" s="138">
        <v>3.2868830000000002E-2</v>
      </c>
      <c r="F554" s="138">
        <v>0.10859494</v>
      </c>
      <c r="G554" s="138">
        <v>0.43744680000000002</v>
      </c>
      <c r="H554" s="24" t="s">
        <v>104</v>
      </c>
    </row>
    <row r="555" spans="1:8" x14ac:dyDescent="0.3">
      <c r="A555" s="24" t="s">
        <v>21</v>
      </c>
      <c r="B555" s="24" t="s">
        <v>95</v>
      </c>
      <c r="C555" s="24" t="s">
        <v>80</v>
      </c>
      <c r="D555" s="138">
        <v>0.74209172000000001</v>
      </c>
      <c r="E555" s="138">
        <v>3.2797199999999999E-2</v>
      </c>
      <c r="F555" s="138">
        <v>0.10852792</v>
      </c>
      <c r="G555" s="138">
        <v>0.43747354999999999</v>
      </c>
      <c r="H555" s="24" t="s">
        <v>104</v>
      </c>
    </row>
    <row r="556" spans="1:8" x14ac:dyDescent="0.3">
      <c r="A556" s="24" t="s">
        <v>21</v>
      </c>
      <c r="B556" s="24" t="s">
        <v>95</v>
      </c>
      <c r="C556" s="24" t="s">
        <v>77</v>
      </c>
      <c r="D556" s="138">
        <v>0.75554319999999997</v>
      </c>
      <c r="E556" s="138">
        <v>2.3993469999999999E-2</v>
      </c>
      <c r="F556" s="138">
        <v>9.9959820000000005E-2</v>
      </c>
      <c r="G556" s="138">
        <v>0.43412733999999997</v>
      </c>
      <c r="H556" s="24" t="s">
        <v>104</v>
      </c>
    </row>
    <row r="557" spans="1:8" x14ac:dyDescent="0.3">
      <c r="A557" s="24" t="s">
        <v>21</v>
      </c>
      <c r="B557" s="24" t="s">
        <v>95</v>
      </c>
      <c r="C557" s="24" t="s">
        <v>76</v>
      </c>
      <c r="D557" s="138">
        <v>0.72745689000000002</v>
      </c>
      <c r="E557" s="138">
        <v>4.6994000000000001E-2</v>
      </c>
      <c r="F557" s="138">
        <v>0.1201098</v>
      </c>
      <c r="G557" s="138">
        <v>0.42355311000000001</v>
      </c>
      <c r="H557" s="24" t="s">
        <v>104</v>
      </c>
    </row>
    <row r="558" spans="1:8" x14ac:dyDescent="0.3">
      <c r="A558" s="24" t="s">
        <v>21</v>
      </c>
      <c r="B558" s="24" t="s">
        <v>95</v>
      </c>
      <c r="C558" s="24" t="s">
        <v>75</v>
      </c>
      <c r="D558" s="138">
        <v>0.73419416000000004</v>
      </c>
      <c r="E558" s="138">
        <v>3.2205459999999998E-2</v>
      </c>
      <c r="F558" s="138">
        <v>0.10673515</v>
      </c>
      <c r="G558" s="138">
        <v>0.45589713999999998</v>
      </c>
      <c r="H558" s="24" t="s">
        <v>104</v>
      </c>
    </row>
    <row r="559" spans="1:8" x14ac:dyDescent="0.3">
      <c r="A559" s="24" t="s">
        <v>21</v>
      </c>
      <c r="B559" s="24" t="s">
        <v>95</v>
      </c>
      <c r="C559" s="24" t="s">
        <v>74</v>
      </c>
      <c r="D559" s="138">
        <v>0.76542401000000004</v>
      </c>
      <c r="E559" s="138">
        <v>1.9319840000000001E-2</v>
      </c>
      <c r="F559" s="138">
        <v>9.4688439999999999E-2</v>
      </c>
      <c r="G559" s="138">
        <v>0.43499776000000001</v>
      </c>
      <c r="H559" s="24" t="s">
        <v>104</v>
      </c>
    </row>
    <row r="560" spans="1:8" x14ac:dyDescent="0.3">
      <c r="A560" s="24" t="s">
        <v>21</v>
      </c>
      <c r="B560" s="24" t="s">
        <v>95</v>
      </c>
      <c r="C560" s="24" t="s">
        <v>73</v>
      </c>
      <c r="D560" s="138">
        <v>0.75285648999999999</v>
      </c>
      <c r="E560" s="138">
        <v>1.2547529999999999E-2</v>
      </c>
      <c r="F560" s="138">
        <v>8.1833840000000005E-2</v>
      </c>
      <c r="G560" s="138">
        <v>0.69996765999999999</v>
      </c>
      <c r="H560" s="24" t="s">
        <v>104</v>
      </c>
    </row>
    <row r="561" spans="1:8" x14ac:dyDescent="0.3">
      <c r="A561" s="24" t="s">
        <v>21</v>
      </c>
      <c r="B561" s="24" t="s">
        <v>95</v>
      </c>
      <c r="C561" s="24" t="s">
        <v>78</v>
      </c>
      <c r="D561" s="138">
        <v>-0.65468431000000005</v>
      </c>
      <c r="E561" s="138">
        <v>0.12777582000000001</v>
      </c>
      <c r="F561" s="138">
        <v>0.16002620000000001</v>
      </c>
      <c r="G561" s="138">
        <v>0.41849535999999998</v>
      </c>
      <c r="H561" s="24" t="s">
        <v>104</v>
      </c>
    </row>
    <row r="562" spans="1:8" x14ac:dyDescent="0.3">
      <c r="A562" s="24" t="s">
        <v>21</v>
      </c>
      <c r="B562" s="24" t="s">
        <v>105</v>
      </c>
      <c r="C562" s="24" t="s">
        <v>79</v>
      </c>
      <c r="D562" s="138">
        <v>-0.75911927999999995</v>
      </c>
      <c r="E562" s="138">
        <v>3.3008299999999998E-3</v>
      </c>
      <c r="F562" s="138">
        <v>0.18428689000000001</v>
      </c>
      <c r="G562" s="138">
        <v>0.28087243000000001</v>
      </c>
      <c r="H562" s="24" t="s">
        <v>104</v>
      </c>
    </row>
    <row r="563" spans="1:8" x14ac:dyDescent="0.3">
      <c r="A563" s="24" t="s">
        <v>21</v>
      </c>
      <c r="B563" s="24" t="s">
        <v>105</v>
      </c>
      <c r="C563" s="24" t="s">
        <v>84</v>
      </c>
      <c r="D563" s="138">
        <v>0.63370214000000002</v>
      </c>
      <c r="E563" s="138">
        <v>0.14693629999999999</v>
      </c>
      <c r="F563" s="138">
        <v>0.22034302</v>
      </c>
      <c r="G563" s="138">
        <v>0.28355539000000002</v>
      </c>
      <c r="H563" s="24" t="s">
        <v>104</v>
      </c>
    </row>
    <row r="564" spans="1:8" x14ac:dyDescent="0.3">
      <c r="A564" s="24" t="s">
        <v>21</v>
      </c>
      <c r="B564" s="24" t="s">
        <v>105</v>
      </c>
      <c r="C564" s="24" t="s">
        <v>83</v>
      </c>
      <c r="D564" s="138">
        <v>0.64073963</v>
      </c>
      <c r="E564" s="138">
        <v>0.14662459999999999</v>
      </c>
      <c r="F564" s="138">
        <v>0.22256388999999999</v>
      </c>
      <c r="G564" s="138">
        <v>0.28087287999999999</v>
      </c>
      <c r="H564" s="24" t="s">
        <v>104</v>
      </c>
    </row>
    <row r="565" spans="1:8" x14ac:dyDescent="0.3">
      <c r="A565" s="24" t="s">
        <v>21</v>
      </c>
      <c r="B565" s="24" t="s">
        <v>105</v>
      </c>
      <c r="C565" s="24" t="s">
        <v>82</v>
      </c>
      <c r="D565" s="138">
        <v>0.60588114999999998</v>
      </c>
      <c r="E565" s="138">
        <v>0.14273409000000001</v>
      </c>
      <c r="F565" s="138">
        <v>0.20778244000000001</v>
      </c>
      <c r="G565" s="138">
        <v>0.29874405999999998</v>
      </c>
      <c r="H565" s="24" t="s">
        <v>104</v>
      </c>
    </row>
    <row r="566" spans="1:8" x14ac:dyDescent="0.3">
      <c r="A566" s="24" t="s">
        <v>21</v>
      </c>
      <c r="B566" s="24" t="s">
        <v>105</v>
      </c>
      <c r="C566" s="24" t="s">
        <v>81</v>
      </c>
      <c r="D566" s="138">
        <v>0.57495929999999995</v>
      </c>
      <c r="E566" s="138">
        <v>0.14971464000000001</v>
      </c>
      <c r="F566" s="138">
        <v>0.20172420999999999</v>
      </c>
      <c r="G566" s="138">
        <v>0.30755484</v>
      </c>
      <c r="H566" s="24" t="s">
        <v>104</v>
      </c>
    </row>
    <row r="567" spans="1:8" x14ac:dyDescent="0.3">
      <c r="A567" s="24" t="s">
        <v>21</v>
      </c>
      <c r="B567" s="24" t="s">
        <v>105</v>
      </c>
      <c r="C567" s="24" t="s">
        <v>85</v>
      </c>
      <c r="D567" s="138">
        <v>-0.80437132</v>
      </c>
      <c r="E567" s="138">
        <v>1.956111E-2</v>
      </c>
      <c r="F567" s="138">
        <v>0.13314313</v>
      </c>
      <c r="G567" s="138">
        <v>0.18073622</v>
      </c>
      <c r="H567" s="24" t="s">
        <v>104</v>
      </c>
    </row>
    <row r="568" spans="1:8" x14ac:dyDescent="0.3">
      <c r="A568" s="24" t="s">
        <v>21</v>
      </c>
      <c r="B568" s="24" t="s">
        <v>105</v>
      </c>
      <c r="C568" s="24" t="s">
        <v>92</v>
      </c>
      <c r="D568" s="138">
        <v>0.65822851999999998</v>
      </c>
      <c r="E568" s="138">
        <v>0.14148032999999999</v>
      </c>
      <c r="F568" s="138">
        <v>0.22479663</v>
      </c>
      <c r="G568" s="138">
        <v>0.27615410000000001</v>
      </c>
      <c r="H568" s="24" t="s">
        <v>104</v>
      </c>
    </row>
    <row r="569" spans="1:8" x14ac:dyDescent="0.3">
      <c r="A569" s="24" t="s">
        <v>21</v>
      </c>
      <c r="B569" s="24" t="s">
        <v>105</v>
      </c>
      <c r="C569" s="24" t="s">
        <v>80</v>
      </c>
      <c r="D569" s="138">
        <v>0.65807731999999997</v>
      </c>
      <c r="E569" s="138">
        <v>0.14151045000000001</v>
      </c>
      <c r="F569" s="138">
        <v>0.22476752999999999</v>
      </c>
      <c r="G569" s="138">
        <v>0.27625292000000001</v>
      </c>
      <c r="H569" s="24" t="s">
        <v>104</v>
      </c>
    </row>
    <row r="570" spans="1:8" x14ac:dyDescent="0.3">
      <c r="A570" s="24" t="s">
        <v>21</v>
      </c>
      <c r="B570" s="24" t="s">
        <v>105</v>
      </c>
      <c r="C570" s="24" t="s">
        <v>77</v>
      </c>
      <c r="D570" s="138">
        <v>0.62806211999999995</v>
      </c>
      <c r="E570" s="138">
        <v>0.15054506000000001</v>
      </c>
      <c r="F570" s="138">
        <v>0.22094438</v>
      </c>
      <c r="G570" s="138">
        <v>0.28428874999999998</v>
      </c>
      <c r="H570" s="24" t="s">
        <v>104</v>
      </c>
    </row>
    <row r="571" spans="1:8" x14ac:dyDescent="0.3">
      <c r="A571" s="24" t="s">
        <v>21</v>
      </c>
      <c r="B571" s="24" t="s">
        <v>105</v>
      </c>
      <c r="C571" s="24" t="s">
        <v>76</v>
      </c>
      <c r="D571" s="138">
        <v>0.67684787999999996</v>
      </c>
      <c r="E571" s="138">
        <v>0.12862158000000001</v>
      </c>
      <c r="F571" s="138">
        <v>0.22119003000000001</v>
      </c>
      <c r="G571" s="138">
        <v>0.27120005000000003</v>
      </c>
      <c r="H571" s="24" t="s">
        <v>104</v>
      </c>
    </row>
    <row r="572" spans="1:8" x14ac:dyDescent="0.3">
      <c r="A572" s="24" t="s">
        <v>21</v>
      </c>
      <c r="B572" s="24" t="s">
        <v>105</v>
      </c>
      <c r="C572" s="24" t="s">
        <v>75</v>
      </c>
      <c r="D572" s="138">
        <v>0.62953528999999997</v>
      </c>
      <c r="E572" s="138">
        <v>0.15466363</v>
      </c>
      <c r="F572" s="138">
        <v>0.22438659</v>
      </c>
      <c r="G572" s="138">
        <v>0.28618798000000001</v>
      </c>
      <c r="H572" s="24" t="s">
        <v>104</v>
      </c>
    </row>
    <row r="573" spans="1:8" x14ac:dyDescent="0.3">
      <c r="A573" s="24" t="s">
        <v>21</v>
      </c>
      <c r="B573" s="24" t="s">
        <v>105</v>
      </c>
      <c r="C573" s="24" t="s">
        <v>74</v>
      </c>
      <c r="D573" s="138">
        <v>0.62127619000000001</v>
      </c>
      <c r="E573" s="138">
        <v>0.14720906</v>
      </c>
      <c r="F573" s="138">
        <v>0.21621424</v>
      </c>
      <c r="G573" s="138">
        <v>0.28862945000000001</v>
      </c>
      <c r="H573" s="24" t="s">
        <v>104</v>
      </c>
    </row>
    <row r="574" spans="1:8" x14ac:dyDescent="0.3">
      <c r="A574" s="24" t="s">
        <v>21</v>
      </c>
      <c r="B574" s="24" t="s">
        <v>105</v>
      </c>
      <c r="C574" s="24" t="s">
        <v>73</v>
      </c>
      <c r="D574" s="138">
        <v>0.18956801000000001</v>
      </c>
      <c r="E574" s="138">
        <v>0.44929228999999998</v>
      </c>
      <c r="F574" s="138">
        <v>0.14129654</v>
      </c>
      <c r="G574" s="138">
        <v>0.53615701999999998</v>
      </c>
      <c r="H574" s="24" t="s">
        <v>104</v>
      </c>
    </row>
    <row r="575" spans="1:8" x14ac:dyDescent="0.3">
      <c r="A575" s="24" t="s">
        <v>21</v>
      </c>
      <c r="B575" s="24" t="s">
        <v>105</v>
      </c>
      <c r="C575" s="24" t="s">
        <v>78</v>
      </c>
      <c r="D575" s="138">
        <v>-0.78395197999999999</v>
      </c>
      <c r="E575" s="138">
        <v>4.8337560000000002E-2</v>
      </c>
      <c r="F575" s="138">
        <v>0.17423942000000001</v>
      </c>
      <c r="G575" s="138">
        <v>0.25372929999999999</v>
      </c>
      <c r="H575" s="24" t="s">
        <v>104</v>
      </c>
    </row>
    <row r="576" spans="1:8" x14ac:dyDescent="0.3">
      <c r="A576" s="24" t="s">
        <v>21</v>
      </c>
      <c r="B576" s="24" t="s">
        <v>106</v>
      </c>
      <c r="C576" s="24" t="s">
        <v>79</v>
      </c>
      <c r="D576" s="138">
        <v>0.43250270000000002</v>
      </c>
      <c r="E576" s="138">
        <v>0.29981481999999998</v>
      </c>
      <c r="F576" s="138">
        <v>0.38904505</v>
      </c>
      <c r="G576" s="138">
        <v>0.30817488999999998</v>
      </c>
      <c r="H576" s="24" t="s">
        <v>104</v>
      </c>
    </row>
    <row r="577" spans="1:8" x14ac:dyDescent="0.3">
      <c r="A577" s="24" t="s">
        <v>21</v>
      </c>
      <c r="B577" s="24" t="s">
        <v>106</v>
      </c>
      <c r="C577" s="24" t="s">
        <v>84</v>
      </c>
      <c r="D577" s="138">
        <v>0.94404111999999996</v>
      </c>
      <c r="E577" s="138">
        <v>3.0738499999999999E-3</v>
      </c>
      <c r="F577" s="138">
        <v>0.13248488999999999</v>
      </c>
      <c r="G577" s="138">
        <v>0.21547942</v>
      </c>
      <c r="H577" s="24" t="s">
        <v>104</v>
      </c>
    </row>
    <row r="578" spans="1:8" x14ac:dyDescent="0.3">
      <c r="A578" s="24" t="s">
        <v>21</v>
      </c>
      <c r="B578" s="24" t="s">
        <v>106</v>
      </c>
      <c r="C578" s="24" t="s">
        <v>83</v>
      </c>
      <c r="D578" s="138">
        <v>0.94428824</v>
      </c>
      <c r="E578" s="138">
        <v>2.8519499999999998E-3</v>
      </c>
      <c r="F578" s="138">
        <v>0.12986805000000001</v>
      </c>
      <c r="G578" s="138">
        <v>0.21571751</v>
      </c>
      <c r="H578" s="24" t="s">
        <v>104</v>
      </c>
    </row>
    <row r="579" spans="1:8" x14ac:dyDescent="0.3">
      <c r="A579" s="24" t="s">
        <v>21</v>
      </c>
      <c r="B579" s="24" t="s">
        <v>106</v>
      </c>
      <c r="C579" s="24" t="s">
        <v>82</v>
      </c>
      <c r="D579" s="138">
        <v>0.93565127000000003</v>
      </c>
      <c r="E579" s="138">
        <v>3.0308000000000002E-3</v>
      </c>
      <c r="F579" s="138">
        <v>0.13080832000000001</v>
      </c>
      <c r="G579" s="138">
        <v>0.21667152000000001</v>
      </c>
      <c r="H579" s="24" t="s">
        <v>104</v>
      </c>
    </row>
    <row r="580" spans="1:8" x14ac:dyDescent="0.3">
      <c r="A580" s="24" t="s">
        <v>21</v>
      </c>
      <c r="B580" s="24" t="s">
        <v>106</v>
      </c>
      <c r="C580" s="24" t="s">
        <v>81</v>
      </c>
      <c r="D580" s="138">
        <v>0.92125319000000006</v>
      </c>
      <c r="E580" s="138">
        <v>4.1514100000000003E-3</v>
      </c>
      <c r="F580" s="138">
        <v>0.140293</v>
      </c>
      <c r="G580" s="138">
        <v>0.21646197</v>
      </c>
      <c r="H580" s="24" t="s">
        <v>104</v>
      </c>
    </row>
    <row r="581" spans="1:8" x14ac:dyDescent="0.3">
      <c r="A581" s="24" t="s">
        <v>21</v>
      </c>
      <c r="B581" s="24" t="s">
        <v>106</v>
      </c>
      <c r="C581" s="24" t="s">
        <v>85</v>
      </c>
      <c r="D581" s="138">
        <v>-0.85129213999999997</v>
      </c>
      <c r="E581" s="138">
        <v>1.9395329999999999E-2</v>
      </c>
      <c r="F581" s="138">
        <v>0.20191634</v>
      </c>
      <c r="G581" s="138">
        <v>0.32432756000000001</v>
      </c>
      <c r="H581" s="24" t="s">
        <v>104</v>
      </c>
    </row>
    <row r="582" spans="1:8" x14ac:dyDescent="0.3">
      <c r="A582" s="24" t="s">
        <v>21</v>
      </c>
      <c r="B582" s="24" t="s">
        <v>106</v>
      </c>
      <c r="C582" s="24" t="s">
        <v>92</v>
      </c>
      <c r="D582" s="138">
        <v>0.94914894000000005</v>
      </c>
      <c r="E582" s="138">
        <v>2.45824E-3</v>
      </c>
      <c r="F582" s="138">
        <v>0.12543003999999999</v>
      </c>
      <c r="G582" s="138">
        <v>0.21608738</v>
      </c>
      <c r="H582" s="24" t="s">
        <v>104</v>
      </c>
    </row>
    <row r="583" spans="1:8" x14ac:dyDescent="0.3">
      <c r="A583" s="24" t="s">
        <v>21</v>
      </c>
      <c r="B583" s="24" t="s">
        <v>106</v>
      </c>
      <c r="C583" s="24" t="s">
        <v>80</v>
      </c>
      <c r="D583" s="138">
        <v>0.94910271999999996</v>
      </c>
      <c r="E583" s="138">
        <v>2.4618999999999999E-3</v>
      </c>
      <c r="F583" s="138">
        <v>0.125474</v>
      </c>
      <c r="G583" s="138">
        <v>0.21608487000000001</v>
      </c>
      <c r="H583" s="24" t="s">
        <v>104</v>
      </c>
    </row>
    <row r="584" spans="1:8" x14ac:dyDescent="0.3">
      <c r="A584" s="24" t="s">
        <v>21</v>
      </c>
      <c r="B584" s="24" t="s">
        <v>106</v>
      </c>
      <c r="C584" s="24" t="s">
        <v>77</v>
      </c>
      <c r="D584" s="138">
        <v>0.93927077000000003</v>
      </c>
      <c r="E584" s="138">
        <v>3.3089199999999999E-3</v>
      </c>
      <c r="F584" s="138">
        <v>0.13446983000000001</v>
      </c>
      <c r="G584" s="138">
        <v>0.21549033000000001</v>
      </c>
      <c r="H584" s="24" t="s">
        <v>104</v>
      </c>
    </row>
    <row r="585" spans="1:8" x14ac:dyDescent="0.3">
      <c r="A585" s="24" t="s">
        <v>21</v>
      </c>
      <c r="B585" s="24" t="s">
        <v>106</v>
      </c>
      <c r="C585" s="24" t="s">
        <v>76</v>
      </c>
      <c r="D585" s="138">
        <v>0.95084966000000004</v>
      </c>
      <c r="E585" s="138">
        <v>1.2134400000000001E-3</v>
      </c>
      <c r="F585" s="138">
        <v>0.10421904</v>
      </c>
      <c r="G585" s="138">
        <v>0.22208116</v>
      </c>
      <c r="H585" s="24" t="s">
        <v>104</v>
      </c>
    </row>
    <row r="586" spans="1:8" x14ac:dyDescent="0.3">
      <c r="A586" s="24" t="s">
        <v>21</v>
      </c>
      <c r="B586" s="24" t="s">
        <v>106</v>
      </c>
      <c r="C586" s="24" t="s">
        <v>75</v>
      </c>
      <c r="D586" s="138">
        <v>0.92511891999999996</v>
      </c>
      <c r="E586" s="138">
        <v>3.18579E-3</v>
      </c>
      <c r="F586" s="138">
        <v>0.13109091</v>
      </c>
      <c r="G586" s="138">
        <v>0.22229690999999999</v>
      </c>
      <c r="H586" s="24" t="s">
        <v>104</v>
      </c>
    </row>
    <row r="587" spans="1:8" x14ac:dyDescent="0.3">
      <c r="A587" s="24" t="s">
        <v>21</v>
      </c>
      <c r="B587" s="24" t="s">
        <v>106</v>
      </c>
      <c r="C587" s="24" t="s">
        <v>74</v>
      </c>
      <c r="D587" s="138">
        <v>0.941886</v>
      </c>
      <c r="E587" s="138">
        <v>3.31299E-3</v>
      </c>
      <c r="F587" s="138">
        <v>0.13488918</v>
      </c>
      <c r="G587" s="138">
        <v>0.21552209</v>
      </c>
      <c r="H587" s="24" t="s">
        <v>104</v>
      </c>
    </row>
    <row r="588" spans="1:8" x14ac:dyDescent="0.3">
      <c r="A588" s="24" t="s">
        <v>21</v>
      </c>
      <c r="B588" s="24" t="s">
        <v>106</v>
      </c>
      <c r="C588" s="24" t="s">
        <v>73</v>
      </c>
      <c r="D588" s="138">
        <v>0.65472914999999998</v>
      </c>
      <c r="E588" s="138">
        <v>1.9480250000000001E-2</v>
      </c>
      <c r="F588" s="138">
        <v>0.155502</v>
      </c>
      <c r="G588" s="138">
        <v>0.73923494000000001</v>
      </c>
      <c r="H588" s="24" t="s">
        <v>104</v>
      </c>
    </row>
    <row r="589" spans="1:8" x14ac:dyDescent="0.3">
      <c r="A589" s="24" t="s">
        <v>21</v>
      </c>
      <c r="B589" s="24" t="s">
        <v>106</v>
      </c>
      <c r="C589" s="24" t="s">
        <v>78</v>
      </c>
      <c r="D589" s="138">
        <v>-0.96840970999999998</v>
      </c>
      <c r="E589" s="138">
        <v>4.6130999999999999E-4</v>
      </c>
      <c r="F589" s="138">
        <v>8.2567199999999993E-2</v>
      </c>
      <c r="G589" s="138">
        <v>0.21897211</v>
      </c>
      <c r="H589" s="24" t="s">
        <v>104</v>
      </c>
    </row>
    <row r="590" spans="1:8" x14ac:dyDescent="0.3">
      <c r="A590" s="24" t="s">
        <v>22</v>
      </c>
      <c r="B590" s="24" t="s">
        <v>95</v>
      </c>
      <c r="C590" s="24" t="s">
        <v>79</v>
      </c>
      <c r="D590" s="138">
        <v>0.21650278000000001</v>
      </c>
      <c r="E590" s="138">
        <v>0.35957414999999998</v>
      </c>
      <c r="F590" s="138">
        <v>0.24192340000000001</v>
      </c>
      <c r="G590" s="138">
        <v>0.27097225000000003</v>
      </c>
      <c r="H590" s="24" t="s">
        <v>104</v>
      </c>
    </row>
    <row r="591" spans="1:8" x14ac:dyDescent="0.3">
      <c r="A591" s="24" t="s">
        <v>22</v>
      </c>
      <c r="B591" s="24" t="s">
        <v>95</v>
      </c>
      <c r="C591" s="24" t="s">
        <v>84</v>
      </c>
      <c r="D591" s="138">
        <v>0.23309092000000001</v>
      </c>
      <c r="E591" s="138">
        <v>0.29477980999999998</v>
      </c>
      <c r="F591" s="138">
        <v>0.22549612999999999</v>
      </c>
      <c r="G591" s="138">
        <v>0.26009452999999999</v>
      </c>
      <c r="H591" s="24" t="s">
        <v>104</v>
      </c>
    </row>
    <row r="592" spans="1:8" x14ac:dyDescent="0.3">
      <c r="A592" s="24" t="s">
        <v>22</v>
      </c>
      <c r="B592" s="24" t="s">
        <v>95</v>
      </c>
      <c r="C592" s="24" t="s">
        <v>83</v>
      </c>
      <c r="D592" s="138">
        <v>0.18359395000000001</v>
      </c>
      <c r="E592" s="138">
        <v>0.43477384000000002</v>
      </c>
      <c r="F592" s="138">
        <v>0.24277879999999999</v>
      </c>
      <c r="G592" s="138">
        <v>0.26911446999999999</v>
      </c>
      <c r="H592" s="24" t="s">
        <v>104</v>
      </c>
    </row>
    <row r="593" spans="1:8" x14ac:dyDescent="0.3">
      <c r="A593" s="24" t="s">
        <v>22</v>
      </c>
      <c r="B593" s="24" t="s">
        <v>95</v>
      </c>
      <c r="C593" s="24" t="s">
        <v>82</v>
      </c>
      <c r="D593" s="138">
        <v>0.22753301000000001</v>
      </c>
      <c r="E593" s="138">
        <v>0.45764801999999999</v>
      </c>
      <c r="F593" s="138">
        <v>0.31711761999999999</v>
      </c>
      <c r="G593" s="138">
        <v>0.36069279999999998</v>
      </c>
      <c r="H593" s="24" t="s">
        <v>104</v>
      </c>
    </row>
    <row r="594" spans="1:8" x14ac:dyDescent="0.3">
      <c r="A594" s="24" t="s">
        <v>22</v>
      </c>
      <c r="B594" s="24" t="s">
        <v>95</v>
      </c>
      <c r="C594" s="24" t="s">
        <v>81</v>
      </c>
      <c r="D594" s="138">
        <v>0.32521950999999999</v>
      </c>
      <c r="E594" s="138">
        <v>0.26880971999999997</v>
      </c>
      <c r="F594" s="138">
        <v>0.29664010000000002</v>
      </c>
      <c r="G594" s="138">
        <v>0.28538053000000002</v>
      </c>
      <c r="H594" s="24" t="s">
        <v>104</v>
      </c>
    </row>
    <row r="595" spans="1:8" x14ac:dyDescent="0.3">
      <c r="A595" s="24" t="s">
        <v>22</v>
      </c>
      <c r="B595" s="24" t="s">
        <v>95</v>
      </c>
      <c r="C595" s="24" t="s">
        <v>85</v>
      </c>
      <c r="D595" s="138">
        <v>-0.40094197999999998</v>
      </c>
      <c r="E595" s="138">
        <v>0.22779537999999999</v>
      </c>
      <c r="F595" s="138">
        <v>0.33228703999999998</v>
      </c>
      <c r="G595" s="138">
        <v>0.29524329999999999</v>
      </c>
      <c r="H595" s="24" t="s">
        <v>104</v>
      </c>
    </row>
    <row r="596" spans="1:8" x14ac:dyDescent="0.3">
      <c r="A596" s="24" t="s">
        <v>22</v>
      </c>
      <c r="B596" s="24" t="s">
        <v>95</v>
      </c>
      <c r="C596" s="24" t="s">
        <v>92</v>
      </c>
      <c r="D596" s="138">
        <v>0.21650278000000001</v>
      </c>
      <c r="E596" s="138">
        <v>0.35957414999999998</v>
      </c>
      <c r="F596" s="138">
        <v>0.24192340000000001</v>
      </c>
      <c r="G596" s="138">
        <v>0.27097225000000003</v>
      </c>
      <c r="H596" s="24" t="s">
        <v>104</v>
      </c>
    </row>
    <row r="597" spans="1:8" x14ac:dyDescent="0.3">
      <c r="A597" s="24" t="s">
        <v>22</v>
      </c>
      <c r="B597" s="24" t="s">
        <v>95</v>
      </c>
      <c r="C597" s="24" t="s">
        <v>80</v>
      </c>
      <c r="D597" s="138">
        <v>0.21427030999999999</v>
      </c>
      <c r="E597" s="138">
        <v>0.36280794999999999</v>
      </c>
      <c r="F597" s="138">
        <v>0.24115122999999999</v>
      </c>
      <c r="G597" s="138">
        <v>0.27054727000000001</v>
      </c>
      <c r="H597" s="24" t="s">
        <v>104</v>
      </c>
    </row>
    <row r="598" spans="1:8" x14ac:dyDescent="0.3">
      <c r="A598" s="24" t="s">
        <v>22</v>
      </c>
      <c r="B598" s="24" t="s">
        <v>95</v>
      </c>
      <c r="C598" s="24" t="s">
        <v>77</v>
      </c>
      <c r="D598" s="138">
        <v>0.18510728000000001</v>
      </c>
      <c r="E598" s="138">
        <v>0.42576995000000001</v>
      </c>
      <c r="F598" s="138">
        <v>0.23982223</v>
      </c>
      <c r="G598" s="138">
        <v>0.26849520999999998</v>
      </c>
      <c r="H598" s="24" t="s">
        <v>104</v>
      </c>
    </row>
    <row r="599" spans="1:8" x14ac:dyDescent="0.3">
      <c r="A599" s="24" t="s">
        <v>22</v>
      </c>
      <c r="B599" s="24" t="s">
        <v>95</v>
      </c>
      <c r="C599" s="24" t="s">
        <v>76</v>
      </c>
      <c r="D599" s="138">
        <v>5.0235090000000003E-2</v>
      </c>
      <c r="E599" s="138">
        <v>0.84151904</v>
      </c>
      <c r="F599" s="138">
        <v>0.26519276000000003</v>
      </c>
      <c r="G599" s="138">
        <v>0.30339060000000001</v>
      </c>
      <c r="H599" s="24" t="s">
        <v>104</v>
      </c>
    </row>
    <row r="600" spans="1:8" x14ac:dyDescent="0.3">
      <c r="A600" s="24" t="s">
        <v>22</v>
      </c>
      <c r="B600" s="24" t="s">
        <v>95</v>
      </c>
      <c r="C600" s="24" t="s">
        <v>75</v>
      </c>
      <c r="D600" s="138">
        <v>9.9347439999999995E-2</v>
      </c>
      <c r="E600" s="138">
        <v>0.66899474999999997</v>
      </c>
      <c r="F600" s="138">
        <v>0.24395808999999999</v>
      </c>
      <c r="G600" s="138">
        <v>0.27394297000000001</v>
      </c>
      <c r="H600" s="24" t="s">
        <v>104</v>
      </c>
    </row>
    <row r="601" spans="1:8" x14ac:dyDescent="0.3">
      <c r="A601" s="24" t="s">
        <v>22</v>
      </c>
      <c r="B601" s="24" t="s">
        <v>95</v>
      </c>
      <c r="C601" s="24" t="s">
        <v>74</v>
      </c>
      <c r="D601" s="138">
        <v>0.27432603</v>
      </c>
      <c r="E601" s="138">
        <v>0.24126327</v>
      </c>
      <c r="F601" s="138">
        <v>0.23473819000000001</v>
      </c>
      <c r="G601" s="138">
        <v>0.26394462000000002</v>
      </c>
      <c r="H601" s="24" t="s">
        <v>104</v>
      </c>
    </row>
    <row r="602" spans="1:8" x14ac:dyDescent="0.3">
      <c r="A602" s="24" t="s">
        <v>22</v>
      </c>
      <c r="B602" s="24" t="s">
        <v>95</v>
      </c>
      <c r="C602" s="24" t="s">
        <v>73</v>
      </c>
      <c r="D602" s="138">
        <v>-0.31478305000000001</v>
      </c>
      <c r="E602" s="138">
        <v>0.49772477999999998</v>
      </c>
      <c r="F602" s="138">
        <v>0.48224444999999999</v>
      </c>
      <c r="G602" s="138">
        <v>0.45323237999999999</v>
      </c>
      <c r="H602" s="24" t="s">
        <v>104</v>
      </c>
    </row>
    <row r="603" spans="1:8" x14ac:dyDescent="0.3">
      <c r="A603" s="24" t="s">
        <v>22</v>
      </c>
      <c r="B603" s="24" t="s">
        <v>95</v>
      </c>
      <c r="C603" s="24" t="s">
        <v>78</v>
      </c>
      <c r="D603" s="138">
        <v>-0.37960075999999998</v>
      </c>
      <c r="E603" s="138">
        <v>0.23894941</v>
      </c>
      <c r="F603" s="138">
        <v>0.32305430000000002</v>
      </c>
      <c r="G603" s="138">
        <v>0.28059926000000002</v>
      </c>
      <c r="H603" s="24" t="s">
        <v>104</v>
      </c>
    </row>
    <row r="604" spans="1:8" x14ac:dyDescent="0.3">
      <c r="A604" s="24" t="s">
        <v>22</v>
      </c>
      <c r="B604" s="24" t="s">
        <v>105</v>
      </c>
      <c r="C604" s="24" t="s">
        <v>79</v>
      </c>
      <c r="D604" s="138">
        <v>-6.3052490000000003E-2</v>
      </c>
      <c r="E604" s="138">
        <v>0.83057175000000005</v>
      </c>
      <c r="F604" s="138">
        <v>0.28222720000000001</v>
      </c>
      <c r="G604" s="138">
        <v>0.30919533999999999</v>
      </c>
      <c r="H604" s="24" t="s">
        <v>104</v>
      </c>
    </row>
    <row r="605" spans="1:8" x14ac:dyDescent="0.3">
      <c r="A605" s="24" t="s">
        <v>22</v>
      </c>
      <c r="B605" s="24" t="s">
        <v>105</v>
      </c>
      <c r="C605" s="24" t="s">
        <v>84</v>
      </c>
      <c r="D605" s="138">
        <v>-8.7951660000000001E-2</v>
      </c>
      <c r="E605" s="138">
        <v>0.76176264000000005</v>
      </c>
      <c r="F605" s="138">
        <v>0.27736295</v>
      </c>
      <c r="G605" s="138">
        <v>0.30245256999999998</v>
      </c>
      <c r="H605" s="24" t="s">
        <v>104</v>
      </c>
    </row>
    <row r="606" spans="1:8" x14ac:dyDescent="0.3">
      <c r="A606" s="24" t="s">
        <v>22</v>
      </c>
      <c r="B606" s="24" t="s">
        <v>105</v>
      </c>
      <c r="C606" s="24" t="s">
        <v>83</v>
      </c>
      <c r="D606" s="138">
        <v>-3.1009269999999999E-2</v>
      </c>
      <c r="E606" s="138">
        <v>0.91322274999999997</v>
      </c>
      <c r="F606" s="138">
        <v>0.27287947000000001</v>
      </c>
      <c r="G606" s="138">
        <v>0.30536466000000001</v>
      </c>
      <c r="H606" s="24" t="s">
        <v>104</v>
      </c>
    </row>
    <row r="607" spans="1:8" x14ac:dyDescent="0.3">
      <c r="A607" s="24" t="s">
        <v>22</v>
      </c>
      <c r="B607" s="24" t="s">
        <v>105</v>
      </c>
      <c r="C607" s="24" t="s">
        <v>82</v>
      </c>
      <c r="D607" s="138">
        <v>-0.22366386999999999</v>
      </c>
      <c r="E607" s="138">
        <v>0.52469562000000003</v>
      </c>
      <c r="F607" s="138">
        <v>0.33217500999999999</v>
      </c>
      <c r="G607" s="138">
        <v>0.36699479000000002</v>
      </c>
      <c r="H607" s="24" t="s">
        <v>104</v>
      </c>
    </row>
    <row r="608" spans="1:8" x14ac:dyDescent="0.3">
      <c r="A608" s="24" t="s">
        <v>22</v>
      </c>
      <c r="B608" s="24" t="s">
        <v>105</v>
      </c>
      <c r="C608" s="24" t="s">
        <v>81</v>
      </c>
      <c r="D608" s="138">
        <v>-0.19309182</v>
      </c>
      <c r="E608" s="138">
        <v>0.63778362</v>
      </c>
      <c r="F608" s="138">
        <v>0.39018648</v>
      </c>
      <c r="G608" s="138">
        <v>0.35715809999999998</v>
      </c>
      <c r="H608" s="24" t="s">
        <v>104</v>
      </c>
    </row>
    <row r="609" spans="1:8" x14ac:dyDescent="0.3">
      <c r="A609" s="24" t="s">
        <v>22</v>
      </c>
      <c r="B609" s="24" t="s">
        <v>105</v>
      </c>
      <c r="C609" s="24" t="s">
        <v>85</v>
      </c>
      <c r="D609" s="138">
        <v>0.34592404999999998</v>
      </c>
      <c r="E609" s="138">
        <v>0.3712163</v>
      </c>
      <c r="F609" s="138">
        <v>0.35997485000000001</v>
      </c>
      <c r="G609" s="138">
        <v>0.31638554000000002</v>
      </c>
      <c r="H609" s="24" t="s">
        <v>104</v>
      </c>
    </row>
    <row r="610" spans="1:8" x14ac:dyDescent="0.3">
      <c r="A610" s="24" t="s">
        <v>22</v>
      </c>
      <c r="B610" s="24" t="s">
        <v>105</v>
      </c>
      <c r="C610" s="24" t="s">
        <v>92</v>
      </c>
      <c r="D610" s="138">
        <v>-6.3052490000000003E-2</v>
      </c>
      <c r="E610" s="138">
        <v>0.83057175000000005</v>
      </c>
      <c r="F610" s="138">
        <v>0.28222720000000001</v>
      </c>
      <c r="G610" s="138">
        <v>0.30919533999999999</v>
      </c>
      <c r="H610" s="24" t="s">
        <v>104</v>
      </c>
    </row>
    <row r="611" spans="1:8" x14ac:dyDescent="0.3">
      <c r="A611" s="24" t="s">
        <v>22</v>
      </c>
      <c r="B611" s="24" t="s">
        <v>105</v>
      </c>
      <c r="C611" s="24" t="s">
        <v>80</v>
      </c>
      <c r="D611" s="138">
        <v>-6.147325E-2</v>
      </c>
      <c r="E611" s="138">
        <v>0.83383859000000005</v>
      </c>
      <c r="F611" s="138">
        <v>0.28066954</v>
      </c>
      <c r="G611" s="138">
        <v>0.30848938999999997</v>
      </c>
      <c r="H611" s="24" t="s">
        <v>104</v>
      </c>
    </row>
    <row r="612" spans="1:8" x14ac:dyDescent="0.3">
      <c r="A612" s="24" t="s">
        <v>22</v>
      </c>
      <c r="B612" s="24" t="s">
        <v>105</v>
      </c>
      <c r="C612" s="24" t="s">
        <v>77</v>
      </c>
      <c r="D612" s="138">
        <v>-2.167285E-2</v>
      </c>
      <c r="E612" s="138">
        <v>0.93902176999999998</v>
      </c>
      <c r="F612" s="138">
        <v>0.27174463999999998</v>
      </c>
      <c r="G612" s="138">
        <v>0.30540866</v>
      </c>
      <c r="H612" s="24" t="s">
        <v>104</v>
      </c>
    </row>
    <row r="613" spans="1:8" x14ac:dyDescent="0.3">
      <c r="A613" s="24" t="s">
        <v>22</v>
      </c>
      <c r="B613" s="24" t="s">
        <v>105</v>
      </c>
      <c r="C613" s="24" t="s">
        <v>76</v>
      </c>
      <c r="D613" s="138">
        <v>0.15750188000000001</v>
      </c>
      <c r="E613" s="138">
        <v>0.54297178999999995</v>
      </c>
      <c r="F613" s="138">
        <v>0.24492715000000001</v>
      </c>
      <c r="G613" s="138">
        <v>0.32140192000000001</v>
      </c>
      <c r="H613" s="24" t="s">
        <v>104</v>
      </c>
    </row>
    <row r="614" spans="1:8" x14ac:dyDescent="0.3">
      <c r="A614" s="24" t="s">
        <v>22</v>
      </c>
      <c r="B614" s="24" t="s">
        <v>105</v>
      </c>
      <c r="C614" s="24" t="s">
        <v>75</v>
      </c>
      <c r="D614" s="138">
        <v>7.3089189999999998E-2</v>
      </c>
      <c r="E614" s="138">
        <v>0.76245521000000005</v>
      </c>
      <c r="F614" s="138">
        <v>0.2311907</v>
      </c>
      <c r="G614" s="138">
        <v>0.30532137999999998</v>
      </c>
      <c r="H614" s="24" t="s">
        <v>104</v>
      </c>
    </row>
    <row r="615" spans="1:8" x14ac:dyDescent="0.3">
      <c r="A615" s="24" t="s">
        <v>22</v>
      </c>
      <c r="B615" s="24" t="s">
        <v>105</v>
      </c>
      <c r="C615" s="24" t="s">
        <v>74</v>
      </c>
      <c r="D615" s="138">
        <v>-0.14559573000000001</v>
      </c>
      <c r="E615" s="138">
        <v>0.66324534000000002</v>
      </c>
      <c r="F615" s="138">
        <v>0.31849145000000001</v>
      </c>
      <c r="G615" s="138">
        <v>0.32908246000000002</v>
      </c>
      <c r="H615" s="24" t="s">
        <v>104</v>
      </c>
    </row>
    <row r="616" spans="1:8" x14ac:dyDescent="0.3">
      <c r="A616" s="24" t="s">
        <v>22</v>
      </c>
      <c r="B616" s="24" t="s">
        <v>105</v>
      </c>
      <c r="C616" s="24" t="s">
        <v>73</v>
      </c>
      <c r="D616" s="138">
        <v>0.15490882</v>
      </c>
      <c r="E616" s="138">
        <v>0.75223242999999995</v>
      </c>
      <c r="F616" s="138">
        <v>0.46899055000000001</v>
      </c>
      <c r="G616" s="138">
        <v>0.46317715999999998</v>
      </c>
      <c r="H616" s="24" t="s">
        <v>104</v>
      </c>
    </row>
    <row r="617" spans="1:8" x14ac:dyDescent="0.3">
      <c r="A617" s="24" t="s">
        <v>22</v>
      </c>
      <c r="B617" s="24" t="s">
        <v>105</v>
      </c>
      <c r="C617" s="24" t="s">
        <v>78</v>
      </c>
      <c r="D617" s="138">
        <v>0.30562989000000002</v>
      </c>
      <c r="E617" s="138">
        <v>0.42083335999999999</v>
      </c>
      <c r="F617" s="138">
        <v>0.35536421000000001</v>
      </c>
      <c r="G617" s="138">
        <v>0.31252683999999997</v>
      </c>
      <c r="H617" s="24" t="s">
        <v>104</v>
      </c>
    </row>
    <row r="618" spans="1:8" x14ac:dyDescent="0.3">
      <c r="A618" s="24" t="s">
        <v>22</v>
      </c>
      <c r="B618" s="24" t="s">
        <v>106</v>
      </c>
      <c r="C618" s="24" t="s">
        <v>79</v>
      </c>
      <c r="D618" s="138">
        <v>0.32699648999999997</v>
      </c>
      <c r="E618" s="138">
        <v>0.17199009000000001</v>
      </c>
      <c r="F618" s="138">
        <v>0.22666906000000001</v>
      </c>
      <c r="G618" s="138">
        <v>0.28696157999999999</v>
      </c>
      <c r="H618" s="24" t="s">
        <v>104</v>
      </c>
    </row>
    <row r="619" spans="1:8" x14ac:dyDescent="0.3">
      <c r="A619" s="24" t="s">
        <v>22</v>
      </c>
      <c r="B619" s="24" t="s">
        <v>106</v>
      </c>
      <c r="C619" s="24" t="s">
        <v>84</v>
      </c>
      <c r="D619" s="138">
        <v>0.33313871</v>
      </c>
      <c r="E619" s="138">
        <v>0.14279441000000001</v>
      </c>
      <c r="F619" s="138">
        <v>0.21283236</v>
      </c>
      <c r="G619" s="138">
        <v>0.28841211999999999</v>
      </c>
      <c r="H619" s="24" t="s">
        <v>104</v>
      </c>
    </row>
    <row r="620" spans="1:8" x14ac:dyDescent="0.3">
      <c r="A620" s="24" t="s">
        <v>22</v>
      </c>
      <c r="B620" s="24" t="s">
        <v>106</v>
      </c>
      <c r="C620" s="24" t="s">
        <v>83</v>
      </c>
      <c r="D620" s="138">
        <v>0.29845735000000001</v>
      </c>
      <c r="E620" s="138">
        <v>0.22068107000000001</v>
      </c>
      <c r="F620" s="138">
        <v>0.23407062000000001</v>
      </c>
      <c r="G620" s="138">
        <v>0.28147833999999999</v>
      </c>
      <c r="H620" s="24" t="s">
        <v>104</v>
      </c>
    </row>
    <row r="621" spans="1:8" x14ac:dyDescent="0.3">
      <c r="A621" s="24" t="s">
        <v>22</v>
      </c>
      <c r="B621" s="24" t="s">
        <v>106</v>
      </c>
      <c r="C621" s="24" t="s">
        <v>82</v>
      </c>
      <c r="D621" s="138">
        <v>0.19532707999999999</v>
      </c>
      <c r="E621" s="138">
        <v>0.49941119</v>
      </c>
      <c r="F621" s="138">
        <v>0.28923918999999998</v>
      </c>
      <c r="G621" s="138">
        <v>0.37992145999999999</v>
      </c>
      <c r="H621" s="24" t="s">
        <v>104</v>
      </c>
    </row>
    <row r="622" spans="1:8" x14ac:dyDescent="0.3">
      <c r="A622" s="24" t="s">
        <v>22</v>
      </c>
      <c r="B622" s="24" t="s">
        <v>106</v>
      </c>
      <c r="C622" s="24" t="s">
        <v>81</v>
      </c>
      <c r="D622" s="138">
        <v>0.39848889999999998</v>
      </c>
      <c r="E622" s="138">
        <v>5.8952270000000001E-2</v>
      </c>
      <c r="F622" s="138">
        <v>0.18653375</v>
      </c>
      <c r="G622" s="138">
        <v>0.33361465000000001</v>
      </c>
      <c r="H622" s="24" t="s">
        <v>104</v>
      </c>
    </row>
    <row r="623" spans="1:8" x14ac:dyDescent="0.3">
      <c r="A623" s="24" t="s">
        <v>22</v>
      </c>
      <c r="B623" s="24" t="s">
        <v>106</v>
      </c>
      <c r="C623" s="24" t="s">
        <v>85</v>
      </c>
      <c r="D623" s="138">
        <v>-0.38961384999999998</v>
      </c>
      <c r="E623" s="138">
        <v>0.20208983999999999</v>
      </c>
      <c r="F623" s="138">
        <v>0.29190608000000001</v>
      </c>
      <c r="G623" s="138">
        <v>0.31113004999999999</v>
      </c>
      <c r="H623" s="24" t="s">
        <v>104</v>
      </c>
    </row>
    <row r="624" spans="1:8" x14ac:dyDescent="0.3">
      <c r="A624" s="24" t="s">
        <v>22</v>
      </c>
      <c r="B624" s="24" t="s">
        <v>106</v>
      </c>
      <c r="C624" s="24" t="s">
        <v>92</v>
      </c>
      <c r="D624" s="138">
        <v>0.32699648999999997</v>
      </c>
      <c r="E624" s="138">
        <v>0.17199009000000001</v>
      </c>
      <c r="F624" s="138">
        <v>0.22666906000000001</v>
      </c>
      <c r="G624" s="138">
        <v>0.28696157999999999</v>
      </c>
      <c r="H624" s="24" t="s">
        <v>104</v>
      </c>
    </row>
    <row r="625" spans="1:8" x14ac:dyDescent="0.3">
      <c r="A625" s="24" t="s">
        <v>22</v>
      </c>
      <c r="B625" s="24" t="s">
        <v>106</v>
      </c>
      <c r="C625" s="24" t="s">
        <v>80</v>
      </c>
      <c r="D625" s="138">
        <v>0.32450020000000002</v>
      </c>
      <c r="E625" s="138">
        <v>0.17598029000000001</v>
      </c>
      <c r="F625" s="138">
        <v>0.22734103</v>
      </c>
      <c r="G625" s="138">
        <v>0.28722302</v>
      </c>
      <c r="H625" s="24" t="s">
        <v>104</v>
      </c>
    </row>
    <row r="626" spans="1:8" x14ac:dyDescent="0.3">
      <c r="A626" s="24" t="s">
        <v>22</v>
      </c>
      <c r="B626" s="24" t="s">
        <v>106</v>
      </c>
      <c r="C626" s="24" t="s">
        <v>77</v>
      </c>
      <c r="D626" s="138">
        <v>0.30995676999999999</v>
      </c>
      <c r="E626" s="138">
        <v>0.19731414999999999</v>
      </c>
      <c r="F626" s="138">
        <v>0.22945625</v>
      </c>
      <c r="G626" s="138">
        <v>0.27973682</v>
      </c>
      <c r="H626" s="24" t="s">
        <v>104</v>
      </c>
    </row>
    <row r="627" spans="1:8" x14ac:dyDescent="0.3">
      <c r="A627" s="24" t="s">
        <v>22</v>
      </c>
      <c r="B627" s="24" t="s">
        <v>106</v>
      </c>
      <c r="C627" s="24" t="s">
        <v>76</v>
      </c>
      <c r="D627" s="138">
        <v>0.23808602000000001</v>
      </c>
      <c r="E627" s="138">
        <v>0.35133616000000001</v>
      </c>
      <c r="F627" s="138">
        <v>0.25147461999999998</v>
      </c>
      <c r="G627" s="138">
        <v>0.28339863999999998</v>
      </c>
      <c r="H627" s="24" t="s">
        <v>104</v>
      </c>
    </row>
    <row r="628" spans="1:8" x14ac:dyDescent="0.3">
      <c r="A628" s="24" t="s">
        <v>22</v>
      </c>
      <c r="B628" s="24" t="s">
        <v>106</v>
      </c>
      <c r="C628" s="24" t="s">
        <v>75</v>
      </c>
      <c r="D628" s="138">
        <v>0.24619353999999999</v>
      </c>
      <c r="E628" s="138">
        <v>0.29418588000000001</v>
      </c>
      <c r="F628" s="138">
        <v>0.22897292</v>
      </c>
      <c r="G628" s="138">
        <v>0.26085152</v>
      </c>
      <c r="H628" s="24" t="s">
        <v>104</v>
      </c>
    </row>
    <row r="629" spans="1:8" x14ac:dyDescent="0.3">
      <c r="A629" s="24" t="s">
        <v>22</v>
      </c>
      <c r="B629" s="24" t="s">
        <v>106</v>
      </c>
      <c r="C629" s="24" t="s">
        <v>74</v>
      </c>
      <c r="D629" s="138">
        <v>0.35241299999999998</v>
      </c>
      <c r="E629" s="138">
        <v>8.0330830000000006E-2</v>
      </c>
      <c r="F629" s="138">
        <v>0.18188874999999999</v>
      </c>
      <c r="G629" s="138">
        <v>0.30433690000000002</v>
      </c>
      <c r="H629" s="24" t="s">
        <v>104</v>
      </c>
    </row>
    <row r="630" spans="1:8" x14ac:dyDescent="0.3">
      <c r="A630" s="24" t="s">
        <v>22</v>
      </c>
      <c r="B630" s="24" t="s">
        <v>106</v>
      </c>
      <c r="C630" s="24" t="s">
        <v>73</v>
      </c>
      <c r="D630" s="138">
        <v>-0.41584497999999998</v>
      </c>
      <c r="E630" s="138">
        <v>0.30636745999999998</v>
      </c>
      <c r="F630" s="138">
        <v>0.39746389999999998</v>
      </c>
      <c r="G630" s="138">
        <v>0.39501967999999998</v>
      </c>
      <c r="H630" s="24" t="s">
        <v>104</v>
      </c>
    </row>
    <row r="631" spans="1:8" x14ac:dyDescent="0.3">
      <c r="A631" s="24" t="s">
        <v>22</v>
      </c>
      <c r="B631" s="24" t="s">
        <v>106</v>
      </c>
      <c r="C631" s="24" t="s">
        <v>78</v>
      </c>
      <c r="D631" s="138">
        <v>-0.38949607000000003</v>
      </c>
      <c r="E631" s="138">
        <v>0.19276567</v>
      </c>
      <c r="F631" s="138">
        <v>0.28503156000000002</v>
      </c>
      <c r="G631" s="138">
        <v>0.29953141</v>
      </c>
      <c r="H631" s="24" t="s">
        <v>104</v>
      </c>
    </row>
    <row r="632" spans="1:8" x14ac:dyDescent="0.3">
      <c r="A632" s="24" t="s">
        <v>23</v>
      </c>
      <c r="B632" s="24" t="s">
        <v>95</v>
      </c>
      <c r="C632" s="24" t="s">
        <v>79</v>
      </c>
      <c r="D632" s="138">
        <v>0.12804051999999999</v>
      </c>
      <c r="E632" s="138">
        <v>0.75615966999999995</v>
      </c>
      <c r="F632" s="138">
        <v>0.39044335000000002</v>
      </c>
      <c r="G632" s="138">
        <v>0.39033922999999998</v>
      </c>
      <c r="H632" s="24" t="s">
        <v>104</v>
      </c>
    </row>
    <row r="633" spans="1:8" x14ac:dyDescent="0.3">
      <c r="A633" s="24" t="s">
        <v>23</v>
      </c>
      <c r="B633" s="24" t="s">
        <v>95</v>
      </c>
      <c r="C633" s="24" t="s">
        <v>84</v>
      </c>
      <c r="D633" s="138">
        <v>9.5007949999999994E-2</v>
      </c>
      <c r="E633" s="138">
        <v>0.80915247999999995</v>
      </c>
      <c r="F633" s="138">
        <v>0.37303218999999999</v>
      </c>
      <c r="G633" s="138">
        <v>0.3823722</v>
      </c>
      <c r="H633" s="24" t="s">
        <v>104</v>
      </c>
    </row>
    <row r="634" spans="1:8" x14ac:dyDescent="0.3">
      <c r="A634" s="24" t="s">
        <v>23</v>
      </c>
      <c r="B634" s="24" t="s">
        <v>95</v>
      </c>
      <c r="C634" s="24" t="s">
        <v>83</v>
      </c>
      <c r="D634" s="138">
        <v>0.10386561</v>
      </c>
      <c r="E634" s="138">
        <v>0.80249976999999995</v>
      </c>
      <c r="F634" s="138">
        <v>0.39373511</v>
      </c>
      <c r="G634" s="138">
        <v>0.39848635999999998</v>
      </c>
      <c r="H634" s="24" t="s">
        <v>104</v>
      </c>
    </row>
    <row r="635" spans="1:8" x14ac:dyDescent="0.3">
      <c r="A635" s="24" t="s">
        <v>23</v>
      </c>
      <c r="B635" s="24" t="s">
        <v>95</v>
      </c>
      <c r="C635" s="24" t="s">
        <v>82</v>
      </c>
      <c r="D635" s="138">
        <v>7.5200799999999998E-2</v>
      </c>
      <c r="E635" s="138">
        <v>0.83637145000000002</v>
      </c>
      <c r="F635" s="138">
        <v>0.34547870000000003</v>
      </c>
      <c r="G635" s="138">
        <v>0.38075615000000002</v>
      </c>
      <c r="H635" s="24" t="s">
        <v>104</v>
      </c>
    </row>
    <row r="636" spans="1:8" x14ac:dyDescent="0.3">
      <c r="A636" s="24" t="s">
        <v>23</v>
      </c>
      <c r="B636" s="24" t="s">
        <v>95</v>
      </c>
      <c r="C636" s="24" t="s">
        <v>81</v>
      </c>
      <c r="D636" s="138">
        <v>-0.56822132999999997</v>
      </c>
      <c r="E636" s="138">
        <v>4.8818380000000001E-2</v>
      </c>
      <c r="F636" s="138">
        <v>0.23503697000000001</v>
      </c>
      <c r="G636" s="138">
        <v>0.35343478</v>
      </c>
      <c r="H636" s="24" t="s">
        <v>104</v>
      </c>
    </row>
    <row r="637" spans="1:8" x14ac:dyDescent="0.3">
      <c r="A637" s="24" t="s">
        <v>23</v>
      </c>
      <c r="B637" s="24" t="s">
        <v>95</v>
      </c>
      <c r="C637" s="24" t="s">
        <v>85</v>
      </c>
      <c r="D637" s="138">
        <v>0.21908491999999999</v>
      </c>
      <c r="E637" s="138">
        <v>0.56624227000000005</v>
      </c>
      <c r="F637" s="138">
        <v>0.35848784</v>
      </c>
      <c r="G637" s="138">
        <v>0.37643693</v>
      </c>
      <c r="H637" s="24" t="s">
        <v>104</v>
      </c>
    </row>
    <row r="638" spans="1:8" x14ac:dyDescent="0.3">
      <c r="A638" s="24" t="s">
        <v>23</v>
      </c>
      <c r="B638" s="24" t="s">
        <v>95</v>
      </c>
      <c r="C638" s="24" t="s">
        <v>92</v>
      </c>
      <c r="D638" s="138">
        <v>0.12804051999999999</v>
      </c>
      <c r="E638" s="138">
        <v>0.75615966999999995</v>
      </c>
      <c r="F638" s="138">
        <v>0.39044335000000002</v>
      </c>
      <c r="G638" s="138">
        <v>0.39033922999999998</v>
      </c>
      <c r="H638" s="24" t="s">
        <v>104</v>
      </c>
    </row>
    <row r="639" spans="1:8" x14ac:dyDescent="0.3">
      <c r="A639" s="24" t="s">
        <v>23</v>
      </c>
      <c r="B639" s="24" t="s">
        <v>95</v>
      </c>
      <c r="C639" s="24" t="s">
        <v>80</v>
      </c>
      <c r="D639" s="138">
        <v>0.15575386999999999</v>
      </c>
      <c r="E639" s="138">
        <v>0.70410669999999997</v>
      </c>
      <c r="F639" s="138">
        <v>0.38763787999999999</v>
      </c>
      <c r="G639" s="138">
        <v>0.38387760999999998</v>
      </c>
      <c r="H639" s="24" t="s">
        <v>104</v>
      </c>
    </row>
    <row r="640" spans="1:8" x14ac:dyDescent="0.3">
      <c r="A640" s="24" t="s">
        <v>23</v>
      </c>
      <c r="B640" s="24" t="s">
        <v>95</v>
      </c>
      <c r="C640" s="24" t="s">
        <v>77</v>
      </c>
      <c r="D640" s="138">
        <v>8.6251229999999998E-2</v>
      </c>
      <c r="E640" s="138">
        <v>0.83492792000000005</v>
      </c>
      <c r="F640" s="138">
        <v>0.39271889999999998</v>
      </c>
      <c r="G640" s="138">
        <v>0.40207682</v>
      </c>
      <c r="H640" s="24" t="s">
        <v>104</v>
      </c>
    </row>
    <row r="641" spans="1:8" x14ac:dyDescent="0.3">
      <c r="A641" s="24" t="s">
        <v>23</v>
      </c>
      <c r="B641" s="24" t="s">
        <v>95</v>
      </c>
      <c r="C641" s="24" t="s">
        <v>76</v>
      </c>
      <c r="D641" s="138">
        <v>6.7721829999999997E-2</v>
      </c>
      <c r="E641" s="138">
        <v>0.87286598000000004</v>
      </c>
      <c r="F641" s="138">
        <v>0.40182234</v>
      </c>
      <c r="G641" s="138">
        <v>0.41939543000000001</v>
      </c>
      <c r="H641" s="24" t="s">
        <v>104</v>
      </c>
    </row>
    <row r="642" spans="1:8" x14ac:dyDescent="0.3">
      <c r="A642" s="24" t="s">
        <v>23</v>
      </c>
      <c r="B642" s="24" t="s">
        <v>95</v>
      </c>
      <c r="C642" s="24" t="s">
        <v>75</v>
      </c>
      <c r="D642" s="138">
        <v>-5.0940880000000001E-2</v>
      </c>
      <c r="E642" s="138">
        <v>0.88831309000000003</v>
      </c>
      <c r="F642" s="138">
        <v>0.34447097999999998</v>
      </c>
      <c r="G642" s="138">
        <v>0.43290694000000002</v>
      </c>
      <c r="H642" s="24" t="s">
        <v>104</v>
      </c>
    </row>
    <row r="643" spans="1:8" x14ac:dyDescent="0.3">
      <c r="A643" s="24" t="s">
        <v>23</v>
      </c>
      <c r="B643" s="24" t="s">
        <v>95</v>
      </c>
      <c r="C643" s="24" t="s">
        <v>74</v>
      </c>
      <c r="D643" s="138">
        <v>1.6879669999999999E-2</v>
      </c>
      <c r="E643" s="138">
        <v>0.95988145000000002</v>
      </c>
      <c r="F643" s="138">
        <v>0.31888385000000002</v>
      </c>
      <c r="G643" s="138">
        <v>0.35471643000000003</v>
      </c>
      <c r="H643" s="24" t="s">
        <v>104</v>
      </c>
    </row>
    <row r="644" spans="1:8" x14ac:dyDescent="0.3">
      <c r="A644" s="24" t="s">
        <v>23</v>
      </c>
      <c r="B644" s="24" t="s">
        <v>95</v>
      </c>
      <c r="C644" s="24" t="s">
        <v>73</v>
      </c>
      <c r="D644" s="138">
        <v>0.11486282</v>
      </c>
      <c r="E644" s="138">
        <v>0.71293275</v>
      </c>
      <c r="F644" s="138">
        <v>0.29518540999999998</v>
      </c>
      <c r="G644" s="138">
        <v>0.33330029999999999</v>
      </c>
      <c r="H644" s="24" t="s">
        <v>104</v>
      </c>
    </row>
    <row r="645" spans="1:8" x14ac:dyDescent="0.3">
      <c r="A645" s="24" t="s">
        <v>23</v>
      </c>
      <c r="B645" s="24" t="s">
        <v>95</v>
      </c>
      <c r="C645" s="24" t="s">
        <v>78</v>
      </c>
      <c r="D645" s="138">
        <v>2.786601E-2</v>
      </c>
      <c r="E645" s="138">
        <v>0.93609423000000003</v>
      </c>
      <c r="F645" s="138">
        <v>0.33021929</v>
      </c>
      <c r="G645" s="138">
        <v>0.37123949000000001</v>
      </c>
      <c r="H645" s="24" t="s">
        <v>104</v>
      </c>
    </row>
    <row r="646" spans="1:8" x14ac:dyDescent="0.3">
      <c r="A646" s="24" t="s">
        <v>23</v>
      </c>
      <c r="B646" s="24" t="s">
        <v>105</v>
      </c>
      <c r="C646" s="24" t="s">
        <v>79</v>
      </c>
      <c r="D646" s="138">
        <v>-0.45151227999999999</v>
      </c>
      <c r="E646" s="138">
        <v>0.15551103999999999</v>
      </c>
      <c r="F646" s="138">
        <v>0.32611501999999998</v>
      </c>
      <c r="G646" s="138">
        <v>0.32344977000000003</v>
      </c>
      <c r="H646" s="24" t="s">
        <v>104</v>
      </c>
    </row>
    <row r="647" spans="1:8" x14ac:dyDescent="0.3">
      <c r="A647" s="24" t="s">
        <v>23</v>
      </c>
      <c r="B647" s="24" t="s">
        <v>105</v>
      </c>
      <c r="C647" s="24" t="s">
        <v>84</v>
      </c>
      <c r="D647" s="138">
        <v>-0.43317313000000002</v>
      </c>
      <c r="E647" s="138">
        <v>0.19876541</v>
      </c>
      <c r="F647" s="138">
        <v>0.35083596</v>
      </c>
      <c r="G647" s="138">
        <v>0.33318590999999997</v>
      </c>
      <c r="H647" s="24" t="s">
        <v>104</v>
      </c>
    </row>
    <row r="648" spans="1:8" x14ac:dyDescent="0.3">
      <c r="A648" s="24" t="s">
        <v>23</v>
      </c>
      <c r="B648" s="24" t="s">
        <v>105</v>
      </c>
      <c r="C648" s="24" t="s">
        <v>83</v>
      </c>
      <c r="D648" s="138">
        <v>-0.41928989</v>
      </c>
      <c r="E648" s="138">
        <v>0.19753367999999999</v>
      </c>
      <c r="F648" s="138">
        <v>0.33853934000000002</v>
      </c>
      <c r="G648" s="138">
        <v>0.33770394999999997</v>
      </c>
      <c r="H648" s="24" t="s">
        <v>104</v>
      </c>
    </row>
    <row r="649" spans="1:8" x14ac:dyDescent="0.3">
      <c r="A649" s="24" t="s">
        <v>23</v>
      </c>
      <c r="B649" s="24" t="s">
        <v>105</v>
      </c>
      <c r="C649" s="24" t="s">
        <v>82</v>
      </c>
      <c r="D649" s="138">
        <v>-0.43058543999999999</v>
      </c>
      <c r="E649" s="138">
        <v>0.29872063999999998</v>
      </c>
      <c r="F649" s="138">
        <v>0.44100645999999999</v>
      </c>
      <c r="G649" s="138">
        <v>0.38019422000000003</v>
      </c>
      <c r="H649" s="24" t="s">
        <v>104</v>
      </c>
    </row>
    <row r="650" spans="1:8" x14ac:dyDescent="0.3">
      <c r="A650" s="24" t="s">
        <v>23</v>
      </c>
      <c r="B650" s="24" t="s">
        <v>105</v>
      </c>
      <c r="C650" s="24" t="s">
        <v>81</v>
      </c>
      <c r="D650" s="138">
        <v>3.0582700000000001E-3</v>
      </c>
      <c r="E650" s="138">
        <v>0.99382221000000004</v>
      </c>
      <c r="F650" s="138">
        <v>0.43816646999999997</v>
      </c>
      <c r="G650" s="138">
        <v>0.41799972000000002</v>
      </c>
      <c r="H650" s="24" t="s">
        <v>104</v>
      </c>
    </row>
    <row r="651" spans="1:8" x14ac:dyDescent="0.3">
      <c r="A651" s="24" t="s">
        <v>23</v>
      </c>
      <c r="B651" s="24" t="s">
        <v>105</v>
      </c>
      <c r="C651" s="24" t="s">
        <v>85</v>
      </c>
      <c r="D651" s="138">
        <v>-0.21207103999999999</v>
      </c>
      <c r="E651" s="138">
        <v>0.55856912000000003</v>
      </c>
      <c r="F651" s="138">
        <v>0.39697526</v>
      </c>
      <c r="G651" s="138">
        <v>0.34588261999999997</v>
      </c>
      <c r="H651" s="24" t="s">
        <v>104</v>
      </c>
    </row>
    <row r="652" spans="1:8" x14ac:dyDescent="0.3">
      <c r="A652" s="24" t="s">
        <v>23</v>
      </c>
      <c r="B652" s="24" t="s">
        <v>105</v>
      </c>
      <c r="C652" s="24" t="s">
        <v>92</v>
      </c>
      <c r="D652" s="138">
        <v>-0.45151227999999999</v>
      </c>
      <c r="E652" s="138">
        <v>0.15551103999999999</v>
      </c>
      <c r="F652" s="138">
        <v>0.32611501999999998</v>
      </c>
      <c r="G652" s="138">
        <v>0.32344977000000003</v>
      </c>
      <c r="H652" s="24" t="s">
        <v>104</v>
      </c>
    </row>
    <row r="653" spans="1:8" x14ac:dyDescent="0.3">
      <c r="A653" s="24" t="s">
        <v>23</v>
      </c>
      <c r="B653" s="24" t="s">
        <v>105</v>
      </c>
      <c r="C653" s="24" t="s">
        <v>80</v>
      </c>
      <c r="D653" s="138">
        <v>-0.43362054</v>
      </c>
      <c r="E653" s="138">
        <v>0.19224914000000001</v>
      </c>
      <c r="F653" s="138">
        <v>0.34544849</v>
      </c>
      <c r="G653" s="138">
        <v>0.32525407000000001</v>
      </c>
      <c r="H653" s="24" t="s">
        <v>104</v>
      </c>
    </row>
    <row r="654" spans="1:8" x14ac:dyDescent="0.3">
      <c r="A654" s="24" t="s">
        <v>23</v>
      </c>
      <c r="B654" s="24" t="s">
        <v>105</v>
      </c>
      <c r="C654" s="24" t="s">
        <v>77</v>
      </c>
      <c r="D654" s="138">
        <v>-0.42342769000000002</v>
      </c>
      <c r="E654" s="138">
        <v>0.18939054999999999</v>
      </c>
      <c r="F654" s="138">
        <v>0.33487031</v>
      </c>
      <c r="G654" s="138">
        <v>0.34118212999999997</v>
      </c>
      <c r="H654" s="24" t="s">
        <v>104</v>
      </c>
    </row>
    <row r="655" spans="1:8" x14ac:dyDescent="0.3">
      <c r="A655" s="24" t="s">
        <v>23</v>
      </c>
      <c r="B655" s="24" t="s">
        <v>105</v>
      </c>
      <c r="C655" s="24" t="s">
        <v>76</v>
      </c>
      <c r="D655" s="138">
        <v>-0.37976010999999998</v>
      </c>
      <c r="E655" s="138">
        <v>0.24512489000000001</v>
      </c>
      <c r="F655" s="138">
        <v>0.34410632000000002</v>
      </c>
      <c r="G655" s="138">
        <v>0.36721246000000002</v>
      </c>
      <c r="H655" s="24" t="s">
        <v>104</v>
      </c>
    </row>
    <row r="656" spans="1:8" x14ac:dyDescent="0.3">
      <c r="A656" s="24" t="s">
        <v>23</v>
      </c>
      <c r="B656" s="24" t="s">
        <v>105</v>
      </c>
      <c r="C656" s="24" t="s">
        <v>75</v>
      </c>
      <c r="D656" s="138">
        <v>-0.45759989000000001</v>
      </c>
      <c r="E656" s="138">
        <v>7.6485910000000004E-2</v>
      </c>
      <c r="F656" s="138">
        <v>0.25333170999999999</v>
      </c>
      <c r="G656" s="138">
        <v>0.36996590000000001</v>
      </c>
      <c r="H656" s="24" t="s">
        <v>104</v>
      </c>
    </row>
    <row r="657" spans="1:8" x14ac:dyDescent="0.3">
      <c r="A657" s="24" t="s">
        <v>23</v>
      </c>
      <c r="B657" s="24" t="s">
        <v>105</v>
      </c>
      <c r="C657" s="24" t="s">
        <v>74</v>
      </c>
      <c r="D657" s="138">
        <v>-0.42241929</v>
      </c>
      <c r="E657" s="138">
        <v>0.23561091000000001</v>
      </c>
      <c r="F657" s="138">
        <v>0.37427607000000002</v>
      </c>
      <c r="G657" s="138">
        <v>0.33893063000000001</v>
      </c>
      <c r="H657" s="24" t="s">
        <v>104</v>
      </c>
    </row>
    <row r="658" spans="1:8" x14ac:dyDescent="0.3">
      <c r="A658" s="24" t="s">
        <v>23</v>
      </c>
      <c r="B658" s="24" t="s">
        <v>105</v>
      </c>
      <c r="C658" s="24" t="s">
        <v>73</v>
      </c>
      <c r="D658" s="138">
        <v>-0.27079979999999998</v>
      </c>
      <c r="E658" s="138">
        <v>0.57375337999999998</v>
      </c>
      <c r="F658" s="138">
        <v>0.52764509000000004</v>
      </c>
      <c r="G658" s="138">
        <v>0.42220385999999999</v>
      </c>
      <c r="H658" s="24" t="s">
        <v>104</v>
      </c>
    </row>
    <row r="659" spans="1:8" x14ac:dyDescent="0.3">
      <c r="A659" s="24" t="s">
        <v>23</v>
      </c>
      <c r="B659" s="24" t="s">
        <v>105</v>
      </c>
      <c r="C659" s="24" t="s">
        <v>78</v>
      </c>
      <c r="D659" s="138">
        <v>0.28464549</v>
      </c>
      <c r="E659" s="138">
        <v>0.43048386999999999</v>
      </c>
      <c r="F659" s="138">
        <v>0.3911519</v>
      </c>
      <c r="G659" s="138">
        <v>0.34018061999999999</v>
      </c>
      <c r="H659" s="24" t="s">
        <v>104</v>
      </c>
    </row>
    <row r="660" spans="1:8" x14ac:dyDescent="0.3">
      <c r="A660" s="24" t="s">
        <v>23</v>
      </c>
      <c r="B660" s="24" t="s">
        <v>106</v>
      </c>
      <c r="C660" s="24" t="s">
        <v>79</v>
      </c>
      <c r="D660" s="138">
        <v>-0.26901100999999999</v>
      </c>
      <c r="E660" s="138">
        <v>0.58061852000000003</v>
      </c>
      <c r="F660" s="138">
        <v>0.44415939999999998</v>
      </c>
      <c r="G660" s="138">
        <v>0.47729789</v>
      </c>
      <c r="H660" s="24" t="s">
        <v>104</v>
      </c>
    </row>
    <row r="661" spans="1:8" x14ac:dyDescent="0.3">
      <c r="A661" s="24" t="s">
        <v>23</v>
      </c>
      <c r="B661" s="24" t="s">
        <v>106</v>
      </c>
      <c r="C661" s="24" t="s">
        <v>84</v>
      </c>
      <c r="D661" s="138">
        <v>-0.28383999999999998</v>
      </c>
      <c r="E661" s="138">
        <v>0.55729784000000004</v>
      </c>
      <c r="F661" s="138">
        <v>0.44053111</v>
      </c>
      <c r="G661" s="138">
        <v>0.47472079</v>
      </c>
      <c r="H661" s="24" t="s">
        <v>104</v>
      </c>
    </row>
    <row r="662" spans="1:8" x14ac:dyDescent="0.3">
      <c r="A662" s="24" t="s">
        <v>23</v>
      </c>
      <c r="B662" s="24" t="s">
        <v>106</v>
      </c>
      <c r="C662" s="24" t="s">
        <v>83</v>
      </c>
      <c r="D662" s="138">
        <v>-0.26372825999999999</v>
      </c>
      <c r="E662" s="138">
        <v>0.59491519000000004</v>
      </c>
      <c r="F662" s="138">
        <v>0.45282167000000001</v>
      </c>
      <c r="G662" s="138">
        <v>0.49473826999999998</v>
      </c>
      <c r="H662" s="24" t="s">
        <v>104</v>
      </c>
    </row>
    <row r="663" spans="1:8" x14ac:dyDescent="0.3">
      <c r="A663" s="24" t="s">
        <v>23</v>
      </c>
      <c r="B663" s="24" t="s">
        <v>106</v>
      </c>
      <c r="C663" s="24" t="s">
        <v>82</v>
      </c>
      <c r="D663" s="138">
        <v>-0.29994852</v>
      </c>
      <c r="E663" s="138">
        <v>0.54322466000000003</v>
      </c>
      <c r="F663" s="138">
        <v>0.44895499</v>
      </c>
      <c r="G663" s="138">
        <v>0.47699965</v>
      </c>
      <c r="H663" s="24" t="s">
        <v>104</v>
      </c>
    </row>
    <row r="664" spans="1:8" x14ac:dyDescent="0.3">
      <c r="A664" s="24" t="s">
        <v>23</v>
      </c>
      <c r="B664" s="24" t="s">
        <v>106</v>
      </c>
      <c r="C664" s="24" t="s">
        <v>81</v>
      </c>
      <c r="D664" s="138">
        <v>-0.52320292000000002</v>
      </c>
      <c r="E664" s="138">
        <v>6.6979220000000006E-2</v>
      </c>
      <c r="F664" s="138">
        <v>0.23095598000000001</v>
      </c>
      <c r="G664" s="138">
        <v>0.29467438000000001</v>
      </c>
      <c r="H664" s="24" t="s">
        <v>104</v>
      </c>
    </row>
    <row r="665" spans="1:8" x14ac:dyDescent="0.3">
      <c r="A665" s="24" t="s">
        <v>23</v>
      </c>
      <c r="B665" s="24" t="s">
        <v>106</v>
      </c>
      <c r="C665" s="24" t="s">
        <v>85</v>
      </c>
      <c r="D665" s="138">
        <v>2.0734969999999998E-2</v>
      </c>
      <c r="E665" s="138">
        <v>0.95223663000000003</v>
      </c>
      <c r="F665" s="138">
        <v>0.31941414000000001</v>
      </c>
      <c r="G665" s="138">
        <v>0.42854700000000001</v>
      </c>
      <c r="H665" s="24" t="s">
        <v>104</v>
      </c>
    </row>
    <row r="666" spans="1:8" x14ac:dyDescent="0.3">
      <c r="A666" s="24" t="s">
        <v>23</v>
      </c>
      <c r="B666" s="24" t="s">
        <v>106</v>
      </c>
      <c r="C666" s="24" t="s">
        <v>92</v>
      </c>
      <c r="D666" s="138">
        <v>-0.26901100999999999</v>
      </c>
      <c r="E666" s="138">
        <v>0.58061852000000003</v>
      </c>
      <c r="F666" s="138">
        <v>0.44415939999999998</v>
      </c>
      <c r="G666" s="138">
        <v>0.47729789</v>
      </c>
      <c r="H666" s="24" t="s">
        <v>104</v>
      </c>
    </row>
    <row r="667" spans="1:8" x14ac:dyDescent="0.3">
      <c r="A667" s="24" t="s">
        <v>23</v>
      </c>
      <c r="B667" s="24" t="s">
        <v>106</v>
      </c>
      <c r="C667" s="24" t="s">
        <v>80</v>
      </c>
      <c r="D667" s="138">
        <v>-0.22801018000000001</v>
      </c>
      <c r="E667" s="138">
        <v>0.63899384000000004</v>
      </c>
      <c r="F667" s="138">
        <v>0.44481472999999999</v>
      </c>
      <c r="G667" s="138">
        <v>0.46702845999999998</v>
      </c>
      <c r="H667" s="24" t="s">
        <v>104</v>
      </c>
    </row>
    <row r="668" spans="1:8" x14ac:dyDescent="0.3">
      <c r="A668" s="24" t="s">
        <v>23</v>
      </c>
      <c r="B668" s="24" t="s">
        <v>106</v>
      </c>
      <c r="C668" s="24" t="s">
        <v>77</v>
      </c>
      <c r="D668" s="138">
        <v>-0.28357960999999998</v>
      </c>
      <c r="E668" s="138">
        <v>0.56668426999999999</v>
      </c>
      <c r="F668" s="138">
        <v>0.45109670000000002</v>
      </c>
      <c r="G668" s="138">
        <v>0.50310650000000001</v>
      </c>
      <c r="H668" s="24" t="s">
        <v>104</v>
      </c>
    </row>
    <row r="669" spans="1:8" x14ac:dyDescent="0.3">
      <c r="A669" s="24" t="s">
        <v>23</v>
      </c>
      <c r="B669" s="24" t="s">
        <v>106</v>
      </c>
      <c r="C669" s="24" t="s">
        <v>76</v>
      </c>
      <c r="D669" s="138">
        <v>-0.26324999999999998</v>
      </c>
      <c r="E669" s="138">
        <v>0.60429873000000001</v>
      </c>
      <c r="F669" s="138">
        <v>0.46402426000000002</v>
      </c>
      <c r="G669" s="138">
        <v>0.53830893000000002</v>
      </c>
      <c r="H669" s="24" t="s">
        <v>104</v>
      </c>
    </row>
    <row r="670" spans="1:8" x14ac:dyDescent="0.3">
      <c r="A670" s="24" t="s">
        <v>23</v>
      </c>
      <c r="B670" s="24" t="s">
        <v>106</v>
      </c>
      <c r="C670" s="24" t="s">
        <v>75</v>
      </c>
      <c r="D670" s="138">
        <v>-0.43986347999999997</v>
      </c>
      <c r="E670" s="138">
        <v>0.29363255999999999</v>
      </c>
      <c r="F670" s="138">
        <v>0.37051024999999999</v>
      </c>
      <c r="G670" s="138">
        <v>0.58330585000000001</v>
      </c>
      <c r="H670" s="24" t="s">
        <v>104</v>
      </c>
    </row>
    <row r="671" spans="1:8" x14ac:dyDescent="0.3">
      <c r="A671" s="24" t="s">
        <v>23</v>
      </c>
      <c r="B671" s="24" t="s">
        <v>106</v>
      </c>
      <c r="C671" s="24" t="s">
        <v>74</v>
      </c>
      <c r="D671" s="138">
        <v>-0.34691008000000001</v>
      </c>
      <c r="E671" s="138">
        <v>0.45124228999999999</v>
      </c>
      <c r="F671" s="138">
        <v>0.41586358000000001</v>
      </c>
      <c r="G671" s="138">
        <v>0.44651058999999999</v>
      </c>
      <c r="H671" s="24" t="s">
        <v>104</v>
      </c>
    </row>
    <row r="672" spans="1:8" x14ac:dyDescent="0.3">
      <c r="A672" s="24" t="s">
        <v>23</v>
      </c>
      <c r="B672" s="24" t="s">
        <v>106</v>
      </c>
      <c r="C672" s="24" t="s">
        <v>73</v>
      </c>
      <c r="D672" s="138">
        <v>-0.12611373000000001</v>
      </c>
      <c r="E672" s="138">
        <v>0.77597132000000002</v>
      </c>
      <c r="F672" s="138">
        <v>0.40771810000000003</v>
      </c>
      <c r="G672" s="138">
        <v>0.45059574000000002</v>
      </c>
      <c r="H672" s="24" t="s">
        <v>104</v>
      </c>
    </row>
    <row r="673" spans="1:8" x14ac:dyDescent="0.3">
      <c r="A673" s="24" t="s">
        <v>23</v>
      </c>
      <c r="B673" s="24" t="s">
        <v>106</v>
      </c>
      <c r="C673" s="24" t="s">
        <v>78</v>
      </c>
      <c r="D673" s="138">
        <v>0.27007658000000001</v>
      </c>
      <c r="E673" s="138">
        <v>0.569434</v>
      </c>
      <c r="F673" s="138">
        <v>0.43275686000000002</v>
      </c>
      <c r="G673" s="138">
        <v>0.44722265</v>
      </c>
      <c r="H673" s="24" t="s">
        <v>104</v>
      </c>
    </row>
    <row r="674" spans="1:8" x14ac:dyDescent="0.3">
      <c r="A674" s="24" t="s">
        <v>24</v>
      </c>
      <c r="B674" s="24" t="s">
        <v>95</v>
      </c>
      <c r="C674" s="24" t="s">
        <v>79</v>
      </c>
      <c r="D674" s="138">
        <v>0.39884871</v>
      </c>
      <c r="E674" s="138">
        <v>0.21705002000000001</v>
      </c>
      <c r="F674" s="138">
        <v>0.34441221999999999</v>
      </c>
      <c r="G674" s="138">
        <v>0.30952495000000002</v>
      </c>
      <c r="H674" s="24" t="s">
        <v>104</v>
      </c>
    </row>
    <row r="675" spans="1:8" x14ac:dyDescent="0.3">
      <c r="A675" s="24" t="s">
        <v>24</v>
      </c>
      <c r="B675" s="24" t="s">
        <v>95</v>
      </c>
      <c r="C675" s="24" t="s">
        <v>84</v>
      </c>
      <c r="D675" s="138">
        <v>0.37684255</v>
      </c>
      <c r="E675" s="138">
        <v>0.24769447</v>
      </c>
      <c r="F675" s="138">
        <v>0.35005237</v>
      </c>
      <c r="G675" s="138">
        <v>0.31306300999999997</v>
      </c>
      <c r="H675" s="24" t="s">
        <v>104</v>
      </c>
    </row>
    <row r="676" spans="1:8" x14ac:dyDescent="0.3">
      <c r="A676" s="24" t="s">
        <v>24</v>
      </c>
      <c r="B676" s="24" t="s">
        <v>95</v>
      </c>
      <c r="C676" s="24" t="s">
        <v>83</v>
      </c>
      <c r="D676" s="138">
        <v>0.42793229999999999</v>
      </c>
      <c r="E676" s="138">
        <v>0.19134244</v>
      </c>
      <c r="F676" s="138">
        <v>0.34659533999999997</v>
      </c>
      <c r="G676" s="138">
        <v>0.30978928</v>
      </c>
      <c r="H676" s="24" t="s">
        <v>104</v>
      </c>
    </row>
    <row r="677" spans="1:8" x14ac:dyDescent="0.3">
      <c r="A677" s="24" t="s">
        <v>24</v>
      </c>
      <c r="B677" s="24" t="s">
        <v>95</v>
      </c>
      <c r="C677" s="24" t="s">
        <v>82</v>
      </c>
      <c r="D677" s="138">
        <v>0.25007998999999997</v>
      </c>
      <c r="E677" s="138">
        <v>0.45930271</v>
      </c>
      <c r="F677" s="138">
        <v>0.37413629999999998</v>
      </c>
      <c r="G677" s="138">
        <v>0.33380878000000003</v>
      </c>
      <c r="H677" s="24" t="s">
        <v>104</v>
      </c>
    </row>
    <row r="678" spans="1:8" x14ac:dyDescent="0.3">
      <c r="A678" s="24" t="s">
        <v>24</v>
      </c>
      <c r="B678" s="24" t="s">
        <v>95</v>
      </c>
      <c r="C678" s="24" t="s">
        <v>81</v>
      </c>
      <c r="D678" s="138">
        <v>-0.15302009999999999</v>
      </c>
      <c r="E678" s="138">
        <v>0.62134352000000004</v>
      </c>
      <c r="F678" s="138">
        <v>0.34696688999999997</v>
      </c>
      <c r="G678" s="138">
        <v>0.30572839000000002</v>
      </c>
      <c r="H678" s="24" t="s">
        <v>104</v>
      </c>
    </row>
    <row r="679" spans="1:8" x14ac:dyDescent="0.3">
      <c r="A679" s="24" t="s">
        <v>24</v>
      </c>
      <c r="B679" s="24" t="s">
        <v>95</v>
      </c>
      <c r="C679" s="24" t="s">
        <v>85</v>
      </c>
      <c r="D679" s="138">
        <v>-0.84841180999999999</v>
      </c>
      <c r="E679" s="138">
        <v>3.3565999999999999E-4</v>
      </c>
      <c r="F679" s="138">
        <v>0.15300986</v>
      </c>
      <c r="G679" s="138">
        <v>0.10498569000000001</v>
      </c>
      <c r="H679" s="24" t="s">
        <v>104</v>
      </c>
    </row>
    <row r="680" spans="1:8" x14ac:dyDescent="0.3">
      <c r="A680" s="24" t="s">
        <v>24</v>
      </c>
      <c r="B680" s="24" t="s">
        <v>95</v>
      </c>
      <c r="C680" s="24" t="s">
        <v>92</v>
      </c>
      <c r="D680" s="138">
        <v>0.39884871</v>
      </c>
      <c r="E680" s="138">
        <v>0.21705002000000001</v>
      </c>
      <c r="F680" s="138">
        <v>0.34441221999999999</v>
      </c>
      <c r="G680" s="138">
        <v>0.30952495000000002</v>
      </c>
      <c r="H680" s="24" t="s">
        <v>104</v>
      </c>
    </row>
    <row r="681" spans="1:8" x14ac:dyDescent="0.3">
      <c r="A681" s="24" t="s">
        <v>24</v>
      </c>
      <c r="B681" s="24" t="s">
        <v>95</v>
      </c>
      <c r="C681" s="24" t="s">
        <v>80</v>
      </c>
      <c r="D681" s="138">
        <v>0.39939692999999998</v>
      </c>
      <c r="E681" s="138">
        <v>0.21564589000000001</v>
      </c>
      <c r="F681" s="138">
        <v>0.34370698999999999</v>
      </c>
      <c r="G681" s="138">
        <v>0.30913351</v>
      </c>
      <c r="H681" s="24" t="s">
        <v>104</v>
      </c>
    </row>
    <row r="682" spans="1:8" x14ac:dyDescent="0.3">
      <c r="A682" s="24" t="s">
        <v>24</v>
      </c>
      <c r="B682" s="24" t="s">
        <v>95</v>
      </c>
      <c r="C682" s="24" t="s">
        <v>77</v>
      </c>
      <c r="D682" s="138">
        <v>0.42764311999999999</v>
      </c>
      <c r="E682" s="138">
        <v>0.19133138</v>
      </c>
      <c r="F682" s="138">
        <v>0.34635132000000002</v>
      </c>
      <c r="G682" s="138">
        <v>0.30953291999999999</v>
      </c>
      <c r="H682" s="24" t="s">
        <v>104</v>
      </c>
    </row>
    <row r="683" spans="1:8" x14ac:dyDescent="0.3">
      <c r="A683" s="24" t="s">
        <v>24</v>
      </c>
      <c r="B683" s="24" t="s">
        <v>95</v>
      </c>
      <c r="C683" s="24" t="s">
        <v>76</v>
      </c>
      <c r="D683" s="138">
        <v>0.33806946999999998</v>
      </c>
      <c r="E683" s="138">
        <v>0.36708550000000001</v>
      </c>
      <c r="F683" s="138">
        <v>0.41073468000000002</v>
      </c>
      <c r="G683" s="138">
        <v>0.35053635</v>
      </c>
      <c r="H683" s="24" t="s">
        <v>104</v>
      </c>
    </row>
    <row r="684" spans="1:8" x14ac:dyDescent="0.3">
      <c r="A684" s="24" t="s">
        <v>24</v>
      </c>
      <c r="B684" s="24" t="s">
        <v>95</v>
      </c>
      <c r="C684" s="24" t="s">
        <v>75</v>
      </c>
      <c r="D684" s="138">
        <v>0.44893258000000003</v>
      </c>
      <c r="E684" s="138">
        <v>0.22513058999999999</v>
      </c>
      <c r="F684" s="138">
        <v>0.39531526</v>
      </c>
      <c r="G684" s="138">
        <v>0.33875117999999999</v>
      </c>
      <c r="H684" s="24" t="s">
        <v>104</v>
      </c>
    </row>
    <row r="685" spans="1:8" x14ac:dyDescent="0.3">
      <c r="A685" s="24" t="s">
        <v>24</v>
      </c>
      <c r="B685" s="24" t="s">
        <v>95</v>
      </c>
      <c r="C685" s="24" t="s">
        <v>74</v>
      </c>
      <c r="D685" s="138">
        <v>0.30439368999999999</v>
      </c>
      <c r="E685" s="138">
        <v>0.35255660999999999</v>
      </c>
      <c r="F685" s="138">
        <v>0.35810065000000002</v>
      </c>
      <c r="G685" s="138">
        <v>0.32054422999999999</v>
      </c>
      <c r="H685" s="24" t="s">
        <v>104</v>
      </c>
    </row>
    <row r="686" spans="1:8" x14ac:dyDescent="0.3">
      <c r="A686" s="24" t="s">
        <v>24</v>
      </c>
      <c r="B686" s="24" t="s">
        <v>95</v>
      </c>
      <c r="C686" s="24" t="s">
        <v>73</v>
      </c>
      <c r="D686" s="138">
        <v>-0.73836553999999999</v>
      </c>
      <c r="E686" s="138">
        <v>4.0601999999999999E-4</v>
      </c>
      <c r="F686" s="138">
        <v>0.13739214999999999</v>
      </c>
      <c r="G686" s="138">
        <v>0.16314587999999999</v>
      </c>
      <c r="H686" s="24" t="s">
        <v>104</v>
      </c>
    </row>
    <row r="687" spans="1:8" x14ac:dyDescent="0.3">
      <c r="A687" s="24" t="s">
        <v>24</v>
      </c>
      <c r="B687" s="24" t="s">
        <v>95</v>
      </c>
      <c r="C687" s="24" t="s">
        <v>78</v>
      </c>
      <c r="D687" s="138">
        <v>-0.75111338000000005</v>
      </c>
      <c r="E687" s="138">
        <v>4.1101499999999999E-3</v>
      </c>
      <c r="F687" s="138">
        <v>0.21022488</v>
      </c>
      <c r="G687" s="138">
        <v>0.13891376999999999</v>
      </c>
      <c r="H687" s="24" t="s">
        <v>104</v>
      </c>
    </row>
    <row r="688" spans="1:8" x14ac:dyDescent="0.3">
      <c r="A688" s="24" t="s">
        <v>24</v>
      </c>
      <c r="B688" s="24" t="s">
        <v>105</v>
      </c>
      <c r="C688" s="24" t="s">
        <v>79</v>
      </c>
      <c r="D688" s="138">
        <v>0.66312592000000004</v>
      </c>
      <c r="E688" s="138">
        <v>4.2882160000000002E-2</v>
      </c>
      <c r="F688" s="138">
        <v>0.2487829</v>
      </c>
      <c r="G688" s="138">
        <v>0.24895579000000001</v>
      </c>
      <c r="H688" s="24" t="s">
        <v>104</v>
      </c>
    </row>
    <row r="689" spans="1:8" x14ac:dyDescent="0.3">
      <c r="A689" s="24" t="s">
        <v>24</v>
      </c>
      <c r="B689" s="24" t="s">
        <v>105</v>
      </c>
      <c r="C689" s="24" t="s">
        <v>84</v>
      </c>
      <c r="D689" s="138">
        <v>0.64688159000000001</v>
      </c>
      <c r="E689" s="138">
        <v>5.0925030000000003E-2</v>
      </c>
      <c r="F689" s="138">
        <v>0.25476565000000001</v>
      </c>
      <c r="G689" s="138">
        <v>0.25858730000000002</v>
      </c>
      <c r="H689" s="24" t="s">
        <v>104</v>
      </c>
    </row>
    <row r="690" spans="1:8" x14ac:dyDescent="0.3">
      <c r="A690" s="24" t="s">
        <v>24</v>
      </c>
      <c r="B690" s="24" t="s">
        <v>105</v>
      </c>
      <c r="C690" s="24" t="s">
        <v>83</v>
      </c>
      <c r="D690" s="138">
        <v>0.65441015999999996</v>
      </c>
      <c r="E690" s="138">
        <v>4.6529609999999999E-2</v>
      </c>
      <c r="F690" s="138">
        <v>0.25117386000000003</v>
      </c>
      <c r="G690" s="138">
        <v>0.24636853</v>
      </c>
      <c r="H690" s="24" t="s">
        <v>104</v>
      </c>
    </row>
    <row r="691" spans="1:8" x14ac:dyDescent="0.3">
      <c r="A691" s="24" t="s">
        <v>24</v>
      </c>
      <c r="B691" s="24" t="s">
        <v>105</v>
      </c>
      <c r="C691" s="24" t="s">
        <v>82</v>
      </c>
      <c r="D691" s="138">
        <v>0.65314565000000002</v>
      </c>
      <c r="E691" s="138">
        <v>5.1488590000000001E-2</v>
      </c>
      <c r="F691" s="138">
        <v>0.25805309999999998</v>
      </c>
      <c r="G691" s="138">
        <v>0.30459700000000001</v>
      </c>
      <c r="H691" s="24" t="s">
        <v>104</v>
      </c>
    </row>
    <row r="692" spans="1:8" x14ac:dyDescent="0.3">
      <c r="A692" s="24" t="s">
        <v>24</v>
      </c>
      <c r="B692" s="24" t="s">
        <v>105</v>
      </c>
      <c r="C692" s="24" t="s">
        <v>81</v>
      </c>
      <c r="D692" s="138">
        <v>0.40512241999999998</v>
      </c>
      <c r="E692" s="138">
        <v>0.26385585</v>
      </c>
      <c r="F692" s="138">
        <v>0.30895558000000001</v>
      </c>
      <c r="G692" s="138">
        <v>0.40984384000000001</v>
      </c>
      <c r="H692" s="24" t="s">
        <v>104</v>
      </c>
    </row>
    <row r="693" spans="1:8" x14ac:dyDescent="0.3">
      <c r="A693" s="24" t="s">
        <v>24</v>
      </c>
      <c r="B693" s="24" t="s">
        <v>105</v>
      </c>
      <c r="C693" s="24" t="s">
        <v>85</v>
      </c>
      <c r="D693" s="138">
        <v>-0.24440877999999999</v>
      </c>
      <c r="E693" s="138">
        <v>0.46573635000000002</v>
      </c>
      <c r="F693" s="138">
        <v>0.29352855999999999</v>
      </c>
      <c r="G693" s="138">
        <v>0.35885399000000001</v>
      </c>
      <c r="H693" s="24" t="s">
        <v>104</v>
      </c>
    </row>
    <row r="694" spans="1:8" x14ac:dyDescent="0.3">
      <c r="A694" s="24" t="s">
        <v>24</v>
      </c>
      <c r="B694" s="24" t="s">
        <v>105</v>
      </c>
      <c r="C694" s="24" t="s">
        <v>92</v>
      </c>
      <c r="D694" s="138">
        <v>0.66312592000000004</v>
      </c>
      <c r="E694" s="138">
        <v>4.2882160000000002E-2</v>
      </c>
      <c r="F694" s="138">
        <v>0.2487829</v>
      </c>
      <c r="G694" s="138">
        <v>0.24895579000000001</v>
      </c>
      <c r="H694" s="24" t="s">
        <v>104</v>
      </c>
    </row>
    <row r="695" spans="1:8" x14ac:dyDescent="0.3">
      <c r="A695" s="24" t="s">
        <v>24</v>
      </c>
      <c r="B695" s="24" t="s">
        <v>105</v>
      </c>
      <c r="C695" s="24" t="s">
        <v>80</v>
      </c>
      <c r="D695" s="138">
        <v>0.66170178000000002</v>
      </c>
      <c r="E695" s="138">
        <v>4.3474690000000003E-2</v>
      </c>
      <c r="F695" s="138">
        <v>0.24919362</v>
      </c>
      <c r="G695" s="138">
        <v>0.24905441</v>
      </c>
      <c r="H695" s="24" t="s">
        <v>104</v>
      </c>
    </row>
    <row r="696" spans="1:8" x14ac:dyDescent="0.3">
      <c r="A696" s="24" t="s">
        <v>24</v>
      </c>
      <c r="B696" s="24" t="s">
        <v>105</v>
      </c>
      <c r="C696" s="24" t="s">
        <v>77</v>
      </c>
      <c r="D696" s="138">
        <v>0.65056267999999995</v>
      </c>
      <c r="E696" s="138">
        <v>4.8619339999999997E-2</v>
      </c>
      <c r="F696" s="138">
        <v>0.25282930999999997</v>
      </c>
      <c r="G696" s="138">
        <v>0.24648111</v>
      </c>
      <c r="H696" s="24" t="s">
        <v>104</v>
      </c>
    </row>
    <row r="697" spans="1:8" x14ac:dyDescent="0.3">
      <c r="A697" s="24" t="s">
        <v>24</v>
      </c>
      <c r="B697" s="24" t="s">
        <v>105</v>
      </c>
      <c r="C697" s="24" t="s">
        <v>76</v>
      </c>
      <c r="D697" s="138">
        <v>0.72167687999999997</v>
      </c>
      <c r="E697" s="138">
        <v>2.128683E-2</v>
      </c>
      <c r="F697" s="138">
        <v>0.22631952999999999</v>
      </c>
      <c r="G697" s="138">
        <v>0.22782899000000001</v>
      </c>
      <c r="H697" s="24" t="s">
        <v>104</v>
      </c>
    </row>
    <row r="698" spans="1:8" x14ac:dyDescent="0.3">
      <c r="A698" s="24" t="s">
        <v>24</v>
      </c>
      <c r="B698" s="24" t="s">
        <v>105</v>
      </c>
      <c r="C698" s="24" t="s">
        <v>75</v>
      </c>
      <c r="D698" s="138">
        <v>0.65968729999999998</v>
      </c>
      <c r="E698" s="138">
        <v>4.4756270000000001E-2</v>
      </c>
      <c r="F698" s="138">
        <v>0.25045214999999998</v>
      </c>
      <c r="G698" s="138">
        <v>0.24279548000000001</v>
      </c>
      <c r="H698" s="24" t="s">
        <v>104</v>
      </c>
    </row>
    <row r="699" spans="1:8" x14ac:dyDescent="0.3">
      <c r="A699" s="24" t="s">
        <v>24</v>
      </c>
      <c r="B699" s="24" t="s">
        <v>105</v>
      </c>
      <c r="C699" s="24" t="s">
        <v>74</v>
      </c>
      <c r="D699" s="138">
        <v>0.62668818000000004</v>
      </c>
      <c r="E699" s="138">
        <v>6.2612459999999995E-2</v>
      </c>
      <c r="F699" s="138">
        <v>0.26245255000000001</v>
      </c>
      <c r="G699" s="138">
        <v>0.28108250000000001</v>
      </c>
      <c r="H699" s="24" t="s">
        <v>104</v>
      </c>
    </row>
    <row r="700" spans="1:8" x14ac:dyDescent="0.3">
      <c r="A700" s="24" t="s">
        <v>24</v>
      </c>
      <c r="B700" s="24" t="s">
        <v>105</v>
      </c>
      <c r="C700" s="24" t="s">
        <v>73</v>
      </c>
      <c r="D700" s="138">
        <v>0.16635842000000001</v>
      </c>
      <c r="E700" s="138">
        <v>0.67023487000000004</v>
      </c>
      <c r="F700" s="138">
        <v>0.34685617000000002</v>
      </c>
      <c r="G700" s="138">
        <v>0.39890984000000002</v>
      </c>
      <c r="H700" s="24" t="s">
        <v>104</v>
      </c>
    </row>
    <row r="701" spans="1:8" x14ac:dyDescent="0.3">
      <c r="A701" s="24" t="s">
        <v>24</v>
      </c>
      <c r="B701" s="24" t="s">
        <v>105</v>
      </c>
      <c r="C701" s="24" t="s">
        <v>78</v>
      </c>
      <c r="D701" s="138">
        <v>-0.45278444000000001</v>
      </c>
      <c r="E701" s="138">
        <v>0.10252783</v>
      </c>
      <c r="F701" s="138">
        <v>0.22339518</v>
      </c>
      <c r="G701" s="138">
        <v>0.26572359000000001</v>
      </c>
      <c r="H701" s="24" t="s">
        <v>104</v>
      </c>
    </row>
    <row r="702" spans="1:8" x14ac:dyDescent="0.3">
      <c r="A702" s="24" t="s">
        <v>24</v>
      </c>
      <c r="B702" s="24" t="s">
        <v>106</v>
      </c>
      <c r="C702" s="24" t="s">
        <v>79</v>
      </c>
      <c r="D702" s="138">
        <v>0.55839954999999997</v>
      </c>
      <c r="E702" s="138">
        <v>7.9201179999999996E-2</v>
      </c>
      <c r="F702" s="138">
        <v>0.30855708999999998</v>
      </c>
      <c r="G702" s="138">
        <v>0.25515124</v>
      </c>
      <c r="H702" s="24" t="s">
        <v>104</v>
      </c>
    </row>
    <row r="703" spans="1:8" x14ac:dyDescent="0.3">
      <c r="A703" s="24" t="s">
        <v>24</v>
      </c>
      <c r="B703" s="24" t="s">
        <v>106</v>
      </c>
      <c r="C703" s="24" t="s">
        <v>84</v>
      </c>
      <c r="D703" s="138">
        <v>0.53422384999999994</v>
      </c>
      <c r="E703" s="138">
        <v>9.7785570000000002E-2</v>
      </c>
      <c r="F703" s="138">
        <v>0.31730247</v>
      </c>
      <c r="G703" s="138">
        <v>0.26314122000000001</v>
      </c>
      <c r="H703" s="24" t="s">
        <v>104</v>
      </c>
    </row>
    <row r="704" spans="1:8" x14ac:dyDescent="0.3">
      <c r="A704" s="24" t="s">
        <v>24</v>
      </c>
      <c r="B704" s="24" t="s">
        <v>106</v>
      </c>
      <c r="C704" s="24" t="s">
        <v>83</v>
      </c>
      <c r="D704" s="138">
        <v>0.58050778000000003</v>
      </c>
      <c r="E704" s="138">
        <v>7.2023690000000001E-2</v>
      </c>
      <c r="F704" s="138">
        <v>0.31102489999999999</v>
      </c>
      <c r="G704" s="138">
        <v>0.25323257999999998</v>
      </c>
      <c r="H704" s="24" t="s">
        <v>104</v>
      </c>
    </row>
    <row r="705" spans="1:8" x14ac:dyDescent="0.3">
      <c r="A705" s="24" t="s">
        <v>24</v>
      </c>
      <c r="B705" s="24" t="s">
        <v>106</v>
      </c>
      <c r="C705" s="24" t="s">
        <v>82</v>
      </c>
      <c r="D705" s="138">
        <v>0.42751908</v>
      </c>
      <c r="E705" s="138">
        <v>0.21121139999999999</v>
      </c>
      <c r="F705" s="138">
        <v>0.35241740999999999</v>
      </c>
      <c r="G705" s="138">
        <v>0.31121053999999998</v>
      </c>
      <c r="H705" s="24" t="s">
        <v>104</v>
      </c>
    </row>
    <row r="706" spans="1:8" x14ac:dyDescent="0.3">
      <c r="A706" s="24" t="s">
        <v>24</v>
      </c>
      <c r="B706" s="24" t="s">
        <v>106</v>
      </c>
      <c r="C706" s="24" t="s">
        <v>81</v>
      </c>
      <c r="D706" s="138">
        <v>8.3051999999999996E-4</v>
      </c>
      <c r="E706" s="138">
        <v>0.99782530000000003</v>
      </c>
      <c r="F706" s="138">
        <v>0.33356036999999999</v>
      </c>
      <c r="G706" s="138">
        <v>0.30551054</v>
      </c>
      <c r="H706" s="24" t="s">
        <v>104</v>
      </c>
    </row>
    <row r="707" spans="1:8" x14ac:dyDescent="0.3">
      <c r="A707" s="24" t="s">
        <v>24</v>
      </c>
      <c r="B707" s="24" t="s">
        <v>106</v>
      </c>
      <c r="C707" s="24" t="s">
        <v>85</v>
      </c>
      <c r="D707" s="138">
        <v>-0.80753501999999999</v>
      </c>
      <c r="E707" s="138">
        <v>8.9010000000000001E-4</v>
      </c>
      <c r="F707" s="138">
        <v>0.16602539999999999</v>
      </c>
      <c r="G707" s="138">
        <v>0.11530325</v>
      </c>
      <c r="H707" s="24" t="s">
        <v>104</v>
      </c>
    </row>
    <row r="708" spans="1:8" x14ac:dyDescent="0.3">
      <c r="A708" s="24" t="s">
        <v>24</v>
      </c>
      <c r="B708" s="24" t="s">
        <v>106</v>
      </c>
      <c r="C708" s="24" t="s">
        <v>92</v>
      </c>
      <c r="D708" s="138">
        <v>0.55839954999999997</v>
      </c>
      <c r="E708" s="138">
        <v>7.9201179999999996E-2</v>
      </c>
      <c r="F708" s="138">
        <v>0.30855708999999998</v>
      </c>
      <c r="G708" s="138">
        <v>0.25515124</v>
      </c>
      <c r="H708" s="24" t="s">
        <v>104</v>
      </c>
    </row>
    <row r="709" spans="1:8" x14ac:dyDescent="0.3">
      <c r="A709" s="24" t="s">
        <v>24</v>
      </c>
      <c r="B709" s="24" t="s">
        <v>106</v>
      </c>
      <c r="C709" s="24" t="s">
        <v>80</v>
      </c>
      <c r="D709" s="138">
        <v>0.55840546999999996</v>
      </c>
      <c r="E709" s="138">
        <v>7.8957390000000002E-2</v>
      </c>
      <c r="F709" s="138">
        <v>0.30824673000000002</v>
      </c>
      <c r="G709" s="138">
        <v>0.25497420999999998</v>
      </c>
      <c r="H709" s="24" t="s">
        <v>104</v>
      </c>
    </row>
    <row r="710" spans="1:8" x14ac:dyDescent="0.3">
      <c r="A710" s="24" t="s">
        <v>24</v>
      </c>
      <c r="B710" s="24" t="s">
        <v>106</v>
      </c>
      <c r="C710" s="24" t="s">
        <v>77</v>
      </c>
      <c r="D710" s="138">
        <v>0.57900510000000005</v>
      </c>
      <c r="E710" s="138">
        <v>7.2942800000000002E-2</v>
      </c>
      <c r="F710" s="138">
        <v>0.31148319000000002</v>
      </c>
      <c r="G710" s="138">
        <v>0.25297913</v>
      </c>
      <c r="H710" s="24" t="s">
        <v>104</v>
      </c>
    </row>
    <row r="711" spans="1:8" x14ac:dyDescent="0.3">
      <c r="A711" s="24" t="s">
        <v>24</v>
      </c>
      <c r="B711" s="24" t="s">
        <v>106</v>
      </c>
      <c r="C711" s="24" t="s">
        <v>76</v>
      </c>
      <c r="D711" s="138">
        <v>0.52535063000000004</v>
      </c>
      <c r="E711" s="138">
        <v>0.13078287999999999</v>
      </c>
      <c r="F711" s="138">
        <v>0.34824905</v>
      </c>
      <c r="G711" s="138">
        <v>0.26994477</v>
      </c>
      <c r="H711" s="24" t="s">
        <v>104</v>
      </c>
    </row>
    <row r="712" spans="1:8" x14ac:dyDescent="0.3">
      <c r="A712" s="24" t="s">
        <v>24</v>
      </c>
      <c r="B712" s="24" t="s">
        <v>106</v>
      </c>
      <c r="C712" s="24" t="s">
        <v>75</v>
      </c>
      <c r="D712" s="138">
        <v>0.60024434999999998</v>
      </c>
      <c r="E712" s="138">
        <v>8.141118E-2</v>
      </c>
      <c r="F712" s="138">
        <v>0.33472004999999999</v>
      </c>
      <c r="G712" s="138">
        <v>0.26526145000000001</v>
      </c>
      <c r="H712" s="24" t="s">
        <v>104</v>
      </c>
    </row>
    <row r="713" spans="1:8" x14ac:dyDescent="0.3">
      <c r="A713" s="24" t="s">
        <v>24</v>
      </c>
      <c r="B713" s="24" t="s">
        <v>106</v>
      </c>
      <c r="C713" s="24" t="s">
        <v>74</v>
      </c>
      <c r="D713" s="138">
        <v>0.46548653000000001</v>
      </c>
      <c r="E713" s="138">
        <v>0.15402065000000001</v>
      </c>
      <c r="F713" s="138">
        <v>0.3303719</v>
      </c>
      <c r="G713" s="138">
        <v>0.28128627</v>
      </c>
      <c r="H713" s="24" t="s">
        <v>104</v>
      </c>
    </row>
    <row r="714" spans="1:8" x14ac:dyDescent="0.3">
      <c r="A714" s="24" t="s">
        <v>24</v>
      </c>
      <c r="B714" s="24" t="s">
        <v>106</v>
      </c>
      <c r="C714" s="24" t="s">
        <v>73</v>
      </c>
      <c r="D714" s="138">
        <v>-0.57918396999999999</v>
      </c>
      <c r="E714" s="138">
        <v>1.7706590000000001E-2</v>
      </c>
      <c r="F714" s="138">
        <v>0.21300536</v>
      </c>
      <c r="G714" s="138">
        <v>0.23324837000000001</v>
      </c>
      <c r="H714" s="24" t="s">
        <v>104</v>
      </c>
    </row>
    <row r="715" spans="1:8" x14ac:dyDescent="0.3">
      <c r="A715" s="24" t="s">
        <v>24</v>
      </c>
      <c r="B715" s="24" t="s">
        <v>106</v>
      </c>
      <c r="C715" s="24" t="s">
        <v>78</v>
      </c>
      <c r="D715" s="138">
        <v>-0.79201226999999996</v>
      </c>
      <c r="E715" s="138">
        <v>4.6744400000000002E-3</v>
      </c>
      <c r="F715" s="138">
        <v>0.22005754</v>
      </c>
      <c r="G715" s="138">
        <v>0.10911413</v>
      </c>
      <c r="H715" s="24" t="s">
        <v>104</v>
      </c>
    </row>
    <row r="716" spans="1:8" x14ac:dyDescent="0.3">
      <c r="A716" s="24" t="s">
        <v>25</v>
      </c>
      <c r="B716" s="24" t="s">
        <v>95</v>
      </c>
      <c r="C716" s="24" t="s">
        <v>79</v>
      </c>
      <c r="D716" s="138">
        <v>0.55473897000000005</v>
      </c>
      <c r="E716" s="138">
        <v>6.108131E-2</v>
      </c>
      <c r="F716" s="138">
        <v>0.14980251999999999</v>
      </c>
      <c r="G716" s="138">
        <v>0.23226927999999999</v>
      </c>
      <c r="H716" s="24" t="s">
        <v>104</v>
      </c>
    </row>
    <row r="717" spans="1:8" x14ac:dyDescent="0.3">
      <c r="A717" s="24" t="s">
        <v>25</v>
      </c>
      <c r="B717" s="24" t="s">
        <v>95</v>
      </c>
      <c r="C717" s="24" t="s">
        <v>84</v>
      </c>
      <c r="D717" s="138">
        <v>0.70107918999999996</v>
      </c>
      <c r="E717" s="138">
        <v>4.5993449999999998E-2</v>
      </c>
      <c r="F717" s="138">
        <v>0.15898398</v>
      </c>
      <c r="G717" s="138">
        <v>0.24055035</v>
      </c>
      <c r="H717" s="24" t="s">
        <v>104</v>
      </c>
    </row>
    <row r="718" spans="1:8" x14ac:dyDescent="0.3">
      <c r="A718" s="24" t="s">
        <v>25</v>
      </c>
      <c r="B718" s="24" t="s">
        <v>95</v>
      </c>
      <c r="C718" s="24" t="s">
        <v>83</v>
      </c>
      <c r="D718" s="138">
        <v>0.70408625999999996</v>
      </c>
      <c r="E718" s="138">
        <v>4.5567900000000001E-2</v>
      </c>
      <c r="F718" s="138">
        <v>0.15922938</v>
      </c>
      <c r="G718" s="138">
        <v>0.24500786999999999</v>
      </c>
      <c r="H718" s="24" t="s">
        <v>104</v>
      </c>
    </row>
    <row r="719" spans="1:8" x14ac:dyDescent="0.3">
      <c r="A719" s="24" t="s">
        <v>25</v>
      </c>
      <c r="B719" s="24" t="s">
        <v>95</v>
      </c>
      <c r="C719" s="24" t="s">
        <v>82</v>
      </c>
      <c r="D719" s="138">
        <v>0.76756853999999997</v>
      </c>
      <c r="E719" s="138">
        <v>1.97699E-2</v>
      </c>
      <c r="F719" s="138">
        <v>0.13853810999999999</v>
      </c>
      <c r="G719" s="138">
        <v>0.21682728000000001</v>
      </c>
      <c r="H719" s="24" t="s">
        <v>104</v>
      </c>
    </row>
    <row r="720" spans="1:8" x14ac:dyDescent="0.3">
      <c r="A720" s="24" t="s">
        <v>25</v>
      </c>
      <c r="B720" s="24" t="s">
        <v>95</v>
      </c>
      <c r="C720" s="24" t="s">
        <v>81</v>
      </c>
      <c r="D720" s="138">
        <v>0.79606096999999998</v>
      </c>
      <c r="E720" s="138">
        <v>1.43456E-2</v>
      </c>
      <c r="F720" s="138">
        <v>0.13286036000000001</v>
      </c>
      <c r="G720" s="138">
        <v>0.20969697000000001</v>
      </c>
      <c r="H720" s="24" t="s">
        <v>104</v>
      </c>
    </row>
    <row r="721" spans="1:8" x14ac:dyDescent="0.3">
      <c r="A721" s="24" t="s">
        <v>25</v>
      </c>
      <c r="B721" s="24" t="s">
        <v>95</v>
      </c>
      <c r="C721" s="24" t="s">
        <v>85</v>
      </c>
      <c r="D721" s="138">
        <v>-0.31732834999999998</v>
      </c>
      <c r="E721" s="138">
        <v>0.24181533</v>
      </c>
      <c r="F721" s="138">
        <v>0.13902876</v>
      </c>
      <c r="G721" s="138">
        <v>0.27846504</v>
      </c>
      <c r="H721" s="24" t="s">
        <v>104</v>
      </c>
    </row>
    <row r="722" spans="1:8" x14ac:dyDescent="0.3">
      <c r="A722" s="24" t="s">
        <v>25</v>
      </c>
      <c r="B722" s="24" t="s">
        <v>95</v>
      </c>
      <c r="C722" s="24" t="s">
        <v>92</v>
      </c>
      <c r="D722" s="138">
        <v>0.67352886999999995</v>
      </c>
      <c r="E722" s="138">
        <v>5.7293049999999998E-2</v>
      </c>
      <c r="F722" s="138">
        <v>0.16324959</v>
      </c>
      <c r="G722" s="138">
        <v>0.23328598</v>
      </c>
      <c r="H722" s="24" t="s">
        <v>104</v>
      </c>
    </row>
    <row r="723" spans="1:8" x14ac:dyDescent="0.3">
      <c r="A723" s="24" t="s">
        <v>25</v>
      </c>
      <c r="B723" s="24" t="s">
        <v>95</v>
      </c>
      <c r="C723" s="24" t="s">
        <v>80</v>
      </c>
      <c r="D723" s="138">
        <v>0.67733695999999999</v>
      </c>
      <c r="E723" s="138">
        <v>5.2673680000000001E-2</v>
      </c>
      <c r="F723" s="138">
        <v>0.15997327</v>
      </c>
      <c r="G723" s="138">
        <v>0.24535578999999999</v>
      </c>
      <c r="H723" s="24" t="s">
        <v>104</v>
      </c>
    </row>
    <row r="724" spans="1:8" x14ac:dyDescent="0.3">
      <c r="A724" s="24" t="s">
        <v>25</v>
      </c>
      <c r="B724" s="24" t="s">
        <v>95</v>
      </c>
      <c r="C724" s="24" t="s">
        <v>77</v>
      </c>
      <c r="D724" s="138">
        <v>0.71090536999999998</v>
      </c>
      <c r="E724" s="138">
        <v>4.3804860000000001E-2</v>
      </c>
      <c r="F724" s="138">
        <v>0.15892453000000001</v>
      </c>
      <c r="G724" s="138">
        <v>0.24474483999999999</v>
      </c>
      <c r="H724" s="24" t="s">
        <v>104</v>
      </c>
    </row>
    <row r="725" spans="1:8" x14ac:dyDescent="0.3">
      <c r="A725" s="24" t="s">
        <v>25</v>
      </c>
      <c r="B725" s="24" t="s">
        <v>95</v>
      </c>
      <c r="C725" s="24" t="s">
        <v>76</v>
      </c>
      <c r="D725" s="138">
        <v>0.66160277000000001</v>
      </c>
      <c r="E725" s="138">
        <v>7.6915010000000006E-2</v>
      </c>
      <c r="F725" s="138">
        <v>0.17646676</v>
      </c>
      <c r="G725" s="138">
        <v>0.22758481</v>
      </c>
      <c r="H725" s="24" t="s">
        <v>104</v>
      </c>
    </row>
    <row r="726" spans="1:8" x14ac:dyDescent="0.3">
      <c r="A726" s="24" t="s">
        <v>25</v>
      </c>
      <c r="B726" s="24" t="s">
        <v>95</v>
      </c>
      <c r="C726" s="24" t="s">
        <v>75</v>
      </c>
      <c r="D726" s="138">
        <v>0.62300003999999998</v>
      </c>
      <c r="E726" s="138">
        <v>9.3308929999999998E-2</v>
      </c>
      <c r="F726" s="138">
        <v>0.177811</v>
      </c>
      <c r="G726" s="138">
        <v>0.24683653</v>
      </c>
      <c r="H726" s="24" t="s">
        <v>104</v>
      </c>
    </row>
    <row r="727" spans="1:8" x14ac:dyDescent="0.3">
      <c r="A727" s="24" t="s">
        <v>25</v>
      </c>
      <c r="B727" s="24" t="s">
        <v>95</v>
      </c>
      <c r="C727" s="24" t="s">
        <v>74</v>
      </c>
      <c r="D727" s="138">
        <v>0.72149567999999997</v>
      </c>
      <c r="E727" s="138">
        <v>3.7457999999999998E-2</v>
      </c>
      <c r="F727" s="138">
        <v>0.15422168</v>
      </c>
      <c r="G727" s="138">
        <v>0.23631447999999999</v>
      </c>
      <c r="H727" s="24" t="s">
        <v>104</v>
      </c>
    </row>
    <row r="728" spans="1:8" x14ac:dyDescent="0.3">
      <c r="A728" s="24" t="s">
        <v>25</v>
      </c>
      <c r="B728" s="24" t="s">
        <v>95</v>
      </c>
      <c r="C728" s="24" t="s">
        <v>73</v>
      </c>
      <c r="D728" s="138">
        <v>0.24096153000000001</v>
      </c>
      <c r="E728" s="138">
        <v>0.56396597999999998</v>
      </c>
      <c r="F728" s="138">
        <v>0.22455275</v>
      </c>
      <c r="G728" s="138">
        <v>0.41615161000000001</v>
      </c>
      <c r="H728" s="24" t="s">
        <v>104</v>
      </c>
    </row>
    <row r="729" spans="1:8" x14ac:dyDescent="0.3">
      <c r="A729" s="24" t="s">
        <v>25</v>
      </c>
      <c r="B729" s="24" t="s">
        <v>95</v>
      </c>
      <c r="C729" s="24" t="s">
        <v>78</v>
      </c>
      <c r="D729" s="138">
        <v>-0.52692136999999994</v>
      </c>
      <c r="E729" s="138">
        <v>0.15891938</v>
      </c>
      <c r="F729" s="138">
        <v>0.18638829000000001</v>
      </c>
      <c r="G729" s="138">
        <v>0.25390748000000002</v>
      </c>
      <c r="H729" s="24" t="s">
        <v>104</v>
      </c>
    </row>
    <row r="730" spans="1:8" x14ac:dyDescent="0.3">
      <c r="A730" s="24" t="s">
        <v>25</v>
      </c>
      <c r="B730" s="24" t="s">
        <v>105</v>
      </c>
      <c r="C730" s="24" t="s">
        <v>79</v>
      </c>
      <c r="D730" s="138">
        <v>0.48158644</v>
      </c>
      <c r="E730" s="138">
        <v>0.10793543999999999</v>
      </c>
      <c r="F730" s="138">
        <v>0.28114863000000001</v>
      </c>
      <c r="G730" s="138">
        <v>0.30038207</v>
      </c>
      <c r="H730" s="24" t="s">
        <v>104</v>
      </c>
    </row>
    <row r="731" spans="1:8" x14ac:dyDescent="0.3">
      <c r="A731" s="24" t="s">
        <v>25</v>
      </c>
      <c r="B731" s="24" t="s">
        <v>105</v>
      </c>
      <c r="C731" s="24" t="s">
        <v>84</v>
      </c>
      <c r="D731" s="138">
        <v>0.48071121999999999</v>
      </c>
      <c r="E731" s="138">
        <v>0.11700768</v>
      </c>
      <c r="F731" s="138">
        <v>0.29957519999999999</v>
      </c>
      <c r="G731" s="138">
        <v>0.31871435999999997</v>
      </c>
      <c r="H731" s="24" t="s">
        <v>104</v>
      </c>
    </row>
    <row r="732" spans="1:8" x14ac:dyDescent="0.3">
      <c r="A732" s="24" t="s">
        <v>25</v>
      </c>
      <c r="B732" s="24" t="s">
        <v>105</v>
      </c>
      <c r="C732" s="24" t="s">
        <v>83</v>
      </c>
      <c r="D732" s="138">
        <v>0.48127652999999998</v>
      </c>
      <c r="E732" s="138">
        <v>0.11155772999999999</v>
      </c>
      <c r="F732" s="138">
        <v>0.29439085999999998</v>
      </c>
      <c r="G732" s="138">
        <v>0.31962765999999998</v>
      </c>
      <c r="H732" s="24" t="s">
        <v>104</v>
      </c>
    </row>
    <row r="733" spans="1:8" x14ac:dyDescent="0.3">
      <c r="A733" s="24" t="s">
        <v>25</v>
      </c>
      <c r="B733" s="24" t="s">
        <v>105</v>
      </c>
      <c r="C733" s="24" t="s">
        <v>82</v>
      </c>
      <c r="D733" s="138">
        <v>0.44317941</v>
      </c>
      <c r="E733" s="138">
        <v>0.16240599999999999</v>
      </c>
      <c r="F733" s="138">
        <v>0.31737796000000001</v>
      </c>
      <c r="G733" s="138">
        <v>0.33093274</v>
      </c>
      <c r="H733" s="24" t="s">
        <v>104</v>
      </c>
    </row>
    <row r="734" spans="1:8" x14ac:dyDescent="0.3">
      <c r="A734" s="24" t="s">
        <v>25</v>
      </c>
      <c r="B734" s="24" t="s">
        <v>105</v>
      </c>
      <c r="C734" s="24" t="s">
        <v>81</v>
      </c>
      <c r="D734" s="138">
        <v>0.53522966000000005</v>
      </c>
      <c r="E734" s="138">
        <v>7.3468320000000004E-2</v>
      </c>
      <c r="F734" s="138">
        <v>0.28179286999999997</v>
      </c>
      <c r="G734" s="138">
        <v>0.26656569000000002</v>
      </c>
      <c r="H734" s="24" t="s">
        <v>104</v>
      </c>
    </row>
    <row r="735" spans="1:8" x14ac:dyDescent="0.3">
      <c r="A735" s="24" t="s">
        <v>25</v>
      </c>
      <c r="B735" s="24" t="s">
        <v>105</v>
      </c>
      <c r="C735" s="24" t="s">
        <v>85</v>
      </c>
      <c r="D735" s="138">
        <v>-0.78341996000000003</v>
      </c>
      <c r="E735" s="138">
        <v>1.0883240000000001E-2</v>
      </c>
      <c r="F735" s="138">
        <v>0.24568704999999999</v>
      </c>
      <c r="G735" s="138">
        <v>0.18396889</v>
      </c>
      <c r="H735" s="24" t="s">
        <v>104</v>
      </c>
    </row>
    <row r="736" spans="1:8" x14ac:dyDescent="0.3">
      <c r="A736" s="24" t="s">
        <v>25</v>
      </c>
      <c r="B736" s="24" t="s">
        <v>105</v>
      </c>
      <c r="C736" s="24" t="s">
        <v>92</v>
      </c>
      <c r="D736" s="138">
        <v>0.47650776</v>
      </c>
      <c r="E736" s="138">
        <v>0.13014174000000001</v>
      </c>
      <c r="F736" s="138">
        <v>0.30997135999999997</v>
      </c>
      <c r="G736" s="138">
        <v>0.32276856999999998</v>
      </c>
      <c r="H736" s="24" t="s">
        <v>104</v>
      </c>
    </row>
    <row r="737" spans="1:8" x14ac:dyDescent="0.3">
      <c r="A737" s="24" t="s">
        <v>25</v>
      </c>
      <c r="B737" s="24" t="s">
        <v>105</v>
      </c>
      <c r="C737" s="24" t="s">
        <v>80</v>
      </c>
      <c r="D737" s="138">
        <v>0.46665740999999999</v>
      </c>
      <c r="E737" s="138">
        <v>0.13147685000000001</v>
      </c>
      <c r="F737" s="138">
        <v>0.30484697999999999</v>
      </c>
      <c r="G737" s="138">
        <v>0.32198829000000001</v>
      </c>
      <c r="H737" s="24" t="s">
        <v>104</v>
      </c>
    </row>
    <row r="738" spans="1:8" x14ac:dyDescent="0.3">
      <c r="A738" s="24" t="s">
        <v>25</v>
      </c>
      <c r="B738" s="24" t="s">
        <v>105</v>
      </c>
      <c r="C738" s="24" t="s">
        <v>77</v>
      </c>
      <c r="D738" s="138">
        <v>0.48841916000000002</v>
      </c>
      <c r="E738" s="138">
        <v>0.10710127999999999</v>
      </c>
      <c r="F738" s="138">
        <v>0.29412071000000001</v>
      </c>
      <c r="G738" s="138">
        <v>0.31854547999999999</v>
      </c>
      <c r="H738" s="24" t="s">
        <v>104</v>
      </c>
    </row>
    <row r="739" spans="1:8" x14ac:dyDescent="0.3">
      <c r="A739" s="24" t="s">
        <v>25</v>
      </c>
      <c r="B739" s="24" t="s">
        <v>105</v>
      </c>
      <c r="C739" s="24" t="s">
        <v>76</v>
      </c>
      <c r="D739" s="138">
        <v>0.56996617000000005</v>
      </c>
      <c r="E739" s="138">
        <v>5.5793950000000002E-2</v>
      </c>
      <c r="F739" s="138">
        <v>0.27466559000000002</v>
      </c>
      <c r="G739" s="138">
        <v>0.28497804999999998</v>
      </c>
      <c r="H739" s="24" t="s">
        <v>104</v>
      </c>
    </row>
    <row r="740" spans="1:8" x14ac:dyDescent="0.3">
      <c r="A740" s="24" t="s">
        <v>25</v>
      </c>
      <c r="B740" s="24" t="s">
        <v>105</v>
      </c>
      <c r="C740" s="24" t="s">
        <v>75</v>
      </c>
      <c r="D740" s="138">
        <v>0.51098579</v>
      </c>
      <c r="E740" s="138">
        <v>8.9845289999999994E-2</v>
      </c>
      <c r="F740" s="138">
        <v>0.28840735000000001</v>
      </c>
      <c r="G740" s="138">
        <v>0.32514534</v>
      </c>
      <c r="H740" s="24" t="s">
        <v>104</v>
      </c>
    </row>
    <row r="741" spans="1:8" x14ac:dyDescent="0.3">
      <c r="A741" s="24" t="s">
        <v>25</v>
      </c>
      <c r="B741" s="24" t="s">
        <v>105</v>
      </c>
      <c r="C741" s="24" t="s">
        <v>74</v>
      </c>
      <c r="D741" s="138">
        <v>0.48478515</v>
      </c>
      <c r="E741" s="138">
        <v>0.11456164000000001</v>
      </c>
      <c r="F741" s="138">
        <v>0.29961786000000001</v>
      </c>
      <c r="G741" s="138">
        <v>0.31326936</v>
      </c>
      <c r="H741" s="24" t="s">
        <v>104</v>
      </c>
    </row>
    <row r="742" spans="1:8" x14ac:dyDescent="0.3">
      <c r="A742" s="24" t="s">
        <v>25</v>
      </c>
      <c r="B742" s="24" t="s">
        <v>105</v>
      </c>
      <c r="C742" s="24" t="s">
        <v>73</v>
      </c>
      <c r="D742" s="138">
        <v>-0.59104133000000003</v>
      </c>
      <c r="E742" s="138">
        <v>0.11869066</v>
      </c>
      <c r="F742" s="138">
        <v>0.37041847999999999</v>
      </c>
      <c r="G742" s="138">
        <v>0.32656638999999998</v>
      </c>
      <c r="H742" s="24" t="s">
        <v>104</v>
      </c>
    </row>
    <row r="743" spans="1:8" x14ac:dyDescent="0.3">
      <c r="A743" s="24" t="s">
        <v>25</v>
      </c>
      <c r="B743" s="24" t="s">
        <v>105</v>
      </c>
      <c r="C743" s="24" t="s">
        <v>78</v>
      </c>
      <c r="D743" s="138">
        <v>-0.71658794999999997</v>
      </c>
      <c r="E743" s="138">
        <v>1.389307E-2</v>
      </c>
      <c r="F743" s="138">
        <v>0.23792551000000001</v>
      </c>
      <c r="G743" s="138">
        <v>0.17921945</v>
      </c>
      <c r="H743" s="24" t="s">
        <v>104</v>
      </c>
    </row>
    <row r="744" spans="1:8" x14ac:dyDescent="0.3">
      <c r="A744" s="24" t="s">
        <v>25</v>
      </c>
      <c r="B744" s="24" t="s">
        <v>106</v>
      </c>
      <c r="C744" s="24" t="s">
        <v>79</v>
      </c>
      <c r="D744" s="138">
        <v>0.62814272000000004</v>
      </c>
      <c r="E744" s="138">
        <v>1.400738E-2</v>
      </c>
      <c r="F744" s="138">
        <v>0.16986598999999999</v>
      </c>
      <c r="G744" s="138">
        <v>0.21974599</v>
      </c>
      <c r="H744" s="24" t="s">
        <v>104</v>
      </c>
    </row>
    <row r="745" spans="1:8" x14ac:dyDescent="0.3">
      <c r="A745" s="24" t="s">
        <v>25</v>
      </c>
      <c r="B745" s="24" t="s">
        <v>106</v>
      </c>
      <c r="C745" s="24" t="s">
        <v>84</v>
      </c>
      <c r="D745" s="138">
        <v>0.68586815999999995</v>
      </c>
      <c r="E745" s="138">
        <v>1.74921E-2</v>
      </c>
      <c r="F745" s="138">
        <v>0.19319417</v>
      </c>
      <c r="G745" s="138">
        <v>0.29784994999999997</v>
      </c>
      <c r="H745" s="24" t="s">
        <v>104</v>
      </c>
    </row>
    <row r="746" spans="1:8" x14ac:dyDescent="0.3">
      <c r="A746" s="24" t="s">
        <v>25</v>
      </c>
      <c r="B746" s="24" t="s">
        <v>106</v>
      </c>
      <c r="C746" s="24" t="s">
        <v>83</v>
      </c>
      <c r="D746" s="138">
        <v>0.68795656999999999</v>
      </c>
      <c r="E746" s="138">
        <v>1.6626100000000001E-2</v>
      </c>
      <c r="F746" s="138">
        <v>0.19139167000000001</v>
      </c>
      <c r="G746" s="138">
        <v>0.30430579000000002</v>
      </c>
      <c r="H746" s="24" t="s">
        <v>104</v>
      </c>
    </row>
    <row r="747" spans="1:8" x14ac:dyDescent="0.3">
      <c r="A747" s="24" t="s">
        <v>25</v>
      </c>
      <c r="B747" s="24" t="s">
        <v>106</v>
      </c>
      <c r="C747" s="24" t="s">
        <v>82</v>
      </c>
      <c r="D747" s="138">
        <v>0.70351469</v>
      </c>
      <c r="E747" s="138">
        <v>1.6720180000000001E-2</v>
      </c>
      <c r="F747" s="138">
        <v>0.19598926999999999</v>
      </c>
      <c r="G747" s="138">
        <v>0.29954565999999999</v>
      </c>
      <c r="H747" s="24" t="s">
        <v>104</v>
      </c>
    </row>
    <row r="748" spans="1:8" x14ac:dyDescent="0.3">
      <c r="A748" s="24" t="s">
        <v>25</v>
      </c>
      <c r="B748" s="24" t="s">
        <v>106</v>
      </c>
      <c r="C748" s="24" t="s">
        <v>81</v>
      </c>
      <c r="D748" s="138">
        <v>0.77273988000000005</v>
      </c>
      <c r="E748" s="138">
        <v>4.7251699999999999E-3</v>
      </c>
      <c r="F748" s="138">
        <v>0.16186418999999999</v>
      </c>
      <c r="G748" s="138">
        <v>0.24870026000000001</v>
      </c>
      <c r="H748" s="24" t="s">
        <v>104</v>
      </c>
    </row>
    <row r="749" spans="1:8" x14ac:dyDescent="0.3">
      <c r="A749" s="24" t="s">
        <v>25</v>
      </c>
      <c r="B749" s="24" t="s">
        <v>106</v>
      </c>
      <c r="C749" s="24" t="s">
        <v>85</v>
      </c>
      <c r="D749" s="138">
        <v>-0.63311176000000002</v>
      </c>
      <c r="E749" s="138">
        <v>3.5536940000000003E-2</v>
      </c>
      <c r="F749" s="138">
        <v>0.21451787</v>
      </c>
      <c r="G749" s="138">
        <v>0.20624332000000001</v>
      </c>
      <c r="H749" s="24" t="s">
        <v>104</v>
      </c>
    </row>
    <row r="750" spans="1:8" x14ac:dyDescent="0.3">
      <c r="A750" s="24" t="s">
        <v>25</v>
      </c>
      <c r="B750" s="24" t="s">
        <v>106</v>
      </c>
      <c r="C750" s="24" t="s">
        <v>92</v>
      </c>
      <c r="D750" s="138">
        <v>0.66729088999999997</v>
      </c>
      <c r="E750" s="138">
        <v>2.2948730000000001E-2</v>
      </c>
      <c r="F750" s="138">
        <v>0.20120121999999999</v>
      </c>
      <c r="G750" s="138">
        <v>0.29001786000000002</v>
      </c>
      <c r="H750" s="24" t="s">
        <v>104</v>
      </c>
    </row>
    <row r="751" spans="1:8" x14ac:dyDescent="0.3">
      <c r="A751" s="24" t="s">
        <v>25</v>
      </c>
      <c r="B751" s="24" t="s">
        <v>106</v>
      </c>
      <c r="C751" s="24" t="s">
        <v>80</v>
      </c>
      <c r="D751" s="138">
        <v>0.66391020999999995</v>
      </c>
      <c r="E751" s="138">
        <v>2.1173379999999999E-2</v>
      </c>
      <c r="F751" s="138">
        <v>0.19612044000000001</v>
      </c>
      <c r="G751" s="138">
        <v>0.29952617999999998</v>
      </c>
      <c r="H751" s="24" t="s">
        <v>104</v>
      </c>
    </row>
    <row r="752" spans="1:8" x14ac:dyDescent="0.3">
      <c r="A752" s="24" t="s">
        <v>25</v>
      </c>
      <c r="B752" s="24" t="s">
        <v>106</v>
      </c>
      <c r="C752" s="24" t="s">
        <v>77</v>
      </c>
      <c r="D752" s="138">
        <v>0.69603451000000005</v>
      </c>
      <c r="E752" s="138">
        <v>1.5416900000000001E-2</v>
      </c>
      <c r="F752" s="138">
        <v>0.19012920999999999</v>
      </c>
      <c r="G752" s="138">
        <v>0.30398689000000001</v>
      </c>
      <c r="H752" s="24" t="s">
        <v>104</v>
      </c>
    </row>
    <row r="753" spans="1:8" x14ac:dyDescent="0.3">
      <c r="A753" s="24" t="s">
        <v>25</v>
      </c>
      <c r="B753" s="24" t="s">
        <v>106</v>
      </c>
      <c r="C753" s="24" t="s">
        <v>76</v>
      </c>
      <c r="D753" s="138">
        <v>0.71358138999999998</v>
      </c>
      <c r="E753" s="138">
        <v>2.0148019999999999E-2</v>
      </c>
      <c r="F753" s="138">
        <v>0.20817448999999999</v>
      </c>
      <c r="G753" s="138">
        <v>0.25859411999999998</v>
      </c>
      <c r="H753" s="24" t="s">
        <v>104</v>
      </c>
    </row>
    <row r="754" spans="1:8" x14ac:dyDescent="0.3">
      <c r="A754" s="24" t="s">
        <v>25</v>
      </c>
      <c r="B754" s="24" t="s">
        <v>106</v>
      </c>
      <c r="C754" s="24" t="s">
        <v>75</v>
      </c>
      <c r="D754" s="138">
        <v>0.65727652999999997</v>
      </c>
      <c r="E754" s="138">
        <v>2.808565E-2</v>
      </c>
      <c r="F754" s="138">
        <v>0.20890557000000001</v>
      </c>
      <c r="G754" s="138">
        <v>0.30214550000000001</v>
      </c>
      <c r="H754" s="24" t="s">
        <v>104</v>
      </c>
    </row>
    <row r="755" spans="1:8" x14ac:dyDescent="0.3">
      <c r="A755" s="24" t="s">
        <v>25</v>
      </c>
      <c r="B755" s="24" t="s">
        <v>106</v>
      </c>
      <c r="C755" s="24" t="s">
        <v>74</v>
      </c>
      <c r="D755" s="138">
        <v>0.70018188000000003</v>
      </c>
      <c r="E755" s="138">
        <v>1.458548E-2</v>
      </c>
      <c r="F755" s="138">
        <v>0.18873429999999999</v>
      </c>
      <c r="G755" s="138">
        <v>0.29232225000000001</v>
      </c>
      <c r="H755" s="24" t="s">
        <v>104</v>
      </c>
    </row>
    <row r="756" spans="1:8" x14ac:dyDescent="0.3">
      <c r="A756" s="24" t="s">
        <v>25</v>
      </c>
      <c r="B756" s="24" t="s">
        <v>106</v>
      </c>
      <c r="C756" s="24" t="s">
        <v>73</v>
      </c>
      <c r="D756" s="138">
        <v>-0.19552523999999999</v>
      </c>
      <c r="E756" s="138">
        <v>0.64006220999999996</v>
      </c>
      <c r="F756" s="138">
        <v>0.36352525000000002</v>
      </c>
      <c r="G756" s="138">
        <v>0.44716721999999998</v>
      </c>
      <c r="H756" s="24" t="s">
        <v>104</v>
      </c>
    </row>
    <row r="757" spans="1:8" x14ac:dyDescent="0.3">
      <c r="A757" s="24" t="s">
        <v>25</v>
      </c>
      <c r="B757" s="24" t="s">
        <v>106</v>
      </c>
      <c r="C757" s="24" t="s">
        <v>78</v>
      </c>
      <c r="D757" s="138">
        <v>-0.71809438000000003</v>
      </c>
      <c r="E757" s="138">
        <v>2.704633E-2</v>
      </c>
      <c r="F757" s="138">
        <v>0.22596843</v>
      </c>
      <c r="G757" s="138">
        <v>0.14030753000000001</v>
      </c>
      <c r="H757" s="24" t="s">
        <v>104</v>
      </c>
    </row>
    <row r="758" spans="1:8" x14ac:dyDescent="0.3">
      <c r="A758" s="24" t="s">
        <v>107</v>
      </c>
      <c r="B758" s="24" t="s">
        <v>95</v>
      </c>
      <c r="C758" s="24" t="s">
        <v>79</v>
      </c>
      <c r="D758" s="138">
        <v>0.3842235</v>
      </c>
      <c r="E758" s="138">
        <v>3.8129999999999998E-8</v>
      </c>
      <c r="F758" s="138">
        <v>6.6793619999999998E-2</v>
      </c>
      <c r="G758" s="138">
        <v>5.7817819999999999E-2</v>
      </c>
      <c r="H758" s="24" t="s">
        <v>104</v>
      </c>
    </row>
    <row r="759" spans="1:8" x14ac:dyDescent="0.3">
      <c r="A759" s="24" t="s">
        <v>107</v>
      </c>
      <c r="B759" s="24" t="s">
        <v>95</v>
      </c>
      <c r="C759" s="24" t="s">
        <v>84</v>
      </c>
      <c r="D759" s="138">
        <v>0.35060788999999998</v>
      </c>
      <c r="E759" s="138">
        <v>2.9119999999999998E-6</v>
      </c>
      <c r="F759" s="138">
        <v>6.6346470000000005E-2</v>
      </c>
      <c r="G759" s="138">
        <v>7.1660440000000006E-2</v>
      </c>
      <c r="H759" s="24" t="s">
        <v>104</v>
      </c>
    </row>
    <row r="760" spans="1:8" x14ac:dyDescent="0.3">
      <c r="A760" s="24" t="s">
        <v>107</v>
      </c>
      <c r="B760" s="24" t="s">
        <v>95</v>
      </c>
      <c r="C760" s="24" t="s">
        <v>83</v>
      </c>
      <c r="D760" s="138">
        <v>0.30070954</v>
      </c>
      <c r="E760" s="138">
        <v>1.6178000000000001E-4</v>
      </c>
      <c r="F760" s="138">
        <v>7.1696120000000002E-2</v>
      </c>
      <c r="G760" s="138">
        <v>7.5581659999999995E-2</v>
      </c>
      <c r="H760" s="24" t="s">
        <v>104</v>
      </c>
    </row>
    <row r="761" spans="1:8" x14ac:dyDescent="0.3">
      <c r="A761" s="24" t="s">
        <v>107</v>
      </c>
      <c r="B761" s="24" t="s">
        <v>95</v>
      </c>
      <c r="C761" s="24" t="s">
        <v>82</v>
      </c>
      <c r="D761" s="138">
        <v>0.36321207</v>
      </c>
      <c r="E761" s="138">
        <v>4.318E-6</v>
      </c>
      <c r="F761" s="138">
        <v>7.0061880000000007E-2</v>
      </c>
      <c r="G761" s="138">
        <v>7.7074820000000002E-2</v>
      </c>
      <c r="H761" s="24" t="s">
        <v>104</v>
      </c>
    </row>
    <row r="762" spans="1:8" x14ac:dyDescent="0.3">
      <c r="A762" s="24" t="s">
        <v>107</v>
      </c>
      <c r="B762" s="24" t="s">
        <v>95</v>
      </c>
      <c r="C762" s="24" t="s">
        <v>81</v>
      </c>
      <c r="D762" s="138">
        <v>0.34977174999999999</v>
      </c>
      <c r="E762" s="138">
        <v>1.8846999999999999E-4</v>
      </c>
      <c r="F762" s="138">
        <v>8.4298860000000003E-2</v>
      </c>
      <c r="G762" s="138">
        <v>7.4459189999999995E-2</v>
      </c>
      <c r="H762" s="24" t="s">
        <v>104</v>
      </c>
    </row>
    <row r="763" spans="1:8" x14ac:dyDescent="0.3">
      <c r="A763" s="24" t="s">
        <v>107</v>
      </c>
      <c r="B763" s="24" t="s">
        <v>95</v>
      </c>
      <c r="C763" s="24" t="s">
        <v>85</v>
      </c>
      <c r="D763" s="138">
        <v>-0.10212758</v>
      </c>
      <c r="E763" s="138">
        <v>0.31140010000000001</v>
      </c>
      <c r="F763" s="138">
        <v>9.3261469999999999E-2</v>
      </c>
      <c r="G763" s="138">
        <v>9.6719949999999999E-2</v>
      </c>
      <c r="H763" s="24" t="s">
        <v>104</v>
      </c>
    </row>
    <row r="764" spans="1:8" x14ac:dyDescent="0.3">
      <c r="A764" s="24" t="s">
        <v>107</v>
      </c>
      <c r="B764" s="24" t="s">
        <v>95</v>
      </c>
      <c r="C764" s="24" t="s">
        <v>92</v>
      </c>
      <c r="D764" s="138">
        <v>0.35589334</v>
      </c>
      <c r="E764" s="138">
        <v>9.4330000000000004E-7</v>
      </c>
      <c r="F764" s="138">
        <v>6.3945020000000005E-2</v>
      </c>
      <c r="G764" s="138">
        <v>6.9961819999999994E-2</v>
      </c>
      <c r="H764" s="24" t="s">
        <v>104</v>
      </c>
    </row>
    <row r="765" spans="1:8" x14ac:dyDescent="0.3">
      <c r="A765" s="24" t="s">
        <v>107</v>
      </c>
      <c r="B765" s="24" t="s">
        <v>95</v>
      </c>
      <c r="C765" s="24" t="s">
        <v>80</v>
      </c>
      <c r="D765" s="138">
        <v>0.35944187</v>
      </c>
      <c r="E765" s="138">
        <v>5.8650000000000002E-7</v>
      </c>
      <c r="F765" s="138">
        <v>6.3263639999999996E-2</v>
      </c>
      <c r="G765" s="138">
        <v>6.8959300000000001E-2</v>
      </c>
      <c r="H765" s="24" t="s">
        <v>104</v>
      </c>
    </row>
    <row r="766" spans="1:8" x14ac:dyDescent="0.3">
      <c r="A766" s="24" t="s">
        <v>107</v>
      </c>
      <c r="B766" s="24" t="s">
        <v>95</v>
      </c>
      <c r="C766" s="24" t="s">
        <v>77</v>
      </c>
      <c r="D766" s="138">
        <v>0.28817439</v>
      </c>
      <c r="E766" s="138">
        <v>4.8762000000000002E-4</v>
      </c>
      <c r="F766" s="138">
        <v>7.4640280000000003E-2</v>
      </c>
      <c r="G766" s="138">
        <v>7.6654940000000005E-2</v>
      </c>
      <c r="H766" s="24" t="s">
        <v>104</v>
      </c>
    </row>
    <row r="767" spans="1:8" x14ac:dyDescent="0.3">
      <c r="A767" s="24" t="s">
        <v>107</v>
      </c>
      <c r="B767" s="24" t="s">
        <v>95</v>
      </c>
      <c r="C767" s="24" t="s">
        <v>76</v>
      </c>
      <c r="D767" s="138">
        <v>0.14715250999999999</v>
      </c>
      <c r="E767" s="138">
        <v>0.10411575000000001</v>
      </c>
      <c r="F767" s="138">
        <v>8.3420330000000001E-2</v>
      </c>
      <c r="G767" s="138">
        <v>8.6956710000000006E-2</v>
      </c>
      <c r="H767" s="24" t="s">
        <v>104</v>
      </c>
    </row>
    <row r="768" spans="1:8" x14ac:dyDescent="0.3">
      <c r="A768" s="24" t="s">
        <v>107</v>
      </c>
      <c r="B768" s="24" t="s">
        <v>95</v>
      </c>
      <c r="C768" s="24" t="s">
        <v>75</v>
      </c>
      <c r="D768" s="138">
        <v>0.10325586</v>
      </c>
      <c r="E768" s="138">
        <v>0.20812501</v>
      </c>
      <c r="F768" s="138">
        <v>7.5742959999999998E-2</v>
      </c>
      <c r="G768" s="138">
        <v>7.7946920000000003E-2</v>
      </c>
      <c r="H768" s="24" t="s">
        <v>104</v>
      </c>
    </row>
    <row r="769" spans="1:8" x14ac:dyDescent="0.3">
      <c r="A769" s="24" t="s">
        <v>107</v>
      </c>
      <c r="B769" s="24" t="s">
        <v>95</v>
      </c>
      <c r="C769" s="24" t="s">
        <v>74</v>
      </c>
      <c r="D769" s="138">
        <v>0.38459631</v>
      </c>
      <c r="E769" s="138">
        <v>1.229E-7</v>
      </c>
      <c r="F769" s="138">
        <v>6.3524300000000006E-2</v>
      </c>
      <c r="G769" s="138">
        <v>7.0267700000000002E-2</v>
      </c>
      <c r="H769" s="24" t="s">
        <v>104</v>
      </c>
    </row>
    <row r="770" spans="1:8" x14ac:dyDescent="0.3">
      <c r="A770" s="24" t="s">
        <v>107</v>
      </c>
      <c r="B770" s="24" t="s">
        <v>95</v>
      </c>
      <c r="C770" s="24" t="s">
        <v>73</v>
      </c>
      <c r="D770" s="138">
        <v>-5.1663300000000002E-3</v>
      </c>
      <c r="E770" s="138">
        <v>0.95103439999999995</v>
      </c>
      <c r="F770" s="138">
        <v>7.7935240000000003E-2</v>
      </c>
      <c r="G770" s="138">
        <v>8.3134089999999994E-2</v>
      </c>
      <c r="H770" s="24" t="s">
        <v>104</v>
      </c>
    </row>
    <row r="771" spans="1:8" x14ac:dyDescent="0.3">
      <c r="A771" s="24" t="s">
        <v>107</v>
      </c>
      <c r="B771" s="24" t="s">
        <v>95</v>
      </c>
      <c r="C771" s="24" t="s">
        <v>78</v>
      </c>
      <c r="D771" s="138">
        <v>-0.18093096</v>
      </c>
      <c r="E771" s="138">
        <v>8.5245319999999999E-2</v>
      </c>
      <c r="F771" s="138">
        <v>9.6795080000000006E-2</v>
      </c>
      <c r="G771" s="138">
        <v>0.10075203000000001</v>
      </c>
      <c r="H771" s="24" t="s">
        <v>104</v>
      </c>
    </row>
    <row r="772" spans="1:8" x14ac:dyDescent="0.3">
      <c r="A772" s="24" t="s">
        <v>107</v>
      </c>
      <c r="B772" s="24" t="s">
        <v>105</v>
      </c>
      <c r="C772" s="24" t="s">
        <v>79</v>
      </c>
      <c r="D772" s="138">
        <v>4.7755060000000002E-2</v>
      </c>
      <c r="E772" s="138">
        <v>0.56465527000000004</v>
      </c>
      <c r="F772" s="138">
        <v>8.6670650000000002E-2</v>
      </c>
      <c r="G772" s="138">
        <v>8.5367419999999999E-2</v>
      </c>
      <c r="H772" s="24" t="s">
        <v>104</v>
      </c>
    </row>
    <row r="773" spans="1:8" x14ac:dyDescent="0.3">
      <c r="A773" s="24" t="s">
        <v>107</v>
      </c>
      <c r="B773" s="24" t="s">
        <v>105</v>
      </c>
      <c r="C773" s="24" t="s">
        <v>84</v>
      </c>
      <c r="D773" s="138">
        <v>9.5489519999999994E-2</v>
      </c>
      <c r="E773" s="138">
        <v>0.30826991999999998</v>
      </c>
      <c r="F773" s="138">
        <v>9.7741049999999996E-2</v>
      </c>
      <c r="G773" s="138">
        <v>9.4056089999999995E-2</v>
      </c>
      <c r="H773" s="24" t="s">
        <v>104</v>
      </c>
    </row>
    <row r="774" spans="1:8" x14ac:dyDescent="0.3">
      <c r="A774" s="24" t="s">
        <v>107</v>
      </c>
      <c r="B774" s="24" t="s">
        <v>105</v>
      </c>
      <c r="C774" s="24" t="s">
        <v>83</v>
      </c>
      <c r="D774" s="138">
        <v>0.12780847000000001</v>
      </c>
      <c r="E774" s="138">
        <v>0.17143855</v>
      </c>
      <c r="F774" s="138">
        <v>9.7295439999999997E-2</v>
      </c>
      <c r="G774" s="138">
        <v>9.3715209999999993E-2</v>
      </c>
      <c r="H774" s="24" t="s">
        <v>104</v>
      </c>
    </row>
    <row r="775" spans="1:8" x14ac:dyDescent="0.3">
      <c r="A775" s="24" t="s">
        <v>107</v>
      </c>
      <c r="B775" s="24" t="s">
        <v>105</v>
      </c>
      <c r="C775" s="24" t="s">
        <v>82</v>
      </c>
      <c r="D775" s="138">
        <v>-4.0897299999999998E-3</v>
      </c>
      <c r="E775" s="138">
        <v>0.96547320999999997</v>
      </c>
      <c r="F775" s="138">
        <v>9.8742609999999995E-2</v>
      </c>
      <c r="G775" s="138">
        <v>9.5344300000000007E-2</v>
      </c>
      <c r="H775" s="24" t="s">
        <v>104</v>
      </c>
    </row>
    <row r="776" spans="1:8" x14ac:dyDescent="0.3">
      <c r="A776" s="24" t="s">
        <v>107</v>
      </c>
      <c r="B776" s="24" t="s">
        <v>105</v>
      </c>
      <c r="C776" s="24" t="s">
        <v>81</v>
      </c>
      <c r="D776" s="138">
        <v>-4.2836180000000001E-2</v>
      </c>
      <c r="E776" s="138">
        <v>0.56299617000000002</v>
      </c>
      <c r="F776" s="138">
        <v>7.7347990000000005E-2</v>
      </c>
      <c r="G776" s="138">
        <v>7.8390979999999999E-2</v>
      </c>
      <c r="H776" s="24" t="s">
        <v>104</v>
      </c>
    </row>
    <row r="777" spans="1:8" x14ac:dyDescent="0.3">
      <c r="A777" s="24" t="s">
        <v>107</v>
      </c>
      <c r="B777" s="24" t="s">
        <v>105</v>
      </c>
      <c r="C777" s="24" t="s">
        <v>85</v>
      </c>
      <c r="D777" s="138">
        <v>-0.17864959</v>
      </c>
      <c r="E777" s="138">
        <v>3.471105E-2</v>
      </c>
      <c r="F777" s="138">
        <v>8.7606400000000001E-2</v>
      </c>
      <c r="G777" s="138">
        <v>7.8358029999999995E-2</v>
      </c>
      <c r="H777" s="24" t="s">
        <v>104</v>
      </c>
    </row>
    <row r="778" spans="1:8" x14ac:dyDescent="0.3">
      <c r="A778" s="24" t="s">
        <v>107</v>
      </c>
      <c r="B778" s="24" t="s">
        <v>105</v>
      </c>
      <c r="C778" s="24" t="s">
        <v>92</v>
      </c>
      <c r="D778" s="138">
        <v>9.6111249999999995E-2</v>
      </c>
      <c r="E778" s="138">
        <v>0.3050271</v>
      </c>
      <c r="F778" s="138">
        <v>9.7717289999999998E-2</v>
      </c>
      <c r="G778" s="138">
        <v>9.3329590000000004E-2</v>
      </c>
      <c r="H778" s="24" t="s">
        <v>104</v>
      </c>
    </row>
    <row r="779" spans="1:8" x14ac:dyDescent="0.3">
      <c r="A779" s="24" t="s">
        <v>107</v>
      </c>
      <c r="B779" s="24" t="s">
        <v>105</v>
      </c>
      <c r="C779" s="24" t="s">
        <v>80</v>
      </c>
      <c r="D779" s="138">
        <v>0.10477446999999999</v>
      </c>
      <c r="E779" s="138">
        <v>0.26680651</v>
      </c>
      <c r="F779" s="138">
        <v>9.8360020000000006E-2</v>
      </c>
      <c r="G779" s="138">
        <v>9.3886269999999994E-2</v>
      </c>
      <c r="H779" s="24" t="s">
        <v>104</v>
      </c>
    </row>
    <row r="780" spans="1:8" x14ac:dyDescent="0.3">
      <c r="A780" s="24" t="s">
        <v>107</v>
      </c>
      <c r="B780" s="24" t="s">
        <v>105</v>
      </c>
      <c r="C780" s="24" t="s">
        <v>77</v>
      </c>
      <c r="D780" s="138">
        <v>0.1358375</v>
      </c>
      <c r="E780" s="138">
        <v>0.13900071999999999</v>
      </c>
      <c r="F780" s="138">
        <v>9.5522010000000004E-2</v>
      </c>
      <c r="G780" s="138">
        <v>9.3322020000000006E-2</v>
      </c>
      <c r="H780" s="24" t="s">
        <v>104</v>
      </c>
    </row>
    <row r="781" spans="1:8" x14ac:dyDescent="0.3">
      <c r="A781" s="24" t="s">
        <v>107</v>
      </c>
      <c r="B781" s="24" t="s">
        <v>105</v>
      </c>
      <c r="C781" s="24" t="s">
        <v>76</v>
      </c>
      <c r="D781" s="138">
        <v>0.24393139</v>
      </c>
      <c r="E781" s="138">
        <v>3.50899E-3</v>
      </c>
      <c r="F781" s="138">
        <v>8.5804160000000004E-2</v>
      </c>
      <c r="G781" s="138">
        <v>8.2843920000000001E-2</v>
      </c>
      <c r="H781" s="24" t="s">
        <v>104</v>
      </c>
    </row>
    <row r="782" spans="1:8" x14ac:dyDescent="0.3">
      <c r="A782" s="24" t="s">
        <v>107</v>
      </c>
      <c r="B782" s="24" t="s">
        <v>105</v>
      </c>
      <c r="C782" s="24" t="s">
        <v>75</v>
      </c>
      <c r="D782" s="138">
        <v>0.21049470000000001</v>
      </c>
      <c r="E782" s="138">
        <v>7.2248499999999997E-3</v>
      </c>
      <c r="F782" s="138">
        <v>8.0681539999999996E-2</v>
      </c>
      <c r="G782" s="138">
        <v>8.6172440000000003E-2</v>
      </c>
      <c r="H782" s="24" t="s">
        <v>104</v>
      </c>
    </row>
    <row r="783" spans="1:8" x14ac:dyDescent="0.3">
      <c r="A783" s="24" t="s">
        <v>107</v>
      </c>
      <c r="B783" s="24" t="s">
        <v>105</v>
      </c>
      <c r="C783" s="24" t="s">
        <v>74</v>
      </c>
      <c r="D783" s="138">
        <v>5.1538550000000002E-2</v>
      </c>
      <c r="E783" s="138">
        <v>0.57668129999999995</v>
      </c>
      <c r="F783" s="138">
        <v>9.6426570000000003E-2</v>
      </c>
      <c r="G783" s="138">
        <v>9.3370789999999995E-2</v>
      </c>
      <c r="H783" s="24" t="s">
        <v>104</v>
      </c>
    </row>
    <row r="784" spans="1:8" x14ac:dyDescent="0.3">
      <c r="A784" s="24" t="s">
        <v>107</v>
      </c>
      <c r="B784" s="24" t="s">
        <v>105</v>
      </c>
      <c r="C784" s="24" t="s">
        <v>73</v>
      </c>
      <c r="D784" s="138">
        <v>-0.12052778</v>
      </c>
      <c r="E784" s="138">
        <v>0.15912486000000001</v>
      </c>
      <c r="F784" s="138">
        <v>8.9098070000000001E-2</v>
      </c>
      <c r="G784" s="138">
        <v>8.279715E-2</v>
      </c>
      <c r="H784" s="24" t="s">
        <v>104</v>
      </c>
    </row>
    <row r="785" spans="1:8" x14ac:dyDescent="0.3">
      <c r="A785" s="24" t="s">
        <v>107</v>
      </c>
      <c r="B785" s="24" t="s">
        <v>105</v>
      </c>
      <c r="C785" s="24" t="s">
        <v>78</v>
      </c>
      <c r="D785" s="138">
        <v>-0.21739496</v>
      </c>
      <c r="E785" s="138">
        <v>1.6529180000000001E-2</v>
      </c>
      <c r="F785" s="138">
        <v>9.3667840000000002E-2</v>
      </c>
      <c r="G785" s="138">
        <v>8.3668350000000002E-2</v>
      </c>
      <c r="H785" s="24" t="s">
        <v>104</v>
      </c>
    </row>
    <row r="786" spans="1:8" x14ac:dyDescent="0.3">
      <c r="A786" s="24" t="s">
        <v>107</v>
      </c>
      <c r="B786" s="24" t="s">
        <v>106</v>
      </c>
      <c r="C786" s="24" t="s">
        <v>79</v>
      </c>
      <c r="D786" s="138">
        <v>0.42112168</v>
      </c>
      <c r="E786" s="138">
        <v>1.562E-9</v>
      </c>
      <c r="F786" s="138">
        <v>6.8823570000000001E-2</v>
      </c>
      <c r="G786" s="138">
        <v>5.6674189999999999E-2</v>
      </c>
      <c r="H786" s="24" t="s">
        <v>104</v>
      </c>
    </row>
    <row r="787" spans="1:8" x14ac:dyDescent="0.3">
      <c r="A787" s="24" t="s">
        <v>107</v>
      </c>
      <c r="B787" s="24" t="s">
        <v>106</v>
      </c>
      <c r="C787" s="24" t="s">
        <v>84</v>
      </c>
      <c r="D787" s="138">
        <v>0.38286938999999998</v>
      </c>
      <c r="E787" s="138">
        <v>5.0669999999999995E-7</v>
      </c>
      <c r="F787" s="138">
        <v>7.7365660000000003E-2</v>
      </c>
      <c r="G787" s="138">
        <v>6.7342609999999997E-2</v>
      </c>
      <c r="H787" s="24" t="s">
        <v>104</v>
      </c>
    </row>
    <row r="788" spans="1:8" x14ac:dyDescent="0.3">
      <c r="A788" s="24" t="s">
        <v>107</v>
      </c>
      <c r="B788" s="24" t="s">
        <v>106</v>
      </c>
      <c r="C788" s="24" t="s">
        <v>83</v>
      </c>
      <c r="D788" s="138">
        <v>0.35827509000000002</v>
      </c>
      <c r="E788" s="138">
        <v>4.7509999999999999E-6</v>
      </c>
      <c r="F788" s="138">
        <v>8.0217709999999998E-2</v>
      </c>
      <c r="G788" s="138">
        <v>6.9425650000000005E-2</v>
      </c>
      <c r="H788" s="24" t="s">
        <v>104</v>
      </c>
    </row>
    <row r="789" spans="1:8" x14ac:dyDescent="0.3">
      <c r="A789" s="24" t="s">
        <v>107</v>
      </c>
      <c r="B789" s="24" t="s">
        <v>106</v>
      </c>
      <c r="C789" s="24" t="s">
        <v>82</v>
      </c>
      <c r="D789" s="138">
        <v>0.32955287</v>
      </c>
      <c r="E789" s="138">
        <v>1.1635E-4</v>
      </c>
      <c r="F789" s="138">
        <v>8.8736830000000003E-2</v>
      </c>
      <c r="G789" s="138">
        <v>7.8059009999999998E-2</v>
      </c>
      <c r="H789" s="24" t="s">
        <v>104</v>
      </c>
    </row>
    <row r="790" spans="1:8" x14ac:dyDescent="0.3">
      <c r="A790" s="24" t="s">
        <v>107</v>
      </c>
      <c r="B790" s="24" t="s">
        <v>106</v>
      </c>
      <c r="C790" s="24" t="s">
        <v>81</v>
      </c>
      <c r="D790" s="138">
        <v>0.29202813999999999</v>
      </c>
      <c r="E790" s="138">
        <v>3.1180000000000003E-5</v>
      </c>
      <c r="F790" s="138">
        <v>7.2380749999999994E-2</v>
      </c>
      <c r="G790" s="138">
        <v>4.9140120000000002E-2</v>
      </c>
      <c r="H790" s="24" t="s">
        <v>104</v>
      </c>
    </row>
    <row r="791" spans="1:8" x14ac:dyDescent="0.3">
      <c r="A791" s="24" t="s">
        <v>107</v>
      </c>
      <c r="B791" s="24" t="s">
        <v>106</v>
      </c>
      <c r="C791" s="24" t="s">
        <v>85</v>
      </c>
      <c r="D791" s="138">
        <v>-0.20974709</v>
      </c>
      <c r="E791" s="138">
        <v>2.84354E-2</v>
      </c>
      <c r="F791" s="138">
        <v>0.10142855000000001</v>
      </c>
      <c r="G791" s="138">
        <v>8.5833359999999997E-2</v>
      </c>
      <c r="H791" s="24" t="s">
        <v>104</v>
      </c>
    </row>
    <row r="792" spans="1:8" x14ac:dyDescent="0.3">
      <c r="A792" s="24" t="s">
        <v>107</v>
      </c>
      <c r="B792" s="24" t="s">
        <v>106</v>
      </c>
      <c r="C792" s="24" t="s">
        <v>92</v>
      </c>
      <c r="D792" s="138">
        <v>0.38810865999999999</v>
      </c>
      <c r="E792" s="138">
        <v>3.7179999999999998E-7</v>
      </c>
      <c r="F792" s="138">
        <v>7.741439E-2</v>
      </c>
      <c r="G792" s="138">
        <v>6.7217079999999998E-2</v>
      </c>
      <c r="H792" s="24" t="s">
        <v>104</v>
      </c>
    </row>
    <row r="793" spans="1:8" x14ac:dyDescent="0.3">
      <c r="A793" s="24" t="s">
        <v>107</v>
      </c>
      <c r="B793" s="24" t="s">
        <v>106</v>
      </c>
      <c r="C793" s="24" t="s">
        <v>80</v>
      </c>
      <c r="D793" s="138">
        <v>0.39699577000000003</v>
      </c>
      <c r="E793" s="138">
        <v>2.0240000000000001E-7</v>
      </c>
      <c r="F793" s="138">
        <v>7.7252249999999995E-2</v>
      </c>
      <c r="G793" s="138">
        <v>6.7278400000000002E-2</v>
      </c>
      <c r="H793" s="24" t="s">
        <v>104</v>
      </c>
    </row>
    <row r="794" spans="1:8" x14ac:dyDescent="0.3">
      <c r="A794" s="24" t="s">
        <v>107</v>
      </c>
      <c r="B794" s="24" t="s">
        <v>106</v>
      </c>
      <c r="C794" s="24" t="s">
        <v>77</v>
      </c>
      <c r="D794" s="138">
        <v>0.35203810000000002</v>
      </c>
      <c r="E794" s="138">
        <v>5.8089999999999998E-6</v>
      </c>
      <c r="F794" s="138">
        <v>7.9621079999999997E-2</v>
      </c>
      <c r="G794" s="138">
        <v>6.7849779999999998E-2</v>
      </c>
      <c r="H794" s="24" t="s">
        <v>104</v>
      </c>
    </row>
    <row r="795" spans="1:8" x14ac:dyDescent="0.3">
      <c r="A795" s="24" t="s">
        <v>107</v>
      </c>
      <c r="B795" s="24" t="s">
        <v>106</v>
      </c>
      <c r="C795" s="24" t="s">
        <v>76</v>
      </c>
      <c r="D795" s="138">
        <v>0.29344055000000002</v>
      </c>
      <c r="E795" s="138">
        <v>4.8768999999999999E-4</v>
      </c>
      <c r="F795" s="138">
        <v>8.7804560000000004E-2</v>
      </c>
      <c r="G795" s="138">
        <v>7.0003570000000001E-2</v>
      </c>
      <c r="H795" s="24" t="s">
        <v>104</v>
      </c>
    </row>
    <row r="796" spans="1:8" x14ac:dyDescent="0.3">
      <c r="A796" s="24" t="s">
        <v>107</v>
      </c>
      <c r="B796" s="24" t="s">
        <v>106</v>
      </c>
      <c r="C796" s="24" t="s">
        <v>75</v>
      </c>
      <c r="D796" s="138">
        <v>0.23151631</v>
      </c>
      <c r="E796" s="138">
        <v>4.1503900000000003E-3</v>
      </c>
      <c r="F796" s="138">
        <v>8.4977559999999994E-2</v>
      </c>
      <c r="G796" s="138">
        <v>7.1621870000000004E-2</v>
      </c>
      <c r="H796" s="24" t="s">
        <v>104</v>
      </c>
    </row>
    <row r="797" spans="1:8" x14ac:dyDescent="0.3">
      <c r="A797" s="24" t="s">
        <v>107</v>
      </c>
      <c r="B797" s="24" t="s">
        <v>106</v>
      </c>
      <c r="C797" s="24" t="s">
        <v>74</v>
      </c>
      <c r="D797" s="138">
        <v>0.38533682000000002</v>
      </c>
      <c r="E797" s="138">
        <v>2.9869999999999999E-7</v>
      </c>
      <c r="F797" s="138">
        <v>7.6171550000000005E-2</v>
      </c>
      <c r="G797" s="138">
        <v>6.6730269999999994E-2</v>
      </c>
      <c r="H797" s="24" t="s">
        <v>104</v>
      </c>
    </row>
    <row r="798" spans="1:8" x14ac:dyDescent="0.3">
      <c r="A798" s="24" t="s">
        <v>107</v>
      </c>
      <c r="B798" s="24" t="s">
        <v>106</v>
      </c>
      <c r="C798" s="24" t="s">
        <v>73</v>
      </c>
      <c r="D798" s="138">
        <v>-8.321199E-2</v>
      </c>
      <c r="E798" s="138">
        <v>0.28539110000000001</v>
      </c>
      <c r="F798" s="138">
        <v>8.3163239999999999E-2</v>
      </c>
      <c r="G798" s="138">
        <v>7.6957159999999997E-2</v>
      </c>
      <c r="H798" s="24" t="s">
        <v>104</v>
      </c>
    </row>
    <row r="799" spans="1:8" x14ac:dyDescent="0.3">
      <c r="A799" s="24" t="s">
        <v>107</v>
      </c>
      <c r="B799" s="24" t="s">
        <v>106</v>
      </c>
      <c r="C799" s="24" t="s">
        <v>78</v>
      </c>
      <c r="D799" s="138">
        <v>-0.30705612999999998</v>
      </c>
      <c r="E799" s="138">
        <v>3.1728199999999998E-3</v>
      </c>
      <c r="F799" s="138">
        <v>0.10938521</v>
      </c>
      <c r="G799" s="138">
        <v>8.7947410000000004E-2</v>
      </c>
      <c r="H799" s="24" t="s">
        <v>104</v>
      </c>
    </row>
    <row r="800" spans="1:8" x14ac:dyDescent="0.3">
      <c r="A800" s="24" t="s">
        <v>108</v>
      </c>
      <c r="B800" s="24" t="s">
        <v>95</v>
      </c>
      <c r="C800" s="24" t="s">
        <v>2146</v>
      </c>
      <c r="D800" s="138">
        <v>0.78821719000000001</v>
      </c>
      <c r="E800" s="138">
        <v>3.1001279999999999E-2</v>
      </c>
      <c r="F800" s="138">
        <v>0.33276085</v>
      </c>
      <c r="G800" s="138">
        <v>0.19470668999999999</v>
      </c>
      <c r="H800" s="24" t="s">
        <v>104</v>
      </c>
    </row>
    <row r="801" spans="1:8" x14ac:dyDescent="0.3">
      <c r="A801" s="24" t="s">
        <v>108</v>
      </c>
      <c r="B801" s="24" t="s">
        <v>95</v>
      </c>
      <c r="C801" s="24" t="s">
        <v>84</v>
      </c>
      <c r="D801" s="138">
        <v>0.82277429999999996</v>
      </c>
      <c r="E801" s="138">
        <v>1.145114E-2</v>
      </c>
      <c r="F801" s="138">
        <v>0.27505185999999998</v>
      </c>
      <c r="G801" s="138">
        <v>0.19900493</v>
      </c>
      <c r="H801" s="24" t="s">
        <v>104</v>
      </c>
    </row>
    <row r="802" spans="1:8" x14ac:dyDescent="0.3">
      <c r="A802" s="24" t="s">
        <v>108</v>
      </c>
      <c r="B802" s="24" t="s">
        <v>95</v>
      </c>
      <c r="C802" s="24" t="s">
        <v>83</v>
      </c>
      <c r="D802" s="138">
        <v>0.81862546999999997</v>
      </c>
      <c r="E802" s="138">
        <v>1.3501050000000001E-2</v>
      </c>
      <c r="F802" s="138">
        <v>0.2836958</v>
      </c>
      <c r="G802" s="138">
        <v>0.19901497000000001</v>
      </c>
      <c r="H802" s="24" t="s">
        <v>104</v>
      </c>
    </row>
    <row r="803" spans="1:8" x14ac:dyDescent="0.3">
      <c r="A803" s="24" t="s">
        <v>108</v>
      </c>
      <c r="B803" s="24" t="s">
        <v>95</v>
      </c>
      <c r="C803" s="24" t="s">
        <v>82</v>
      </c>
      <c r="D803" s="138">
        <v>0.78343591999999995</v>
      </c>
      <c r="E803" s="138">
        <v>2.7109540000000001E-2</v>
      </c>
      <c r="F803" s="138">
        <v>0.31970401999999998</v>
      </c>
      <c r="G803" s="138">
        <v>0.19420354000000001</v>
      </c>
      <c r="H803" s="24" t="s">
        <v>104</v>
      </c>
    </row>
    <row r="804" spans="1:8" x14ac:dyDescent="0.3">
      <c r="A804" s="24" t="s">
        <v>108</v>
      </c>
      <c r="B804" s="24" t="s">
        <v>95</v>
      </c>
      <c r="C804" s="24" t="s">
        <v>81</v>
      </c>
      <c r="D804" s="138">
        <v>0.71990381000000003</v>
      </c>
      <c r="E804" s="138">
        <v>1.464326E-2</v>
      </c>
      <c r="F804" s="138">
        <v>0.25403474999999998</v>
      </c>
      <c r="G804" s="138">
        <v>0.21605832</v>
      </c>
      <c r="H804" s="24" t="s">
        <v>104</v>
      </c>
    </row>
    <row r="805" spans="1:8" x14ac:dyDescent="0.3">
      <c r="A805" s="24" t="s">
        <v>108</v>
      </c>
      <c r="B805" s="24" t="s">
        <v>95</v>
      </c>
      <c r="C805" s="24" t="s">
        <v>85</v>
      </c>
      <c r="D805" s="138">
        <v>-0.46338112999999997</v>
      </c>
      <c r="E805" s="138">
        <v>2.0765100000000002E-3</v>
      </c>
      <c r="F805" s="138">
        <v>0.11079538999999999</v>
      </c>
      <c r="G805" s="138">
        <v>0.27951240999999999</v>
      </c>
      <c r="H805" s="24" t="s">
        <v>104</v>
      </c>
    </row>
    <row r="806" spans="1:8" x14ac:dyDescent="0.3">
      <c r="A806" s="24" t="s">
        <v>108</v>
      </c>
      <c r="B806" s="24" t="s">
        <v>95</v>
      </c>
      <c r="C806" s="24" t="s">
        <v>92</v>
      </c>
      <c r="D806" s="138">
        <v>0.82218541000000001</v>
      </c>
      <c r="E806" s="138">
        <v>1.16755E-2</v>
      </c>
      <c r="F806" s="138">
        <v>0.27601115999999998</v>
      </c>
      <c r="G806" s="138">
        <v>0.19728756</v>
      </c>
      <c r="H806" s="24" t="s">
        <v>104</v>
      </c>
    </row>
    <row r="807" spans="1:8" x14ac:dyDescent="0.3">
      <c r="A807" s="24" t="s">
        <v>108</v>
      </c>
      <c r="B807" s="24" t="s">
        <v>95</v>
      </c>
      <c r="C807" s="24" t="s">
        <v>80</v>
      </c>
      <c r="D807" s="138">
        <v>0.82474868000000001</v>
      </c>
      <c r="E807" s="138">
        <v>1.1561439999999999E-2</v>
      </c>
      <c r="F807" s="138">
        <v>0.27628388999999998</v>
      </c>
      <c r="G807" s="138">
        <v>0.19732642</v>
      </c>
      <c r="H807" s="24" t="s">
        <v>104</v>
      </c>
    </row>
    <row r="808" spans="1:8" x14ac:dyDescent="0.3">
      <c r="A808" s="24" t="s">
        <v>108</v>
      </c>
      <c r="B808" s="24" t="s">
        <v>95</v>
      </c>
      <c r="C808" s="24" t="s">
        <v>77</v>
      </c>
      <c r="D808" s="138">
        <v>0.81801193000000005</v>
      </c>
      <c r="E808" s="138">
        <v>1.313488E-2</v>
      </c>
      <c r="F808" s="138">
        <v>0.28176742999999999</v>
      </c>
      <c r="G808" s="138">
        <v>0.20017840000000001</v>
      </c>
      <c r="H808" s="24" t="s">
        <v>104</v>
      </c>
    </row>
    <row r="809" spans="1:8" x14ac:dyDescent="0.3">
      <c r="A809" s="24" t="s">
        <v>108</v>
      </c>
      <c r="B809" s="24" t="s">
        <v>95</v>
      </c>
      <c r="C809" s="24" t="s">
        <v>76</v>
      </c>
      <c r="D809" s="138">
        <v>0.77615308999999999</v>
      </c>
      <c r="E809" s="138">
        <v>1.7409850000000001E-2</v>
      </c>
      <c r="F809" s="138">
        <v>0.28486006000000003</v>
      </c>
      <c r="G809" s="138">
        <v>0.20052144999999999</v>
      </c>
      <c r="H809" s="24" t="s">
        <v>104</v>
      </c>
    </row>
    <row r="810" spans="1:8" x14ac:dyDescent="0.3">
      <c r="A810" s="24" t="s">
        <v>108</v>
      </c>
      <c r="B810" s="24" t="s">
        <v>95</v>
      </c>
      <c r="C810" s="24" t="s">
        <v>75</v>
      </c>
      <c r="D810" s="138">
        <v>0.78842643999999995</v>
      </c>
      <c r="E810" s="138">
        <v>1.721837E-2</v>
      </c>
      <c r="F810" s="138">
        <v>0.28862930999999997</v>
      </c>
      <c r="G810" s="138">
        <v>0.20458125999999999</v>
      </c>
      <c r="H810" s="24" t="s">
        <v>104</v>
      </c>
    </row>
    <row r="811" spans="1:8" x14ac:dyDescent="0.3">
      <c r="A811" s="24" t="s">
        <v>108</v>
      </c>
      <c r="B811" s="24" t="s">
        <v>95</v>
      </c>
      <c r="C811" s="24" t="s">
        <v>74</v>
      </c>
      <c r="D811" s="138">
        <v>0.82283023</v>
      </c>
      <c r="E811" s="138">
        <v>9.3014699999999992E-3</v>
      </c>
      <c r="F811" s="138">
        <v>0.26315399</v>
      </c>
      <c r="G811" s="138">
        <v>0.20005749</v>
      </c>
      <c r="H811" s="24" t="s">
        <v>104</v>
      </c>
    </row>
    <row r="812" spans="1:8" x14ac:dyDescent="0.3">
      <c r="A812" s="24" t="s">
        <v>108</v>
      </c>
      <c r="B812" s="24" t="s">
        <v>95</v>
      </c>
      <c r="C812" s="24" t="s">
        <v>73</v>
      </c>
      <c r="D812" s="138">
        <v>0.10016944999999999</v>
      </c>
      <c r="E812" s="138">
        <v>0.81475302999999999</v>
      </c>
      <c r="F812" s="138">
        <v>0.46789111999999999</v>
      </c>
      <c r="G812" s="138">
        <v>0.45402179999999998</v>
      </c>
      <c r="H812" s="24" t="s">
        <v>104</v>
      </c>
    </row>
    <row r="813" spans="1:8" x14ac:dyDescent="0.3">
      <c r="A813" s="24" t="s">
        <v>108</v>
      </c>
      <c r="B813" s="24" t="s">
        <v>95</v>
      </c>
      <c r="C813" s="24" t="s">
        <v>78</v>
      </c>
      <c r="D813" s="138">
        <v>-0.63816331999999998</v>
      </c>
      <c r="E813" s="138">
        <v>1.2358320000000001E-2</v>
      </c>
      <c r="F813" s="138">
        <v>0.21689896</v>
      </c>
      <c r="G813" s="138">
        <v>0.21536926000000001</v>
      </c>
      <c r="H813" s="24" t="s">
        <v>104</v>
      </c>
    </row>
    <row r="814" spans="1:8" x14ac:dyDescent="0.3">
      <c r="A814" s="24" t="s">
        <v>108</v>
      </c>
      <c r="B814" s="24" t="s">
        <v>105</v>
      </c>
      <c r="C814" s="24" t="s">
        <v>2146</v>
      </c>
      <c r="D814" s="138">
        <v>0.22125132</v>
      </c>
      <c r="E814" s="138">
        <v>0.50911662000000002</v>
      </c>
      <c r="F814" s="138">
        <v>0.35568205000000003</v>
      </c>
      <c r="G814" s="138">
        <v>0.36050467000000003</v>
      </c>
      <c r="H814" s="24" t="s">
        <v>104</v>
      </c>
    </row>
    <row r="815" spans="1:8" x14ac:dyDescent="0.3">
      <c r="A815" s="24" t="s">
        <v>108</v>
      </c>
      <c r="B815" s="24" t="s">
        <v>105</v>
      </c>
      <c r="C815" s="24" t="s">
        <v>84</v>
      </c>
      <c r="D815" s="138">
        <v>0.25336893999999999</v>
      </c>
      <c r="E815" s="138">
        <v>0.44187444999999997</v>
      </c>
      <c r="F815" s="138">
        <v>0.34760081999999998</v>
      </c>
      <c r="G815" s="138">
        <v>0.35523018000000001</v>
      </c>
      <c r="H815" s="24" t="s">
        <v>104</v>
      </c>
    </row>
    <row r="816" spans="1:8" x14ac:dyDescent="0.3">
      <c r="A816" s="24" t="s">
        <v>108</v>
      </c>
      <c r="B816" s="24" t="s">
        <v>105</v>
      </c>
      <c r="C816" s="24" t="s">
        <v>83</v>
      </c>
      <c r="D816" s="138">
        <v>0.24855932</v>
      </c>
      <c r="E816" s="138">
        <v>0.44799589000000001</v>
      </c>
      <c r="F816" s="138">
        <v>0.34582688</v>
      </c>
      <c r="G816" s="138">
        <v>0.35098444000000001</v>
      </c>
      <c r="H816" s="24" t="s">
        <v>104</v>
      </c>
    </row>
    <row r="817" spans="1:8" x14ac:dyDescent="0.3">
      <c r="A817" s="24" t="s">
        <v>108</v>
      </c>
      <c r="B817" s="24" t="s">
        <v>105</v>
      </c>
      <c r="C817" s="24" t="s">
        <v>82</v>
      </c>
      <c r="D817" s="138">
        <v>0.19291391999999999</v>
      </c>
      <c r="E817" s="138">
        <v>0.58014522000000002</v>
      </c>
      <c r="F817" s="138">
        <v>0.37197894999999997</v>
      </c>
      <c r="G817" s="138">
        <v>0.37293017000000001</v>
      </c>
      <c r="H817" s="24" t="s">
        <v>104</v>
      </c>
    </row>
    <row r="818" spans="1:8" x14ac:dyDescent="0.3">
      <c r="A818" s="24" t="s">
        <v>108</v>
      </c>
      <c r="B818" s="24" t="s">
        <v>105</v>
      </c>
      <c r="C818" s="24" t="s">
        <v>81</v>
      </c>
      <c r="D818" s="138">
        <v>0.34980666999999999</v>
      </c>
      <c r="E818" s="138">
        <v>0.19389596000000001</v>
      </c>
      <c r="F818" s="138">
        <v>0.27222247999999999</v>
      </c>
      <c r="G818" s="138">
        <v>0.33391583000000002</v>
      </c>
      <c r="H818" s="24" t="s">
        <v>104</v>
      </c>
    </row>
    <row r="819" spans="1:8" x14ac:dyDescent="0.3">
      <c r="A819" s="24" t="s">
        <v>108</v>
      </c>
      <c r="B819" s="24" t="s">
        <v>105</v>
      </c>
      <c r="C819" s="24" t="s">
        <v>85</v>
      </c>
      <c r="D819" s="138">
        <v>-0.64161614</v>
      </c>
      <c r="E819" s="138">
        <v>2.9848860000000001E-2</v>
      </c>
      <c r="F819" s="138">
        <v>0.26396111</v>
      </c>
      <c r="G819" s="138">
        <v>0.31836757999999998</v>
      </c>
      <c r="H819" s="24" t="s">
        <v>104</v>
      </c>
    </row>
    <row r="820" spans="1:8" x14ac:dyDescent="0.3">
      <c r="A820" s="24" t="s">
        <v>108</v>
      </c>
      <c r="B820" s="24" t="s">
        <v>105</v>
      </c>
      <c r="C820" s="24" t="s">
        <v>92</v>
      </c>
      <c r="D820" s="138">
        <v>0.25119079999999999</v>
      </c>
      <c r="E820" s="138">
        <v>0.44917290999999998</v>
      </c>
      <c r="F820" s="138">
        <v>0.35043600000000003</v>
      </c>
      <c r="G820" s="138">
        <v>0.35760849</v>
      </c>
      <c r="H820" s="24" t="s">
        <v>104</v>
      </c>
    </row>
    <row r="821" spans="1:8" x14ac:dyDescent="0.3">
      <c r="A821" s="24" t="s">
        <v>108</v>
      </c>
      <c r="B821" s="24" t="s">
        <v>105</v>
      </c>
      <c r="C821" s="24" t="s">
        <v>80</v>
      </c>
      <c r="D821" s="138">
        <v>0.24924627999999999</v>
      </c>
      <c r="E821" s="138">
        <v>0.45483477999999999</v>
      </c>
      <c r="F821" s="138">
        <v>0.35229527999999999</v>
      </c>
      <c r="G821" s="138">
        <v>0.35870187999999997</v>
      </c>
      <c r="H821" s="24" t="s">
        <v>104</v>
      </c>
    </row>
    <row r="822" spans="1:8" x14ac:dyDescent="0.3">
      <c r="A822" s="24" t="s">
        <v>108</v>
      </c>
      <c r="B822" s="24" t="s">
        <v>105</v>
      </c>
      <c r="C822" s="24" t="s">
        <v>77</v>
      </c>
      <c r="D822" s="138">
        <v>0.25013299999999999</v>
      </c>
      <c r="E822" s="138">
        <v>0.44060982999999998</v>
      </c>
      <c r="F822" s="138">
        <v>0.34216945999999998</v>
      </c>
      <c r="G822" s="138">
        <v>0.34829086999999997</v>
      </c>
      <c r="H822" s="24" t="s">
        <v>104</v>
      </c>
    </row>
    <row r="823" spans="1:8" x14ac:dyDescent="0.3">
      <c r="A823" s="24" t="s">
        <v>108</v>
      </c>
      <c r="B823" s="24" t="s">
        <v>105</v>
      </c>
      <c r="C823" s="24" t="s">
        <v>76</v>
      </c>
      <c r="D823" s="138">
        <v>0.25827178000000001</v>
      </c>
      <c r="E823" s="138">
        <v>0.41622999999999999</v>
      </c>
      <c r="F823" s="138">
        <v>0.33427878</v>
      </c>
      <c r="G823" s="138">
        <v>0.34477126000000002</v>
      </c>
      <c r="H823" s="24" t="s">
        <v>104</v>
      </c>
    </row>
    <row r="824" spans="1:8" x14ac:dyDescent="0.3">
      <c r="A824" s="24" t="s">
        <v>108</v>
      </c>
      <c r="B824" s="24" t="s">
        <v>105</v>
      </c>
      <c r="C824" s="24" t="s">
        <v>75</v>
      </c>
      <c r="D824" s="138">
        <v>0.25148158999999998</v>
      </c>
      <c r="E824" s="138">
        <v>0.42517920999999997</v>
      </c>
      <c r="F824" s="138">
        <v>0.33214006000000001</v>
      </c>
      <c r="G824" s="138">
        <v>0.33542227000000002</v>
      </c>
      <c r="H824" s="24" t="s">
        <v>104</v>
      </c>
    </row>
    <row r="825" spans="1:8" x14ac:dyDescent="0.3">
      <c r="A825" s="24" t="s">
        <v>108</v>
      </c>
      <c r="B825" s="24" t="s">
        <v>105</v>
      </c>
      <c r="C825" s="24" t="s">
        <v>74</v>
      </c>
      <c r="D825" s="138">
        <v>0.26793176000000002</v>
      </c>
      <c r="E825" s="138">
        <v>0.41346967000000001</v>
      </c>
      <c r="F825" s="138">
        <v>0.34463178</v>
      </c>
      <c r="G825" s="138">
        <v>0.35735187000000002</v>
      </c>
      <c r="H825" s="24" t="s">
        <v>104</v>
      </c>
    </row>
    <row r="826" spans="1:8" x14ac:dyDescent="0.3">
      <c r="A826" s="24" t="s">
        <v>108</v>
      </c>
      <c r="B826" s="24" t="s">
        <v>105</v>
      </c>
      <c r="C826" s="24" t="s">
        <v>73</v>
      </c>
      <c r="D826" s="138">
        <v>-0.70545360999999995</v>
      </c>
      <c r="E826" s="138">
        <v>1.7095619999999999E-2</v>
      </c>
      <c r="F826" s="138">
        <v>0.25369798999999998</v>
      </c>
      <c r="G826" s="138">
        <v>0.15556877</v>
      </c>
      <c r="H826" s="24" t="s">
        <v>104</v>
      </c>
    </row>
    <row r="827" spans="1:8" x14ac:dyDescent="0.3">
      <c r="A827" s="24" t="s">
        <v>108</v>
      </c>
      <c r="B827" s="24" t="s">
        <v>105</v>
      </c>
      <c r="C827" s="24" t="s">
        <v>78</v>
      </c>
      <c r="D827" s="138">
        <v>-0.49560870000000001</v>
      </c>
      <c r="E827" s="138">
        <v>0.10785261</v>
      </c>
      <c r="F827" s="138">
        <v>0.30068633</v>
      </c>
      <c r="G827" s="138">
        <v>0.3726564</v>
      </c>
      <c r="H827" s="24" t="s">
        <v>104</v>
      </c>
    </row>
    <row r="828" spans="1:8" x14ac:dyDescent="0.3">
      <c r="A828" s="24" t="s">
        <v>108</v>
      </c>
      <c r="B828" s="24" t="s">
        <v>106</v>
      </c>
      <c r="C828" s="24" t="s">
        <v>2146</v>
      </c>
      <c r="D828" s="138">
        <v>0.79730188000000002</v>
      </c>
      <c r="E828" s="138">
        <v>2.385694E-2</v>
      </c>
      <c r="F828" s="138">
        <v>0.31358304999999997</v>
      </c>
      <c r="G828" s="138">
        <v>0.13510126</v>
      </c>
      <c r="H828" s="24" t="s">
        <v>104</v>
      </c>
    </row>
    <row r="829" spans="1:8" x14ac:dyDescent="0.3">
      <c r="A829" s="24" t="s">
        <v>108</v>
      </c>
      <c r="B829" s="24" t="s">
        <v>106</v>
      </c>
      <c r="C829" s="24" t="s">
        <v>84</v>
      </c>
      <c r="D829" s="138">
        <v>0.84291282999999995</v>
      </c>
      <c r="E829" s="138">
        <v>5.5656899999999999E-3</v>
      </c>
      <c r="F829" s="138">
        <v>0.24149924</v>
      </c>
      <c r="G829" s="138">
        <v>0.11466935</v>
      </c>
      <c r="H829" s="24" t="s">
        <v>104</v>
      </c>
    </row>
    <row r="830" spans="1:8" x14ac:dyDescent="0.3">
      <c r="A830" s="24" t="s">
        <v>108</v>
      </c>
      <c r="B830" s="24" t="s">
        <v>106</v>
      </c>
      <c r="C830" s="24" t="s">
        <v>83</v>
      </c>
      <c r="D830" s="138">
        <v>0.83698362000000004</v>
      </c>
      <c r="E830" s="138">
        <v>7.6533900000000004E-3</v>
      </c>
      <c r="F830" s="138">
        <v>0.25568517000000002</v>
      </c>
      <c r="G830" s="138">
        <v>0.11787752999999999</v>
      </c>
      <c r="H830" s="24" t="s">
        <v>104</v>
      </c>
    </row>
    <row r="831" spans="1:8" x14ac:dyDescent="0.3">
      <c r="A831" s="24" t="s">
        <v>108</v>
      </c>
      <c r="B831" s="24" t="s">
        <v>106</v>
      </c>
      <c r="C831" s="24" t="s">
        <v>82</v>
      </c>
      <c r="D831" s="138">
        <v>0.77963404000000003</v>
      </c>
      <c r="E831" s="138">
        <v>2.4334910000000001E-2</v>
      </c>
      <c r="F831" s="138">
        <v>0.30812145000000002</v>
      </c>
      <c r="G831" s="138">
        <v>0.13735417</v>
      </c>
      <c r="H831" s="24" t="s">
        <v>104</v>
      </c>
    </row>
    <row r="832" spans="1:8" x14ac:dyDescent="0.3">
      <c r="A832" s="24" t="s">
        <v>108</v>
      </c>
      <c r="B832" s="24" t="s">
        <v>106</v>
      </c>
      <c r="C832" s="24" t="s">
        <v>81</v>
      </c>
      <c r="D832" s="138">
        <v>0.79842088</v>
      </c>
      <c r="E832" s="138">
        <v>6.0388300000000002E-3</v>
      </c>
      <c r="F832" s="138">
        <v>0.23249093000000001</v>
      </c>
      <c r="G832" s="138">
        <v>0.11981095</v>
      </c>
      <c r="H832" s="24" t="s">
        <v>104</v>
      </c>
    </row>
    <row r="833" spans="1:8" x14ac:dyDescent="0.3">
      <c r="A833" s="24" t="s">
        <v>108</v>
      </c>
      <c r="B833" s="24" t="s">
        <v>106</v>
      </c>
      <c r="C833" s="24" t="s">
        <v>85</v>
      </c>
      <c r="D833" s="138">
        <v>-0.71187060000000002</v>
      </c>
      <c r="E833" s="138">
        <v>1.6140000000000001E-5</v>
      </c>
      <c r="F833" s="138">
        <v>7.7103770000000002E-2</v>
      </c>
      <c r="G833" s="138">
        <v>0.23581099999999999</v>
      </c>
      <c r="H833" s="24" t="s">
        <v>104</v>
      </c>
    </row>
    <row r="834" spans="1:8" x14ac:dyDescent="0.3">
      <c r="A834" s="24" t="s">
        <v>108</v>
      </c>
      <c r="B834" s="24" t="s">
        <v>106</v>
      </c>
      <c r="C834" s="24" t="s">
        <v>92</v>
      </c>
      <c r="D834" s="138">
        <v>0.84136040000000001</v>
      </c>
      <c r="E834" s="138">
        <v>5.75407E-3</v>
      </c>
      <c r="F834" s="138">
        <v>0.24265001999999999</v>
      </c>
      <c r="G834" s="138">
        <v>0.11696938</v>
      </c>
      <c r="H834" s="24" t="s">
        <v>104</v>
      </c>
    </row>
    <row r="835" spans="1:8" x14ac:dyDescent="0.3">
      <c r="A835" s="24" t="s">
        <v>108</v>
      </c>
      <c r="B835" s="24" t="s">
        <v>106</v>
      </c>
      <c r="C835" s="24" t="s">
        <v>80</v>
      </c>
      <c r="D835" s="138">
        <v>0.84268694</v>
      </c>
      <c r="E835" s="138">
        <v>5.7375600000000001E-3</v>
      </c>
      <c r="F835" s="138">
        <v>0.242894</v>
      </c>
      <c r="G835" s="138">
        <v>0.11685647</v>
      </c>
      <c r="H835" s="24" t="s">
        <v>104</v>
      </c>
    </row>
    <row r="836" spans="1:8" x14ac:dyDescent="0.3">
      <c r="A836" s="24" t="s">
        <v>108</v>
      </c>
      <c r="B836" s="24" t="s">
        <v>106</v>
      </c>
      <c r="C836" s="24" t="s">
        <v>77</v>
      </c>
      <c r="D836" s="138">
        <v>0.83719288000000003</v>
      </c>
      <c r="E836" s="138">
        <v>7.3439300000000002E-3</v>
      </c>
      <c r="F836" s="138">
        <v>0.25359873999999999</v>
      </c>
      <c r="G836" s="138">
        <v>0.11707056</v>
      </c>
      <c r="H836" s="24" t="s">
        <v>104</v>
      </c>
    </row>
    <row r="837" spans="1:8" x14ac:dyDescent="0.3">
      <c r="A837" s="24" t="s">
        <v>108</v>
      </c>
      <c r="B837" s="24" t="s">
        <v>106</v>
      </c>
      <c r="C837" s="24" t="s">
        <v>76</v>
      </c>
      <c r="D837" s="138">
        <v>0.80430502999999998</v>
      </c>
      <c r="E837" s="138">
        <v>1.14436E-2</v>
      </c>
      <c r="F837" s="138">
        <v>0.26739906000000002</v>
      </c>
      <c r="G837" s="138">
        <v>0.13180575</v>
      </c>
      <c r="H837" s="24" t="s">
        <v>104</v>
      </c>
    </row>
    <row r="838" spans="1:8" x14ac:dyDescent="0.3">
      <c r="A838" s="24" t="s">
        <v>108</v>
      </c>
      <c r="B838" s="24" t="s">
        <v>106</v>
      </c>
      <c r="C838" s="24" t="s">
        <v>75</v>
      </c>
      <c r="D838" s="138">
        <v>0.81185481000000004</v>
      </c>
      <c r="E838" s="138">
        <v>1.239111E-2</v>
      </c>
      <c r="F838" s="138">
        <v>0.27461380000000002</v>
      </c>
      <c r="G838" s="138">
        <v>0.13251741</v>
      </c>
      <c r="H838" s="24" t="s">
        <v>104</v>
      </c>
    </row>
    <row r="839" spans="1:8" x14ac:dyDescent="0.3">
      <c r="A839" s="24" t="s">
        <v>108</v>
      </c>
      <c r="B839" s="24" t="s">
        <v>106</v>
      </c>
      <c r="C839" s="24" t="s">
        <v>74</v>
      </c>
      <c r="D839" s="138">
        <v>0.84988395000000005</v>
      </c>
      <c r="E839" s="138">
        <v>3.37492E-3</v>
      </c>
      <c r="F839" s="138">
        <v>0.22108903999999999</v>
      </c>
      <c r="G839" s="138">
        <v>0.10992726999999999</v>
      </c>
      <c r="H839" s="24" t="s">
        <v>104</v>
      </c>
    </row>
    <row r="840" spans="1:8" x14ac:dyDescent="0.3">
      <c r="A840" s="24" t="s">
        <v>108</v>
      </c>
      <c r="B840" s="24" t="s">
        <v>106</v>
      </c>
      <c r="C840" s="24" t="s">
        <v>73</v>
      </c>
      <c r="D840" s="138">
        <v>-0.24735825</v>
      </c>
      <c r="E840" s="138">
        <v>0.51774810999999998</v>
      </c>
      <c r="F840" s="138">
        <v>0.41056145999999999</v>
      </c>
      <c r="G840" s="138">
        <v>0.39439921999999999</v>
      </c>
      <c r="H840" s="24" t="s">
        <v>104</v>
      </c>
    </row>
    <row r="841" spans="1:8" x14ac:dyDescent="0.3">
      <c r="A841" s="24" t="s">
        <v>108</v>
      </c>
      <c r="B841" s="24" t="s">
        <v>106</v>
      </c>
      <c r="C841" s="24" t="s">
        <v>78</v>
      </c>
      <c r="D841" s="138">
        <v>-0.79594697000000003</v>
      </c>
      <c r="E841" s="138">
        <v>1.78809E-3</v>
      </c>
      <c r="F841" s="138">
        <v>0.18426076999999999</v>
      </c>
      <c r="G841" s="138">
        <v>0.14129662000000001</v>
      </c>
      <c r="H841" s="24" t="s">
        <v>104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4"/>
  <dimension ref="A1:J66"/>
  <sheetViews>
    <sheetView workbookViewId="0"/>
  </sheetViews>
  <sheetFormatPr defaultColWidth="9.140625" defaultRowHeight="12.75" x14ac:dyDescent="0.2"/>
  <cols>
    <col min="1" max="1" width="18.5703125" style="27" bestFit="1" customWidth="1"/>
    <col min="2" max="4" width="9.140625" style="27"/>
    <col min="5" max="5" width="6.5703125" style="27" bestFit="1" customWidth="1"/>
    <col min="6" max="16384" width="9.140625" style="27"/>
  </cols>
  <sheetData>
    <row r="1" spans="1:10" x14ac:dyDescent="0.2">
      <c r="A1" s="27" t="s">
        <v>2042</v>
      </c>
      <c r="B1" s="27" t="s">
        <v>2108</v>
      </c>
      <c r="C1" s="27" t="s">
        <v>2109</v>
      </c>
      <c r="D1" s="27" t="s">
        <v>2110</v>
      </c>
      <c r="E1" s="27" t="s">
        <v>2111</v>
      </c>
      <c r="F1" s="27" t="s">
        <v>2112</v>
      </c>
      <c r="G1" s="27" t="s">
        <v>2113</v>
      </c>
      <c r="H1" s="27" t="s">
        <v>2114</v>
      </c>
      <c r="I1" s="27" t="s">
        <v>2115</v>
      </c>
      <c r="J1" s="27" t="s">
        <v>2116</v>
      </c>
    </row>
    <row r="2" spans="1:10" ht="15" x14ac:dyDescent="0.25">
      <c r="A2" s="27" t="s">
        <v>2043</v>
      </c>
      <c r="B2" s="138">
        <v>16507</v>
      </c>
      <c r="C2" s="138">
        <v>17245</v>
      </c>
      <c r="D2" s="138">
        <v>17400</v>
      </c>
      <c r="E2" s="138">
        <v>19155</v>
      </c>
      <c r="F2" s="138">
        <v>18934</v>
      </c>
      <c r="G2" s="138">
        <v>19008</v>
      </c>
      <c r="H2" s="138">
        <v>19145</v>
      </c>
      <c r="I2" s="138">
        <v>18960</v>
      </c>
      <c r="J2" s="138">
        <v>0</v>
      </c>
    </row>
    <row r="3" spans="1:10" ht="15" x14ac:dyDescent="0.25">
      <c r="A3" s="27" t="s">
        <v>2044</v>
      </c>
      <c r="B3" s="138">
        <v>15701</v>
      </c>
      <c r="C3" s="138">
        <v>17388</v>
      </c>
      <c r="D3" s="138">
        <v>17515</v>
      </c>
      <c r="E3" s="138">
        <v>19408</v>
      </c>
      <c r="F3" s="138">
        <v>19194</v>
      </c>
      <c r="G3" s="138">
        <v>19173</v>
      </c>
      <c r="H3" s="138">
        <v>19325</v>
      </c>
      <c r="I3" s="138">
        <v>19045</v>
      </c>
      <c r="J3" s="138">
        <v>19176</v>
      </c>
    </row>
    <row r="4" spans="1:10" ht="15" x14ac:dyDescent="0.25">
      <c r="A4" s="27" t="s">
        <v>2045</v>
      </c>
      <c r="B4" s="138">
        <v>17212</v>
      </c>
      <c r="C4" s="138">
        <v>17388</v>
      </c>
      <c r="D4" s="138">
        <v>17515</v>
      </c>
      <c r="E4" s="138">
        <v>19408</v>
      </c>
      <c r="F4" s="138">
        <v>19194</v>
      </c>
      <c r="G4" s="138">
        <v>19173</v>
      </c>
      <c r="H4" s="138">
        <v>19325</v>
      </c>
      <c r="I4" s="138">
        <v>19045</v>
      </c>
      <c r="J4" s="138">
        <v>19176</v>
      </c>
    </row>
    <row r="5" spans="1:10" ht="15" x14ac:dyDescent="0.25">
      <c r="A5" s="27" t="s">
        <v>2046</v>
      </c>
      <c r="B5" s="138">
        <v>16334</v>
      </c>
      <c r="C5" s="138">
        <v>17190</v>
      </c>
      <c r="D5" s="138">
        <v>17332</v>
      </c>
      <c r="E5" s="138">
        <v>18861</v>
      </c>
      <c r="F5" s="138">
        <v>18852</v>
      </c>
      <c r="G5" s="138">
        <v>18914</v>
      </c>
      <c r="H5" s="138">
        <v>19089</v>
      </c>
      <c r="I5" s="138">
        <v>18890</v>
      </c>
      <c r="J5" s="138">
        <v>19059</v>
      </c>
    </row>
    <row r="6" spans="1:10" ht="15" x14ac:dyDescent="0.25">
      <c r="A6" s="27" t="s">
        <v>2047</v>
      </c>
      <c r="B6" s="138">
        <v>16857</v>
      </c>
      <c r="C6" s="138">
        <v>17333</v>
      </c>
      <c r="D6" s="138">
        <v>17373</v>
      </c>
      <c r="E6" s="138">
        <v>19064</v>
      </c>
      <c r="F6" s="138">
        <v>19085</v>
      </c>
      <c r="G6" s="138">
        <v>19085</v>
      </c>
      <c r="H6" s="138">
        <v>19214</v>
      </c>
      <c r="I6" s="138">
        <v>18985</v>
      </c>
      <c r="J6" s="138">
        <v>19125</v>
      </c>
    </row>
    <row r="7" spans="1:10" ht="15" x14ac:dyDescent="0.25">
      <c r="A7" s="27" t="s">
        <v>2048</v>
      </c>
      <c r="B7" s="138">
        <v>17057</v>
      </c>
      <c r="C7" s="138">
        <v>16850</v>
      </c>
      <c r="D7" s="138">
        <v>17106</v>
      </c>
      <c r="E7" s="138">
        <v>19167</v>
      </c>
      <c r="F7" s="138">
        <v>19019</v>
      </c>
      <c r="G7" s="138">
        <v>19014</v>
      </c>
      <c r="H7" s="138">
        <v>19157</v>
      </c>
      <c r="I7" s="138">
        <v>18907</v>
      </c>
      <c r="J7" s="138">
        <v>19052</v>
      </c>
    </row>
    <row r="8" spans="1:10" ht="15" x14ac:dyDescent="0.25">
      <c r="A8" s="27" t="s">
        <v>2049</v>
      </c>
      <c r="B8" s="138">
        <v>0</v>
      </c>
      <c r="C8" s="138">
        <v>0</v>
      </c>
      <c r="D8" s="138">
        <v>0</v>
      </c>
      <c r="E8" s="138">
        <v>19121</v>
      </c>
      <c r="F8" s="138">
        <v>18955</v>
      </c>
      <c r="G8" s="138">
        <v>18996</v>
      </c>
      <c r="H8" s="138">
        <v>19154</v>
      </c>
      <c r="I8" s="138">
        <v>18957</v>
      </c>
      <c r="J8" s="138">
        <v>19114</v>
      </c>
    </row>
    <row r="9" spans="1:10" ht="15" x14ac:dyDescent="0.25">
      <c r="A9" s="27" t="s">
        <v>2050</v>
      </c>
      <c r="B9" s="138">
        <v>0</v>
      </c>
      <c r="C9" s="138">
        <v>0</v>
      </c>
      <c r="D9" s="138">
        <v>0</v>
      </c>
      <c r="E9" s="138">
        <v>0</v>
      </c>
      <c r="F9" s="138">
        <v>0</v>
      </c>
      <c r="G9" s="138">
        <v>0</v>
      </c>
      <c r="H9" s="138">
        <v>18922</v>
      </c>
      <c r="I9" s="138">
        <v>18740</v>
      </c>
      <c r="J9" s="138">
        <v>18690</v>
      </c>
    </row>
    <row r="10" spans="1:10" ht="15" x14ac:dyDescent="0.25">
      <c r="A10" s="27" t="s">
        <v>2051</v>
      </c>
      <c r="B10" s="138">
        <v>16348</v>
      </c>
      <c r="C10" s="138">
        <v>17169</v>
      </c>
      <c r="D10" s="138">
        <v>17196</v>
      </c>
      <c r="E10" s="138">
        <v>19063</v>
      </c>
      <c r="F10" s="138">
        <v>18894</v>
      </c>
      <c r="G10" s="138">
        <v>18966</v>
      </c>
      <c r="H10" s="138">
        <v>19123</v>
      </c>
      <c r="I10" s="138">
        <v>18923</v>
      </c>
      <c r="J10" s="138">
        <v>19061</v>
      </c>
    </row>
    <row r="11" spans="1:10" ht="15" x14ac:dyDescent="0.25">
      <c r="A11" s="27" t="s">
        <v>2052</v>
      </c>
      <c r="B11" s="138">
        <v>0</v>
      </c>
      <c r="C11" s="138">
        <v>0</v>
      </c>
      <c r="D11" s="138">
        <v>0</v>
      </c>
      <c r="E11" s="138">
        <v>0</v>
      </c>
      <c r="F11" s="138">
        <v>0</v>
      </c>
      <c r="G11" s="138">
        <v>0</v>
      </c>
      <c r="H11" s="138">
        <v>19156</v>
      </c>
      <c r="I11" s="138">
        <v>18907</v>
      </c>
      <c r="J11" s="138">
        <v>19036</v>
      </c>
    </row>
    <row r="12" spans="1:10" ht="15" x14ac:dyDescent="0.25">
      <c r="A12" s="27" t="s">
        <v>2053</v>
      </c>
      <c r="B12" s="138">
        <v>16296</v>
      </c>
      <c r="C12" s="138">
        <v>17201</v>
      </c>
      <c r="D12" s="138">
        <v>17331</v>
      </c>
      <c r="E12" s="138">
        <v>19065</v>
      </c>
      <c r="F12" s="138">
        <v>18871</v>
      </c>
      <c r="G12" s="138">
        <v>18937</v>
      </c>
      <c r="H12" s="138">
        <v>19135</v>
      </c>
      <c r="I12" s="138">
        <v>18952</v>
      </c>
      <c r="J12" s="138">
        <v>18931</v>
      </c>
    </row>
    <row r="13" spans="1:10" ht="15" x14ac:dyDescent="0.25">
      <c r="A13" s="27" t="s">
        <v>2054</v>
      </c>
      <c r="B13" s="138">
        <v>6631</v>
      </c>
      <c r="C13" s="138">
        <v>6668</v>
      </c>
      <c r="D13" s="138">
        <v>6651</v>
      </c>
      <c r="E13" s="138">
        <v>6041</v>
      </c>
      <c r="F13" s="138">
        <v>6312</v>
      </c>
      <c r="G13" s="138">
        <v>5983</v>
      </c>
      <c r="H13" s="138">
        <v>5692</v>
      </c>
      <c r="I13" s="138">
        <v>7596</v>
      </c>
      <c r="J13" s="138">
        <v>7736</v>
      </c>
    </row>
    <row r="14" spans="1:10" ht="15" x14ac:dyDescent="0.25">
      <c r="A14" s="27" t="s">
        <v>2055</v>
      </c>
      <c r="B14" s="138">
        <v>16867</v>
      </c>
      <c r="C14" s="138">
        <v>17388</v>
      </c>
      <c r="D14" s="138">
        <v>17515</v>
      </c>
      <c r="E14" s="138">
        <v>19408</v>
      </c>
      <c r="F14" s="138">
        <v>19194</v>
      </c>
      <c r="G14" s="138">
        <v>19173</v>
      </c>
      <c r="H14" s="138">
        <v>19325</v>
      </c>
      <c r="I14" s="138">
        <v>19045</v>
      </c>
      <c r="J14" s="138">
        <v>19176</v>
      </c>
    </row>
    <row r="15" spans="1:10" ht="15" x14ac:dyDescent="0.25">
      <c r="A15" s="27" t="s">
        <v>2056</v>
      </c>
      <c r="B15" s="138">
        <v>17212</v>
      </c>
      <c r="C15" s="138">
        <v>17388</v>
      </c>
      <c r="D15" s="138">
        <v>17515</v>
      </c>
      <c r="E15" s="138">
        <v>19408</v>
      </c>
      <c r="F15" s="138">
        <v>19194</v>
      </c>
      <c r="G15" s="138">
        <v>19173</v>
      </c>
      <c r="H15" s="138">
        <v>19325</v>
      </c>
      <c r="I15" s="138">
        <v>19045</v>
      </c>
      <c r="J15" s="138">
        <v>19176</v>
      </c>
    </row>
    <row r="16" spans="1:10" ht="15" x14ac:dyDescent="0.25">
      <c r="A16" s="27" t="s">
        <v>2057</v>
      </c>
      <c r="B16" s="138">
        <v>0</v>
      </c>
      <c r="C16" s="138">
        <v>14564</v>
      </c>
      <c r="D16" s="138">
        <v>15765</v>
      </c>
      <c r="E16" s="138">
        <v>19408</v>
      </c>
      <c r="F16" s="138">
        <v>19194</v>
      </c>
      <c r="G16" s="138">
        <v>0</v>
      </c>
      <c r="H16" s="138">
        <v>19325</v>
      </c>
      <c r="I16" s="138">
        <v>17876</v>
      </c>
      <c r="J16" s="138">
        <v>19176</v>
      </c>
    </row>
    <row r="17" spans="1:10" ht="15" x14ac:dyDescent="0.25">
      <c r="A17" s="27" t="s">
        <v>2058</v>
      </c>
      <c r="B17" s="138">
        <v>17196</v>
      </c>
      <c r="C17" s="138">
        <v>17388</v>
      </c>
      <c r="D17" s="138">
        <v>17515</v>
      </c>
      <c r="E17" s="138">
        <v>19408</v>
      </c>
      <c r="F17" s="138">
        <v>19194</v>
      </c>
      <c r="G17" s="138">
        <v>19173</v>
      </c>
      <c r="H17" s="138">
        <v>19325</v>
      </c>
      <c r="I17" s="138">
        <v>19045</v>
      </c>
      <c r="J17" s="138">
        <v>19176</v>
      </c>
    </row>
    <row r="18" spans="1:10" ht="15" x14ac:dyDescent="0.25">
      <c r="A18" s="27" t="s">
        <v>2059</v>
      </c>
      <c r="B18" s="138">
        <v>17196</v>
      </c>
      <c r="C18" s="138">
        <v>17388</v>
      </c>
      <c r="D18" s="138">
        <v>17515</v>
      </c>
      <c r="E18" s="138">
        <v>19408</v>
      </c>
      <c r="F18" s="138">
        <v>19194</v>
      </c>
      <c r="G18" s="138">
        <v>19173</v>
      </c>
      <c r="H18" s="138">
        <v>19325</v>
      </c>
      <c r="I18" s="138">
        <v>19045</v>
      </c>
      <c r="J18" s="138">
        <v>19176</v>
      </c>
    </row>
    <row r="19" spans="1:10" ht="15" x14ac:dyDescent="0.25">
      <c r="A19" s="27" t="s">
        <v>2060</v>
      </c>
      <c r="B19" s="138">
        <v>17212</v>
      </c>
      <c r="C19" s="138">
        <v>17388</v>
      </c>
      <c r="D19" s="138">
        <v>17515</v>
      </c>
      <c r="E19" s="138">
        <v>19408</v>
      </c>
      <c r="F19" s="138">
        <v>19194</v>
      </c>
      <c r="G19" s="138">
        <v>19173</v>
      </c>
      <c r="H19" s="138">
        <v>19325</v>
      </c>
      <c r="I19" s="138">
        <v>19045</v>
      </c>
      <c r="J19" s="138">
        <v>19176</v>
      </c>
    </row>
    <row r="20" spans="1:10" ht="15" x14ac:dyDescent="0.25">
      <c r="A20" s="27" t="s">
        <v>2061</v>
      </c>
      <c r="B20" s="138">
        <v>17196</v>
      </c>
      <c r="C20" s="138">
        <v>17388</v>
      </c>
      <c r="D20" s="138">
        <v>17515</v>
      </c>
      <c r="E20" s="138">
        <v>19408</v>
      </c>
      <c r="F20" s="138">
        <v>19194</v>
      </c>
      <c r="G20" s="138">
        <v>19173</v>
      </c>
      <c r="H20" s="138">
        <v>19325</v>
      </c>
      <c r="I20" s="138">
        <v>19045</v>
      </c>
      <c r="J20" s="138">
        <v>19176</v>
      </c>
    </row>
    <row r="21" spans="1:10" ht="15" x14ac:dyDescent="0.25">
      <c r="A21" s="27" t="s">
        <v>2062</v>
      </c>
      <c r="B21" s="138">
        <v>16632</v>
      </c>
      <c r="C21" s="138">
        <v>17271</v>
      </c>
      <c r="D21" s="138">
        <v>17399</v>
      </c>
      <c r="E21" s="138">
        <v>19206</v>
      </c>
      <c r="F21" s="138">
        <v>18988</v>
      </c>
      <c r="G21" s="138">
        <v>19046</v>
      </c>
      <c r="H21" s="138">
        <v>19183</v>
      </c>
      <c r="I21" s="138">
        <v>18961</v>
      </c>
      <c r="J21" s="138">
        <v>0</v>
      </c>
    </row>
    <row r="22" spans="1:10" ht="15" x14ac:dyDescent="0.25">
      <c r="A22" s="27" t="s">
        <v>2063</v>
      </c>
      <c r="B22" s="138">
        <v>17212</v>
      </c>
      <c r="C22" s="138">
        <v>17388</v>
      </c>
      <c r="D22" s="138">
        <v>17515</v>
      </c>
      <c r="E22" s="138">
        <v>19408</v>
      </c>
      <c r="F22" s="138">
        <v>19194</v>
      </c>
      <c r="G22" s="138">
        <v>19173</v>
      </c>
      <c r="H22" s="138">
        <v>19325</v>
      </c>
      <c r="I22" s="138">
        <v>19045</v>
      </c>
      <c r="J22" s="138">
        <v>19176</v>
      </c>
    </row>
    <row r="23" spans="1:10" ht="15" x14ac:dyDescent="0.25">
      <c r="A23" s="27" t="s">
        <v>2064</v>
      </c>
      <c r="B23" s="138">
        <v>1170</v>
      </c>
      <c r="C23" s="138">
        <v>17376</v>
      </c>
      <c r="D23" s="138">
        <v>17515</v>
      </c>
      <c r="E23" s="138">
        <v>19408</v>
      </c>
      <c r="F23" s="138">
        <v>19194</v>
      </c>
      <c r="G23" s="138">
        <v>0</v>
      </c>
      <c r="H23" s="138">
        <v>19325</v>
      </c>
      <c r="I23" s="138">
        <v>17876</v>
      </c>
      <c r="J23" s="138">
        <v>19176</v>
      </c>
    </row>
    <row r="24" spans="1:10" ht="15" x14ac:dyDescent="0.25">
      <c r="A24" s="27" t="s">
        <v>2065</v>
      </c>
      <c r="B24" s="138">
        <v>14799</v>
      </c>
      <c r="C24" s="138">
        <v>13766</v>
      </c>
      <c r="D24" s="138">
        <v>12884</v>
      </c>
      <c r="E24" s="138">
        <v>15657</v>
      </c>
      <c r="F24" s="138">
        <v>14551</v>
      </c>
      <c r="G24" s="138">
        <v>14589</v>
      </c>
      <c r="H24" s="138">
        <v>14651</v>
      </c>
      <c r="I24" s="138">
        <v>15776</v>
      </c>
      <c r="J24" s="138">
        <v>15307</v>
      </c>
    </row>
    <row r="25" spans="1:10" ht="15" x14ac:dyDescent="0.25">
      <c r="A25" s="27" t="s">
        <v>2066</v>
      </c>
      <c r="B25" s="138">
        <v>16429</v>
      </c>
      <c r="C25" s="138">
        <v>17209</v>
      </c>
      <c r="D25" s="138">
        <v>17374</v>
      </c>
      <c r="E25" s="138">
        <v>19104</v>
      </c>
      <c r="F25" s="138">
        <v>18922</v>
      </c>
      <c r="G25" s="138">
        <v>18983</v>
      </c>
      <c r="H25" s="138">
        <v>19145</v>
      </c>
      <c r="I25" s="138">
        <v>18930</v>
      </c>
      <c r="J25" s="138">
        <v>19099</v>
      </c>
    </row>
    <row r="26" spans="1:10" ht="15" x14ac:dyDescent="0.25">
      <c r="A26" s="27" t="s">
        <v>2067</v>
      </c>
      <c r="B26" s="138">
        <v>15701</v>
      </c>
      <c r="C26" s="138">
        <v>17388</v>
      </c>
      <c r="D26" s="138">
        <v>17515</v>
      </c>
      <c r="E26" s="138">
        <v>19408</v>
      </c>
      <c r="F26" s="138">
        <v>19194</v>
      </c>
      <c r="G26" s="138">
        <v>19173</v>
      </c>
      <c r="H26" s="138">
        <v>19325</v>
      </c>
      <c r="I26" s="138">
        <v>19045</v>
      </c>
      <c r="J26" s="138">
        <v>19176</v>
      </c>
    </row>
    <row r="27" spans="1:10" ht="15" x14ac:dyDescent="0.25">
      <c r="A27" s="27" t="s">
        <v>2068</v>
      </c>
      <c r="B27" s="138">
        <v>0</v>
      </c>
      <c r="C27" s="138">
        <v>15260</v>
      </c>
      <c r="D27" s="138">
        <v>15297</v>
      </c>
      <c r="E27" s="138">
        <v>17073</v>
      </c>
      <c r="F27" s="138">
        <v>17182</v>
      </c>
      <c r="G27" s="138">
        <v>17020</v>
      </c>
      <c r="H27" s="138">
        <v>16978</v>
      </c>
      <c r="I27" s="138">
        <v>16950</v>
      </c>
      <c r="J27" s="138">
        <v>17032</v>
      </c>
    </row>
    <row r="28" spans="1:10" ht="15" x14ac:dyDescent="0.25">
      <c r="A28" s="27" t="s">
        <v>2069</v>
      </c>
      <c r="B28" s="138">
        <v>16863</v>
      </c>
      <c r="C28" s="138">
        <v>0</v>
      </c>
      <c r="D28" s="138">
        <v>0</v>
      </c>
      <c r="E28" s="138">
        <v>0</v>
      </c>
      <c r="F28" s="138">
        <v>0</v>
      </c>
      <c r="G28" s="138">
        <v>0</v>
      </c>
      <c r="H28" s="138">
        <v>0</v>
      </c>
      <c r="I28" s="138">
        <v>0</v>
      </c>
      <c r="J28" s="138">
        <v>0</v>
      </c>
    </row>
    <row r="29" spans="1:10" ht="15" x14ac:dyDescent="0.25">
      <c r="A29" s="27" t="s">
        <v>2070</v>
      </c>
      <c r="B29" s="138">
        <v>0</v>
      </c>
      <c r="C29" s="138">
        <v>15260</v>
      </c>
      <c r="D29" s="138">
        <v>15297</v>
      </c>
      <c r="E29" s="138">
        <v>17073</v>
      </c>
      <c r="F29" s="138">
        <v>17182</v>
      </c>
      <c r="G29" s="138">
        <v>17020</v>
      </c>
      <c r="H29" s="138">
        <v>16978</v>
      </c>
      <c r="I29" s="138">
        <v>16950</v>
      </c>
      <c r="J29" s="138">
        <v>17032</v>
      </c>
    </row>
    <row r="30" spans="1:10" ht="15" x14ac:dyDescent="0.25">
      <c r="A30" s="27" t="s">
        <v>2071</v>
      </c>
      <c r="B30" s="138">
        <v>17006</v>
      </c>
      <c r="C30" s="138">
        <v>17214</v>
      </c>
      <c r="D30" s="138">
        <v>17306</v>
      </c>
      <c r="E30" s="138">
        <v>0</v>
      </c>
      <c r="F30" s="138">
        <v>19034</v>
      </c>
      <c r="G30" s="138">
        <v>19010</v>
      </c>
      <c r="H30" s="138">
        <v>19117</v>
      </c>
      <c r="I30" s="138">
        <v>18881</v>
      </c>
      <c r="J30" s="138">
        <v>15745</v>
      </c>
    </row>
    <row r="31" spans="1:10" ht="15" x14ac:dyDescent="0.25">
      <c r="A31" s="27" t="s">
        <v>2072</v>
      </c>
      <c r="B31" s="138">
        <v>15705</v>
      </c>
      <c r="C31" s="138">
        <v>16065</v>
      </c>
      <c r="D31" s="138">
        <v>15997</v>
      </c>
      <c r="E31" s="138">
        <v>18700</v>
      </c>
      <c r="F31" s="138">
        <v>17844</v>
      </c>
      <c r="G31" s="138">
        <v>17997</v>
      </c>
      <c r="H31" s="138">
        <v>18084</v>
      </c>
      <c r="I31" s="138">
        <v>0</v>
      </c>
      <c r="J31" s="138">
        <v>17846</v>
      </c>
    </row>
    <row r="32" spans="1:10" ht="15" x14ac:dyDescent="0.25">
      <c r="A32" s="27" t="s">
        <v>2073</v>
      </c>
      <c r="B32" s="138">
        <v>17002</v>
      </c>
      <c r="C32" s="138">
        <v>17278</v>
      </c>
      <c r="D32" s="138">
        <v>17262</v>
      </c>
      <c r="E32" s="138">
        <v>19191</v>
      </c>
      <c r="F32" s="138">
        <v>18938</v>
      </c>
      <c r="G32" s="138">
        <v>18898</v>
      </c>
      <c r="H32" s="138">
        <v>18997</v>
      </c>
      <c r="I32" s="138">
        <v>10417</v>
      </c>
      <c r="J32" s="138">
        <v>0</v>
      </c>
    </row>
    <row r="33" spans="1:10" ht="15" x14ac:dyDescent="0.25">
      <c r="A33" s="27" t="s">
        <v>2074</v>
      </c>
      <c r="B33" s="138">
        <v>16867</v>
      </c>
      <c r="C33" s="138">
        <v>17388</v>
      </c>
      <c r="D33" s="138">
        <v>17515</v>
      </c>
      <c r="E33" s="138">
        <v>19408</v>
      </c>
      <c r="F33" s="138">
        <v>19194</v>
      </c>
      <c r="G33" s="138">
        <v>19173</v>
      </c>
      <c r="H33" s="138">
        <v>19325</v>
      </c>
      <c r="I33" s="138">
        <v>19045</v>
      </c>
      <c r="J33" s="138">
        <v>19176</v>
      </c>
    </row>
    <row r="34" spans="1:10" ht="15" x14ac:dyDescent="0.25">
      <c r="A34" s="27" t="s">
        <v>2075</v>
      </c>
      <c r="B34" s="138">
        <v>15705</v>
      </c>
      <c r="C34" s="138">
        <v>16065</v>
      </c>
      <c r="D34" s="138">
        <v>15997</v>
      </c>
      <c r="E34" s="138">
        <v>18700</v>
      </c>
      <c r="F34" s="138">
        <v>17844</v>
      </c>
      <c r="G34" s="138">
        <v>17997</v>
      </c>
      <c r="H34" s="138">
        <v>18084</v>
      </c>
      <c r="I34" s="138">
        <v>0</v>
      </c>
      <c r="J34" s="138">
        <v>17846</v>
      </c>
    </row>
    <row r="35" spans="1:10" ht="15" x14ac:dyDescent="0.25">
      <c r="A35" s="27" t="s">
        <v>2076</v>
      </c>
      <c r="B35" s="138">
        <v>17027</v>
      </c>
      <c r="C35" s="138">
        <v>17244</v>
      </c>
      <c r="D35" s="138">
        <v>17302</v>
      </c>
      <c r="E35" s="138">
        <v>0</v>
      </c>
      <c r="F35" s="138">
        <v>19032</v>
      </c>
      <c r="G35" s="138">
        <v>18986</v>
      </c>
      <c r="H35" s="138">
        <v>19139</v>
      </c>
      <c r="I35" s="138">
        <v>18839</v>
      </c>
      <c r="J35" s="138">
        <v>18912</v>
      </c>
    </row>
    <row r="36" spans="1:10" ht="15" x14ac:dyDescent="0.25">
      <c r="A36" s="27" t="s">
        <v>2077</v>
      </c>
      <c r="B36" s="138">
        <v>17112</v>
      </c>
      <c r="C36" s="138">
        <v>17304</v>
      </c>
      <c r="D36" s="138">
        <v>17439</v>
      </c>
      <c r="E36" s="138">
        <v>19172</v>
      </c>
      <c r="F36" s="138">
        <v>19088</v>
      </c>
      <c r="G36" s="138">
        <v>19048</v>
      </c>
      <c r="H36" s="138">
        <v>19218</v>
      </c>
      <c r="I36" s="138">
        <v>18975</v>
      </c>
      <c r="J36" s="138">
        <v>19060</v>
      </c>
    </row>
    <row r="37" spans="1:10" ht="15" x14ac:dyDescent="0.25">
      <c r="A37" s="27" t="s">
        <v>2078</v>
      </c>
      <c r="B37" s="138">
        <v>16867</v>
      </c>
      <c r="C37" s="138">
        <v>17388</v>
      </c>
      <c r="D37" s="138">
        <v>17515</v>
      </c>
      <c r="E37" s="138">
        <v>19408</v>
      </c>
      <c r="F37" s="138">
        <v>19194</v>
      </c>
      <c r="G37" s="138">
        <v>19173</v>
      </c>
      <c r="H37" s="138">
        <v>19325</v>
      </c>
      <c r="I37" s="138">
        <v>19045</v>
      </c>
      <c r="J37" s="138">
        <v>19176</v>
      </c>
    </row>
    <row r="38" spans="1:10" ht="15" x14ac:dyDescent="0.25">
      <c r="A38" s="27" t="s">
        <v>2079</v>
      </c>
      <c r="B38" s="138">
        <v>0</v>
      </c>
      <c r="C38" s="138">
        <v>0</v>
      </c>
      <c r="D38" s="138">
        <v>0</v>
      </c>
      <c r="E38" s="138">
        <v>18656</v>
      </c>
      <c r="F38" s="138">
        <v>18499</v>
      </c>
      <c r="G38" s="138">
        <v>18429</v>
      </c>
      <c r="H38" s="138">
        <v>18541</v>
      </c>
      <c r="I38" s="138">
        <v>18566</v>
      </c>
      <c r="J38" s="138">
        <v>18189</v>
      </c>
    </row>
    <row r="39" spans="1:10" ht="15" x14ac:dyDescent="0.25">
      <c r="A39" s="27" t="s">
        <v>2080</v>
      </c>
      <c r="B39" s="138">
        <v>15705</v>
      </c>
      <c r="C39" s="138">
        <v>15990</v>
      </c>
      <c r="D39" s="138">
        <v>16025</v>
      </c>
      <c r="E39" s="138">
        <v>18770</v>
      </c>
      <c r="F39" s="138">
        <v>17773</v>
      </c>
      <c r="G39" s="138">
        <v>17822</v>
      </c>
      <c r="H39" s="138">
        <v>18026</v>
      </c>
      <c r="I39" s="138">
        <v>17854</v>
      </c>
      <c r="J39" s="138">
        <v>17908</v>
      </c>
    </row>
    <row r="40" spans="1:10" ht="15" x14ac:dyDescent="0.25">
      <c r="A40" s="27" t="s">
        <v>2081</v>
      </c>
      <c r="B40" s="138">
        <v>17006</v>
      </c>
      <c r="C40" s="138">
        <v>17214</v>
      </c>
      <c r="D40" s="138">
        <v>17306</v>
      </c>
      <c r="E40" s="138">
        <v>0</v>
      </c>
      <c r="F40" s="138">
        <v>19034</v>
      </c>
      <c r="G40" s="138">
        <v>19010</v>
      </c>
      <c r="H40" s="138">
        <v>19117</v>
      </c>
      <c r="I40" s="138">
        <v>18881</v>
      </c>
      <c r="J40" s="138">
        <v>15745</v>
      </c>
    </row>
    <row r="41" spans="1:10" ht="15" x14ac:dyDescent="0.25">
      <c r="A41" s="27" t="s">
        <v>2082</v>
      </c>
      <c r="B41" s="138">
        <v>17131</v>
      </c>
      <c r="C41" s="138">
        <v>17303</v>
      </c>
      <c r="D41" s="138">
        <v>17436</v>
      </c>
      <c r="E41" s="138">
        <v>0</v>
      </c>
      <c r="F41" s="138">
        <v>19138</v>
      </c>
      <c r="G41" s="138">
        <v>19111</v>
      </c>
      <c r="H41" s="138">
        <v>19259</v>
      </c>
      <c r="I41" s="138">
        <v>18985</v>
      </c>
      <c r="J41" s="138">
        <v>19092</v>
      </c>
    </row>
    <row r="42" spans="1:10" ht="15" x14ac:dyDescent="0.25">
      <c r="A42" s="27" t="s">
        <v>2083</v>
      </c>
      <c r="B42" s="138">
        <v>0</v>
      </c>
      <c r="C42" s="138">
        <v>0</v>
      </c>
      <c r="D42" s="138">
        <v>0</v>
      </c>
      <c r="E42" s="138">
        <v>0</v>
      </c>
      <c r="F42" s="138">
        <v>0</v>
      </c>
      <c r="G42" s="138">
        <v>0</v>
      </c>
      <c r="H42" s="138">
        <v>0</v>
      </c>
      <c r="I42" s="138">
        <v>0</v>
      </c>
      <c r="J42" s="138">
        <v>0</v>
      </c>
    </row>
    <row r="43" spans="1:10" ht="15" x14ac:dyDescent="0.25">
      <c r="A43" s="27" t="s">
        <v>2084</v>
      </c>
      <c r="B43" s="138">
        <v>0</v>
      </c>
      <c r="C43" s="138">
        <v>0</v>
      </c>
      <c r="D43" s="138">
        <v>16954</v>
      </c>
      <c r="E43" s="138">
        <v>0</v>
      </c>
      <c r="F43" s="138">
        <v>0</v>
      </c>
      <c r="G43" s="138">
        <v>0</v>
      </c>
      <c r="H43" s="138">
        <v>0</v>
      </c>
      <c r="I43" s="138">
        <v>0</v>
      </c>
      <c r="J43" s="138">
        <v>0</v>
      </c>
    </row>
    <row r="44" spans="1:10" ht="15" x14ac:dyDescent="0.25">
      <c r="A44" s="27" t="s">
        <v>2085</v>
      </c>
      <c r="B44" s="138">
        <v>0</v>
      </c>
      <c r="C44" s="138">
        <v>0</v>
      </c>
      <c r="D44" s="138">
        <v>0</v>
      </c>
      <c r="E44" s="138">
        <v>0</v>
      </c>
      <c r="F44" s="138">
        <v>0</v>
      </c>
      <c r="G44" s="138">
        <v>0</v>
      </c>
      <c r="H44" s="138">
        <v>0</v>
      </c>
      <c r="I44" s="138">
        <v>0</v>
      </c>
      <c r="J44" s="138">
        <v>18597</v>
      </c>
    </row>
    <row r="45" spans="1:10" ht="15" x14ac:dyDescent="0.25">
      <c r="A45" s="27" t="s">
        <v>2086</v>
      </c>
      <c r="B45" s="138">
        <v>0</v>
      </c>
      <c r="C45" s="138">
        <v>0</v>
      </c>
      <c r="D45" s="138">
        <v>0</v>
      </c>
      <c r="E45" s="138">
        <v>0</v>
      </c>
      <c r="F45" s="138">
        <v>0</v>
      </c>
      <c r="G45" s="138">
        <v>0</v>
      </c>
      <c r="H45" s="138">
        <v>0</v>
      </c>
      <c r="I45" s="138">
        <v>0</v>
      </c>
      <c r="J45" s="138">
        <v>18874</v>
      </c>
    </row>
    <row r="46" spans="1:10" ht="15" x14ac:dyDescent="0.25">
      <c r="A46" s="27" t="s">
        <v>2087</v>
      </c>
      <c r="B46" s="138">
        <v>0</v>
      </c>
      <c r="C46" s="138">
        <v>0</v>
      </c>
      <c r="D46" s="138">
        <v>16909</v>
      </c>
      <c r="E46" s="138">
        <v>0</v>
      </c>
      <c r="F46" s="138">
        <v>0</v>
      </c>
      <c r="G46" s="138">
        <v>0</v>
      </c>
      <c r="H46" s="138">
        <v>0</v>
      </c>
      <c r="I46" s="138">
        <v>0</v>
      </c>
      <c r="J46" s="138">
        <v>0</v>
      </c>
    </row>
    <row r="47" spans="1:10" ht="15" x14ac:dyDescent="0.25">
      <c r="A47" s="27" t="s">
        <v>2088</v>
      </c>
      <c r="B47" s="138">
        <v>0</v>
      </c>
      <c r="C47" s="138">
        <v>0</v>
      </c>
      <c r="D47" s="138">
        <v>16559</v>
      </c>
      <c r="E47" s="138">
        <v>17686</v>
      </c>
      <c r="F47" s="138">
        <v>0</v>
      </c>
      <c r="G47" s="138">
        <v>0</v>
      </c>
      <c r="H47" s="138">
        <v>0</v>
      </c>
      <c r="I47" s="138">
        <v>0</v>
      </c>
      <c r="J47" s="138">
        <v>18930</v>
      </c>
    </row>
    <row r="48" spans="1:10" ht="15" x14ac:dyDescent="0.25">
      <c r="A48" s="27" t="s">
        <v>2089</v>
      </c>
      <c r="B48" s="138">
        <v>0</v>
      </c>
      <c r="C48" s="138">
        <v>0</v>
      </c>
      <c r="D48" s="138">
        <v>0</v>
      </c>
      <c r="E48" s="138">
        <v>0</v>
      </c>
      <c r="F48" s="138">
        <v>0</v>
      </c>
      <c r="G48" s="138">
        <v>0</v>
      </c>
      <c r="H48" s="138">
        <v>0</v>
      </c>
      <c r="I48" s="138">
        <v>0</v>
      </c>
      <c r="J48" s="138">
        <v>0</v>
      </c>
    </row>
    <row r="49" spans="1:10" ht="15" x14ac:dyDescent="0.25">
      <c r="A49" s="27" t="s">
        <v>2090</v>
      </c>
      <c r="B49" s="138">
        <v>0</v>
      </c>
      <c r="C49" s="138">
        <v>0</v>
      </c>
      <c r="D49" s="138">
        <v>0</v>
      </c>
      <c r="E49" s="138">
        <v>0</v>
      </c>
      <c r="F49" s="138">
        <v>0</v>
      </c>
      <c r="G49" s="138">
        <v>0</v>
      </c>
      <c r="H49" s="138">
        <v>0</v>
      </c>
      <c r="I49" s="138">
        <v>0</v>
      </c>
      <c r="J49" s="138">
        <v>18895</v>
      </c>
    </row>
    <row r="50" spans="1:10" ht="15" x14ac:dyDescent="0.25">
      <c r="A50" s="27" t="s">
        <v>2091</v>
      </c>
      <c r="B50" s="138">
        <v>0</v>
      </c>
      <c r="C50" s="138">
        <v>0</v>
      </c>
      <c r="D50" s="138">
        <v>0</v>
      </c>
      <c r="E50" s="138">
        <v>17777</v>
      </c>
      <c r="F50" s="138">
        <v>0</v>
      </c>
      <c r="G50" s="138">
        <v>0</v>
      </c>
      <c r="H50" s="138">
        <v>0</v>
      </c>
      <c r="I50" s="138">
        <v>0</v>
      </c>
      <c r="J50" s="138">
        <v>0</v>
      </c>
    </row>
    <row r="51" spans="1:10" ht="15" x14ac:dyDescent="0.25">
      <c r="A51" s="27" t="s">
        <v>2092</v>
      </c>
      <c r="B51" s="138">
        <v>0</v>
      </c>
      <c r="C51" s="138">
        <v>0</v>
      </c>
      <c r="D51" s="138">
        <v>0</v>
      </c>
      <c r="E51" s="138">
        <v>0</v>
      </c>
      <c r="F51" s="138">
        <v>0</v>
      </c>
      <c r="G51" s="138">
        <v>0</v>
      </c>
      <c r="H51" s="138">
        <v>0</v>
      </c>
      <c r="I51" s="138">
        <v>0</v>
      </c>
      <c r="J51" s="138">
        <v>18650</v>
      </c>
    </row>
    <row r="52" spans="1:10" ht="15" x14ac:dyDescent="0.25">
      <c r="A52" s="27" t="s">
        <v>2093</v>
      </c>
      <c r="B52" s="138">
        <v>17212</v>
      </c>
      <c r="C52" s="138">
        <v>17388</v>
      </c>
      <c r="D52" s="138">
        <v>17515</v>
      </c>
      <c r="E52" s="138">
        <v>19408</v>
      </c>
      <c r="F52" s="138">
        <v>19194</v>
      </c>
      <c r="G52" s="138">
        <v>19173</v>
      </c>
      <c r="H52" s="138">
        <v>19325</v>
      </c>
      <c r="I52" s="138">
        <v>19045</v>
      </c>
      <c r="J52" s="138">
        <v>19176</v>
      </c>
    </row>
    <row r="53" spans="1:10" ht="15" x14ac:dyDescent="0.25">
      <c r="A53" s="27" t="s">
        <v>2094</v>
      </c>
      <c r="B53" s="138">
        <v>15705</v>
      </c>
      <c r="C53" s="138">
        <v>16065</v>
      </c>
      <c r="D53" s="138">
        <v>15997</v>
      </c>
      <c r="E53" s="138">
        <v>18700</v>
      </c>
      <c r="F53" s="138">
        <v>17844</v>
      </c>
      <c r="G53" s="138">
        <v>17997</v>
      </c>
      <c r="H53" s="138">
        <v>18084</v>
      </c>
      <c r="I53" s="138">
        <v>0</v>
      </c>
      <c r="J53" s="138">
        <v>17846</v>
      </c>
    </row>
    <row r="54" spans="1:10" ht="15" x14ac:dyDescent="0.25">
      <c r="A54" s="27" t="s">
        <v>2095</v>
      </c>
      <c r="B54" s="138">
        <v>16811</v>
      </c>
      <c r="C54" s="138">
        <v>0</v>
      </c>
      <c r="D54" s="138">
        <v>0</v>
      </c>
      <c r="E54" s="138">
        <v>0</v>
      </c>
      <c r="F54" s="138">
        <v>18691</v>
      </c>
      <c r="G54" s="138">
        <v>18722</v>
      </c>
      <c r="H54" s="138">
        <v>18737</v>
      </c>
      <c r="I54" s="138">
        <v>18670</v>
      </c>
      <c r="J54" s="138">
        <v>18752</v>
      </c>
    </row>
    <row r="55" spans="1:10" ht="15" x14ac:dyDescent="0.25">
      <c r="A55" s="27" t="s">
        <v>2096</v>
      </c>
      <c r="B55" s="138">
        <v>16590</v>
      </c>
      <c r="C55" s="138">
        <v>17258</v>
      </c>
      <c r="D55" s="138">
        <v>17387</v>
      </c>
      <c r="E55" s="138">
        <v>19186</v>
      </c>
      <c r="F55" s="138">
        <v>18976</v>
      </c>
      <c r="G55" s="138">
        <v>19021</v>
      </c>
      <c r="H55" s="138">
        <v>19173</v>
      </c>
      <c r="I55" s="138">
        <v>18942</v>
      </c>
      <c r="J55" s="138">
        <v>19117</v>
      </c>
    </row>
    <row r="56" spans="1:10" ht="15" x14ac:dyDescent="0.25">
      <c r="A56" s="27" t="s">
        <v>2097</v>
      </c>
      <c r="B56" s="138">
        <v>0</v>
      </c>
      <c r="C56" s="138">
        <v>0</v>
      </c>
      <c r="D56" s="138">
        <v>0</v>
      </c>
      <c r="E56" s="138">
        <v>0</v>
      </c>
      <c r="F56" s="138">
        <v>0</v>
      </c>
      <c r="G56" s="138">
        <v>0</v>
      </c>
      <c r="H56" s="138">
        <v>0</v>
      </c>
      <c r="I56" s="138">
        <v>18557</v>
      </c>
      <c r="J56" s="138">
        <v>18567</v>
      </c>
    </row>
    <row r="57" spans="1:10" ht="15" x14ac:dyDescent="0.25">
      <c r="A57" s="27" t="s">
        <v>2098</v>
      </c>
      <c r="B57" s="138">
        <v>0</v>
      </c>
      <c r="C57" s="138">
        <v>0</v>
      </c>
      <c r="D57" s="138">
        <v>0</v>
      </c>
      <c r="E57" s="138">
        <v>0</v>
      </c>
      <c r="F57" s="138">
        <v>0</v>
      </c>
      <c r="G57" s="138">
        <v>0</v>
      </c>
      <c r="H57" s="138">
        <v>0</v>
      </c>
      <c r="I57" s="138">
        <v>18779</v>
      </c>
      <c r="J57" s="138">
        <v>18807</v>
      </c>
    </row>
    <row r="58" spans="1:10" ht="15" x14ac:dyDescent="0.25">
      <c r="A58" s="27" t="s">
        <v>2099</v>
      </c>
      <c r="B58" s="138">
        <v>0</v>
      </c>
      <c r="C58" s="138">
        <v>0</v>
      </c>
      <c r="D58" s="138">
        <v>0</v>
      </c>
      <c r="E58" s="138">
        <v>0</v>
      </c>
      <c r="F58" s="138">
        <v>0</v>
      </c>
      <c r="G58" s="138">
        <v>0</v>
      </c>
      <c r="H58" s="138">
        <v>0</v>
      </c>
      <c r="I58" s="138">
        <v>18596</v>
      </c>
      <c r="J58" s="138">
        <v>18569</v>
      </c>
    </row>
    <row r="59" spans="1:10" ht="15" x14ac:dyDescent="0.25">
      <c r="A59" s="27" t="s">
        <v>2100</v>
      </c>
      <c r="B59" s="138">
        <v>0</v>
      </c>
      <c r="C59" s="138">
        <v>0</v>
      </c>
      <c r="D59" s="138">
        <v>0</v>
      </c>
      <c r="E59" s="138">
        <v>0</v>
      </c>
      <c r="F59" s="138">
        <v>0</v>
      </c>
      <c r="G59" s="138">
        <v>0</v>
      </c>
      <c r="H59" s="138">
        <v>0</v>
      </c>
      <c r="I59" s="138">
        <v>18718</v>
      </c>
      <c r="J59" s="138">
        <v>18735</v>
      </c>
    </row>
    <row r="60" spans="1:10" ht="15" x14ac:dyDescent="0.25">
      <c r="A60" s="27" t="s">
        <v>2101</v>
      </c>
      <c r="B60" s="138">
        <v>0</v>
      </c>
      <c r="C60" s="138">
        <v>0</v>
      </c>
      <c r="D60" s="138">
        <v>0</v>
      </c>
      <c r="E60" s="138">
        <v>17822</v>
      </c>
      <c r="F60" s="138">
        <v>17750</v>
      </c>
      <c r="G60" s="138">
        <v>17981</v>
      </c>
      <c r="H60" s="138">
        <v>18077</v>
      </c>
      <c r="I60" s="138">
        <v>18021</v>
      </c>
      <c r="J60" s="138">
        <v>17481</v>
      </c>
    </row>
    <row r="61" spans="1:10" ht="15" x14ac:dyDescent="0.25">
      <c r="A61" s="27" t="s">
        <v>2102</v>
      </c>
      <c r="B61" s="138">
        <v>10741</v>
      </c>
      <c r="C61" s="138">
        <v>11109</v>
      </c>
      <c r="D61" s="138">
        <v>11052</v>
      </c>
      <c r="E61" s="138">
        <v>12409</v>
      </c>
      <c r="F61" s="138">
        <v>12226</v>
      </c>
      <c r="G61" s="138">
        <v>12321</v>
      </c>
      <c r="H61" s="138">
        <v>12237</v>
      </c>
      <c r="I61" s="138">
        <v>12333</v>
      </c>
      <c r="J61" s="138">
        <v>12291</v>
      </c>
    </row>
    <row r="62" spans="1:10" ht="15" x14ac:dyDescent="0.25">
      <c r="A62" s="27" t="s">
        <v>2103</v>
      </c>
      <c r="B62" s="138">
        <v>0</v>
      </c>
      <c r="C62" s="138">
        <v>0</v>
      </c>
      <c r="D62" s="138">
        <v>0</v>
      </c>
      <c r="E62" s="138">
        <v>0</v>
      </c>
      <c r="F62" s="138">
        <v>0</v>
      </c>
      <c r="G62" s="138">
        <v>0</v>
      </c>
      <c r="H62" s="138">
        <v>0</v>
      </c>
      <c r="I62" s="138">
        <v>0</v>
      </c>
      <c r="J62" s="138">
        <v>0</v>
      </c>
    </row>
    <row r="63" spans="1:10" ht="15" x14ac:dyDescent="0.25">
      <c r="A63" s="27" t="s">
        <v>2104</v>
      </c>
      <c r="B63" s="138">
        <v>15701</v>
      </c>
      <c r="C63" s="138">
        <v>17388</v>
      </c>
      <c r="D63" s="138">
        <v>17515</v>
      </c>
      <c r="E63" s="138">
        <v>19408</v>
      </c>
      <c r="F63" s="138">
        <v>19194</v>
      </c>
      <c r="G63" s="138">
        <v>19173</v>
      </c>
      <c r="H63" s="138">
        <v>19325</v>
      </c>
      <c r="I63" s="138">
        <v>19045</v>
      </c>
      <c r="J63" s="138">
        <v>19176</v>
      </c>
    </row>
    <row r="64" spans="1:10" ht="15" x14ac:dyDescent="0.25">
      <c r="A64" s="27" t="s">
        <v>2105</v>
      </c>
      <c r="B64" s="138">
        <v>0</v>
      </c>
      <c r="C64" s="138">
        <v>15260</v>
      </c>
      <c r="D64" s="138">
        <v>15297</v>
      </c>
      <c r="E64" s="138">
        <v>17073</v>
      </c>
      <c r="F64" s="138">
        <v>17182</v>
      </c>
      <c r="G64" s="138">
        <v>17020</v>
      </c>
      <c r="H64" s="138">
        <v>16978</v>
      </c>
      <c r="I64" s="138">
        <v>16950</v>
      </c>
      <c r="J64" s="138">
        <v>17032</v>
      </c>
    </row>
    <row r="65" spans="1:10" ht="15" x14ac:dyDescent="0.25">
      <c r="A65" s="27" t="s">
        <v>2106</v>
      </c>
      <c r="B65" s="138">
        <v>8689</v>
      </c>
      <c r="C65" s="138">
        <v>9855</v>
      </c>
      <c r="D65" s="138">
        <v>9177</v>
      </c>
      <c r="E65" s="138">
        <v>19154</v>
      </c>
      <c r="F65" s="138">
        <v>18976</v>
      </c>
      <c r="G65" s="138">
        <v>19020</v>
      </c>
      <c r="H65" s="138">
        <v>19159</v>
      </c>
      <c r="I65" s="138">
        <v>18955</v>
      </c>
      <c r="J65" s="138">
        <v>19117</v>
      </c>
    </row>
    <row r="66" spans="1:10" ht="15" x14ac:dyDescent="0.25">
      <c r="A66" s="27" t="s">
        <v>2107</v>
      </c>
      <c r="B66" s="138">
        <v>16428</v>
      </c>
      <c r="C66" s="138">
        <v>17257</v>
      </c>
      <c r="D66" s="138">
        <v>17382</v>
      </c>
      <c r="E66" s="138">
        <v>19086</v>
      </c>
      <c r="F66" s="138">
        <v>18876</v>
      </c>
      <c r="G66" s="138">
        <v>18955</v>
      </c>
      <c r="H66" s="138">
        <v>19103</v>
      </c>
      <c r="I66" s="138">
        <v>18922</v>
      </c>
      <c r="J66" s="138">
        <v>19099</v>
      </c>
    </row>
  </sheetData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5"/>
  <dimension ref="A1:E21"/>
  <sheetViews>
    <sheetView workbookViewId="0">
      <selection activeCell="F60" sqref="F60"/>
    </sheetView>
  </sheetViews>
  <sheetFormatPr defaultColWidth="9.140625" defaultRowHeight="12.75" x14ac:dyDescent="0.2"/>
  <cols>
    <col min="1" max="1" width="23.5703125" style="27" bestFit="1" customWidth="1"/>
    <col min="2" max="2" width="31.5703125" style="27" bestFit="1" customWidth="1"/>
    <col min="3" max="3" width="11.140625" style="137" bestFit="1" customWidth="1"/>
    <col min="4" max="5" width="11.85546875" style="27" bestFit="1" customWidth="1"/>
    <col min="6" max="16384" width="9.140625" style="27"/>
  </cols>
  <sheetData>
    <row r="1" spans="1:5" x14ac:dyDescent="0.2">
      <c r="A1" s="27" t="s">
        <v>2117</v>
      </c>
      <c r="B1" s="27" t="s">
        <v>2122</v>
      </c>
      <c r="C1" s="137" t="s">
        <v>2143</v>
      </c>
      <c r="D1" s="27" t="s">
        <v>2144</v>
      </c>
      <c r="E1" s="27" t="s">
        <v>2145</v>
      </c>
    </row>
    <row r="2" spans="1:5" ht="15" x14ac:dyDescent="0.25">
      <c r="A2" s="27" t="s">
        <v>2118</v>
      </c>
      <c r="B2" s="27" t="s">
        <v>2123</v>
      </c>
      <c r="C2" s="138">
        <v>164743</v>
      </c>
      <c r="D2" s="138">
        <v>69.731971740722656</v>
      </c>
      <c r="E2" s="138">
        <v>0.45941939949989319</v>
      </c>
    </row>
    <row r="3" spans="1:5" ht="15" x14ac:dyDescent="0.25">
      <c r="A3" s="27" t="s">
        <v>2118</v>
      </c>
      <c r="B3" s="27" t="s">
        <v>2124</v>
      </c>
      <c r="C3" s="138">
        <v>146354</v>
      </c>
      <c r="D3" s="138">
        <v>87.67437744140625</v>
      </c>
      <c r="E3" s="138">
        <v>0.3287321925163269</v>
      </c>
    </row>
    <row r="4" spans="1:5" ht="15" x14ac:dyDescent="0.25">
      <c r="A4" s="27" t="s">
        <v>2119</v>
      </c>
      <c r="B4" s="27" t="s">
        <v>2125</v>
      </c>
      <c r="C4" s="138">
        <v>164984</v>
      </c>
      <c r="D4" s="138">
        <v>10.804549217224121</v>
      </c>
      <c r="E4" s="138">
        <v>0.31043881177902222</v>
      </c>
    </row>
    <row r="5" spans="1:5" ht="15" x14ac:dyDescent="0.25">
      <c r="A5" s="27" t="s">
        <v>2119</v>
      </c>
      <c r="B5" s="27" t="s">
        <v>2126</v>
      </c>
      <c r="C5" s="138">
        <v>164521</v>
      </c>
      <c r="D5" s="138">
        <v>27.285158157348633</v>
      </c>
      <c r="E5" s="138">
        <v>0.44542655348777771</v>
      </c>
    </row>
    <row r="6" spans="1:5" ht="15" x14ac:dyDescent="0.25">
      <c r="A6" s="27" t="s">
        <v>2119</v>
      </c>
      <c r="B6" s="27" t="s">
        <v>2127</v>
      </c>
      <c r="C6" s="138">
        <v>164719</v>
      </c>
      <c r="D6" s="138">
        <v>29.632150650024414</v>
      </c>
      <c r="E6" s="138">
        <v>0.45663589239120483</v>
      </c>
    </row>
    <row r="7" spans="1:5" ht="15" x14ac:dyDescent="0.25">
      <c r="A7" s="27" t="s">
        <v>2119</v>
      </c>
      <c r="B7" s="27" t="s">
        <v>2128</v>
      </c>
      <c r="C7" s="138">
        <v>146686</v>
      </c>
      <c r="D7" s="138">
        <v>79.216911315917969</v>
      </c>
      <c r="E7" s="138">
        <v>0.40575650334358215</v>
      </c>
    </row>
    <row r="8" spans="1:5" ht="15" x14ac:dyDescent="0.25">
      <c r="A8" s="27" t="s">
        <v>2119</v>
      </c>
      <c r="B8" s="27" t="s">
        <v>2129</v>
      </c>
      <c r="C8" s="138">
        <v>165650</v>
      </c>
      <c r="D8" s="138">
        <v>73.65087890625</v>
      </c>
      <c r="E8" s="138">
        <v>0.44052782654762268</v>
      </c>
    </row>
    <row r="9" spans="1:5" ht="15" x14ac:dyDescent="0.25">
      <c r="A9" s="27" t="s">
        <v>2119</v>
      </c>
      <c r="B9" s="27" t="s">
        <v>2130</v>
      </c>
      <c r="C9" s="138">
        <v>131980</v>
      </c>
      <c r="D9" s="138">
        <v>5.4774284362792969</v>
      </c>
      <c r="E9" s="138">
        <v>2.6373894214630127</v>
      </c>
    </row>
    <row r="10" spans="1:5" ht="15" x14ac:dyDescent="0.25">
      <c r="A10" s="27" t="s">
        <v>2119</v>
      </c>
      <c r="B10" s="27" t="s">
        <v>2131</v>
      </c>
      <c r="C10" s="138">
        <v>165108</v>
      </c>
      <c r="D10" s="138">
        <v>45.142822265625</v>
      </c>
      <c r="E10" s="138">
        <v>0.49763670563697815</v>
      </c>
    </row>
    <row r="11" spans="1:5" ht="15" x14ac:dyDescent="0.25">
      <c r="A11" s="27" t="s">
        <v>2119</v>
      </c>
      <c r="B11" s="27" t="s">
        <v>2132</v>
      </c>
      <c r="C11" s="138">
        <v>114297</v>
      </c>
      <c r="D11" s="138">
        <v>76.485176086425781</v>
      </c>
      <c r="E11" s="138">
        <v>0.42409327626228333</v>
      </c>
    </row>
    <row r="12" spans="1:5" ht="15" x14ac:dyDescent="0.25">
      <c r="A12" s="27" t="s">
        <v>2119</v>
      </c>
      <c r="B12" s="27" t="s">
        <v>2133</v>
      </c>
      <c r="C12" s="138">
        <v>165195</v>
      </c>
      <c r="D12" s="138">
        <v>51.721160888671875</v>
      </c>
      <c r="E12" s="138">
        <v>0.49970519542694092</v>
      </c>
    </row>
    <row r="13" spans="1:5" ht="15" x14ac:dyDescent="0.25">
      <c r="A13" s="27" t="s">
        <v>2120</v>
      </c>
      <c r="B13" s="27" t="s">
        <v>2134</v>
      </c>
      <c r="C13" s="138">
        <v>167091</v>
      </c>
      <c r="D13" s="138">
        <v>64.068756103515625</v>
      </c>
      <c r="E13" s="138">
        <v>0.47980037331581116</v>
      </c>
    </row>
    <row r="14" spans="1:5" ht="15" x14ac:dyDescent="0.25">
      <c r="A14" s="27" t="s">
        <v>2120</v>
      </c>
      <c r="B14" s="27" t="s">
        <v>2135</v>
      </c>
      <c r="C14" s="138">
        <v>165925</v>
      </c>
      <c r="D14" s="138">
        <v>89.953857421875</v>
      </c>
      <c r="E14" s="138">
        <v>0.30061513185501099</v>
      </c>
    </row>
    <row r="15" spans="1:5" ht="15" x14ac:dyDescent="0.25">
      <c r="A15" s="27" t="s">
        <v>2120</v>
      </c>
      <c r="B15" s="27" t="s">
        <v>2136</v>
      </c>
      <c r="C15" s="138">
        <v>132792</v>
      </c>
      <c r="D15" s="138">
        <v>16.768659591674805</v>
      </c>
      <c r="E15" s="138">
        <v>0.3735891580581665</v>
      </c>
    </row>
    <row r="16" spans="1:5" ht="15" x14ac:dyDescent="0.25">
      <c r="A16" s="27" t="s">
        <v>2120</v>
      </c>
      <c r="B16" s="27" t="s">
        <v>2137</v>
      </c>
      <c r="C16" s="138">
        <v>165925</v>
      </c>
      <c r="D16" s="138">
        <v>32.383068084716797</v>
      </c>
      <c r="E16" s="138">
        <v>0.46793767809867859</v>
      </c>
    </row>
    <row r="17" spans="1:5" ht="15" x14ac:dyDescent="0.25">
      <c r="A17" s="27" t="s">
        <v>2120</v>
      </c>
      <c r="B17" s="27" t="s">
        <v>2138</v>
      </c>
      <c r="C17" s="138">
        <v>167091</v>
      </c>
      <c r="D17" s="138">
        <v>9.9489355087280273</v>
      </c>
      <c r="E17" s="138">
        <v>0.29931932687759399</v>
      </c>
    </row>
    <row r="18" spans="1:5" ht="15" x14ac:dyDescent="0.25">
      <c r="A18" s="27" t="s">
        <v>2121</v>
      </c>
      <c r="B18" s="27" t="s">
        <v>2139</v>
      </c>
      <c r="C18" s="138">
        <v>167420</v>
      </c>
      <c r="D18" s="138">
        <v>39.488845825195313</v>
      </c>
      <c r="E18" s="138">
        <v>16.175086975097656</v>
      </c>
    </row>
    <row r="19" spans="1:5" ht="15" x14ac:dyDescent="0.25">
      <c r="A19" s="27" t="s">
        <v>2121</v>
      </c>
      <c r="B19" s="27" t="s">
        <v>2140</v>
      </c>
      <c r="C19" s="138">
        <v>165329</v>
      </c>
      <c r="D19" s="138">
        <v>70.700576782226563</v>
      </c>
      <c r="E19" s="138">
        <v>0.4551372230052948</v>
      </c>
    </row>
    <row r="20" spans="1:5" ht="15" x14ac:dyDescent="0.25">
      <c r="A20" s="27" t="s">
        <v>2121</v>
      </c>
      <c r="B20" s="27" t="s">
        <v>2141</v>
      </c>
      <c r="C20" s="138">
        <v>167436</v>
      </c>
      <c r="D20" s="138">
        <v>49.080863952636719</v>
      </c>
      <c r="E20" s="138">
        <v>0.49991700053215027</v>
      </c>
    </row>
    <row r="21" spans="1:5" ht="15" x14ac:dyDescent="0.25">
      <c r="A21" s="27" t="s">
        <v>2121</v>
      </c>
      <c r="B21" s="27" t="s">
        <v>2142</v>
      </c>
      <c r="C21" s="138">
        <v>166121</v>
      </c>
      <c r="D21" s="138">
        <v>57.301521301269531</v>
      </c>
      <c r="E21" s="138">
        <v>0.49464154243469238</v>
      </c>
    </row>
  </sheetData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4"/>
  <dimension ref="B2:G19"/>
  <sheetViews>
    <sheetView showGridLines="0" workbookViewId="0">
      <selection activeCell="I35" sqref="I35"/>
    </sheetView>
  </sheetViews>
  <sheetFormatPr defaultColWidth="9" defaultRowHeight="15" x14ac:dyDescent="0.25"/>
  <cols>
    <col min="1" max="1" width="9" style="24"/>
    <col min="2" max="2" width="12.5703125" style="24" bestFit="1" customWidth="1"/>
    <col min="3" max="3" width="60.28515625" style="24" bestFit="1" customWidth="1"/>
    <col min="4" max="4" width="8.85546875" style="24" bestFit="1" customWidth="1"/>
    <col min="5" max="6" width="5.28515625" style="24" bestFit="1" customWidth="1"/>
    <col min="7" max="7" width="25.5703125" style="24" customWidth="1"/>
    <col min="8" max="16384" width="9" style="24"/>
  </cols>
  <sheetData>
    <row r="2" spans="2:7" ht="30.75" thickBot="1" x14ac:dyDescent="0.3">
      <c r="B2" s="76" t="s">
        <v>96</v>
      </c>
      <c r="C2" s="76" t="s">
        <v>178</v>
      </c>
      <c r="D2" s="76" t="s">
        <v>177</v>
      </c>
      <c r="E2" s="77" t="s">
        <v>176</v>
      </c>
      <c r="F2" s="77" t="s">
        <v>175</v>
      </c>
      <c r="G2" s="76" t="s">
        <v>174</v>
      </c>
    </row>
    <row r="3" spans="2:7" ht="15.75" thickTop="1" x14ac:dyDescent="0.25">
      <c r="B3" s="73" t="s">
        <v>29</v>
      </c>
      <c r="C3" s="73" t="s">
        <v>173</v>
      </c>
      <c r="D3" s="73" t="s">
        <v>172</v>
      </c>
      <c r="E3" s="74">
        <v>2004</v>
      </c>
      <c r="F3" s="74">
        <v>2012</v>
      </c>
      <c r="G3" s="73" t="s">
        <v>171</v>
      </c>
    </row>
    <row r="4" spans="2:7" x14ac:dyDescent="0.25">
      <c r="B4" s="73" t="s">
        <v>30</v>
      </c>
      <c r="C4" s="73" t="s">
        <v>170</v>
      </c>
      <c r="D4" s="73" t="s">
        <v>140</v>
      </c>
      <c r="E4" s="74">
        <v>2002</v>
      </c>
      <c r="F4" s="74">
        <v>2012</v>
      </c>
      <c r="G4" s="73" t="s">
        <v>142</v>
      </c>
    </row>
    <row r="5" spans="2:7" x14ac:dyDescent="0.25">
      <c r="B5" s="73" t="s">
        <v>31</v>
      </c>
      <c r="C5" s="73" t="s">
        <v>169</v>
      </c>
      <c r="D5" s="73" t="s">
        <v>168</v>
      </c>
      <c r="E5" s="74">
        <v>2001</v>
      </c>
      <c r="F5" s="74">
        <v>2012</v>
      </c>
      <c r="G5" s="73" t="s">
        <v>142</v>
      </c>
    </row>
    <row r="6" spans="2:7" x14ac:dyDescent="0.25">
      <c r="B6" s="73" t="s">
        <v>32</v>
      </c>
      <c r="C6" s="73" t="s">
        <v>167</v>
      </c>
      <c r="D6" s="73" t="s">
        <v>166</v>
      </c>
      <c r="E6" s="74">
        <v>2000</v>
      </c>
      <c r="F6" s="74">
        <v>2011</v>
      </c>
      <c r="G6" s="73" t="s">
        <v>142</v>
      </c>
    </row>
    <row r="7" spans="2:7" x14ac:dyDescent="0.25">
      <c r="B7" s="73" t="s">
        <v>33</v>
      </c>
      <c r="C7" s="73" t="s">
        <v>165</v>
      </c>
      <c r="D7" s="73" t="s">
        <v>164</v>
      </c>
      <c r="E7" s="74"/>
      <c r="F7" s="74">
        <v>2012</v>
      </c>
      <c r="G7" s="73" t="s">
        <v>142</v>
      </c>
    </row>
    <row r="8" spans="2:7" x14ac:dyDescent="0.25">
      <c r="B8" s="73" t="s">
        <v>34</v>
      </c>
      <c r="C8" s="75" t="s">
        <v>144</v>
      </c>
      <c r="D8" s="75" t="s">
        <v>143</v>
      </c>
      <c r="E8" s="74">
        <v>2004</v>
      </c>
      <c r="F8" s="74">
        <v>2012</v>
      </c>
      <c r="G8" s="73" t="s">
        <v>142</v>
      </c>
    </row>
    <row r="9" spans="2:7" x14ac:dyDescent="0.25">
      <c r="B9" s="73" t="s">
        <v>163</v>
      </c>
      <c r="C9" s="73" t="s">
        <v>162</v>
      </c>
      <c r="D9" s="73" t="s">
        <v>161</v>
      </c>
      <c r="E9" s="74">
        <v>2000</v>
      </c>
      <c r="F9" s="74">
        <v>2012</v>
      </c>
      <c r="G9" s="73" t="s">
        <v>142</v>
      </c>
    </row>
    <row r="10" spans="2:7" x14ac:dyDescent="0.25">
      <c r="B10" s="73" t="s">
        <v>36</v>
      </c>
      <c r="C10" s="73" t="s">
        <v>160</v>
      </c>
      <c r="D10" s="73" t="s">
        <v>159</v>
      </c>
      <c r="E10" s="74">
        <v>2003</v>
      </c>
      <c r="F10" s="74">
        <v>2012</v>
      </c>
      <c r="G10" s="73" t="s">
        <v>142</v>
      </c>
    </row>
    <row r="11" spans="2:7" x14ac:dyDescent="0.25">
      <c r="B11" s="73" t="s">
        <v>44</v>
      </c>
      <c r="C11" s="73" t="s">
        <v>158</v>
      </c>
      <c r="D11" s="73" t="s">
        <v>157</v>
      </c>
      <c r="E11" s="74">
        <v>2000</v>
      </c>
      <c r="F11" s="74">
        <v>2012</v>
      </c>
      <c r="G11" s="73" t="s">
        <v>142</v>
      </c>
    </row>
    <row r="12" spans="2:7" x14ac:dyDescent="0.25">
      <c r="B12" s="73" t="s">
        <v>37</v>
      </c>
      <c r="C12" s="73" t="s">
        <v>156</v>
      </c>
      <c r="D12" s="73" t="s">
        <v>155</v>
      </c>
      <c r="E12" s="74">
        <v>2000</v>
      </c>
      <c r="F12" s="74">
        <v>2011</v>
      </c>
      <c r="G12" s="73" t="s">
        <v>142</v>
      </c>
    </row>
    <row r="13" spans="2:7" x14ac:dyDescent="0.25">
      <c r="B13" s="73" t="s">
        <v>38</v>
      </c>
      <c r="C13" s="73" t="s">
        <v>154</v>
      </c>
      <c r="D13" s="73" t="s">
        <v>153</v>
      </c>
      <c r="E13" s="74">
        <v>2001</v>
      </c>
      <c r="F13" s="74">
        <v>2011</v>
      </c>
      <c r="G13" s="73" t="s">
        <v>142</v>
      </c>
    </row>
    <row r="14" spans="2:7" x14ac:dyDescent="0.25">
      <c r="B14" s="73" t="s">
        <v>39</v>
      </c>
      <c r="C14" s="73" t="s">
        <v>152</v>
      </c>
      <c r="D14" s="73" t="s">
        <v>151</v>
      </c>
      <c r="E14" s="74">
        <v>2000</v>
      </c>
      <c r="F14" s="74">
        <v>2012</v>
      </c>
      <c r="G14" s="73" t="s">
        <v>142</v>
      </c>
    </row>
    <row r="15" spans="2:7" x14ac:dyDescent="0.25">
      <c r="B15" s="73" t="s">
        <v>40</v>
      </c>
      <c r="C15" s="73" t="s">
        <v>150</v>
      </c>
      <c r="D15" s="73" t="s">
        <v>149</v>
      </c>
      <c r="E15" s="74">
        <v>2001</v>
      </c>
      <c r="F15" s="74">
        <v>2009</v>
      </c>
      <c r="G15" s="73" t="s">
        <v>142</v>
      </c>
    </row>
    <row r="16" spans="2:7" x14ac:dyDescent="0.25">
      <c r="B16" s="73" t="s">
        <v>41</v>
      </c>
      <c r="C16" s="73" t="s">
        <v>148</v>
      </c>
      <c r="D16" s="73" t="s">
        <v>147</v>
      </c>
      <c r="E16" s="74">
        <v>2000</v>
      </c>
      <c r="F16" s="74">
        <v>2012</v>
      </c>
      <c r="G16" s="73" t="s">
        <v>142</v>
      </c>
    </row>
    <row r="17" spans="2:7" x14ac:dyDescent="0.25">
      <c r="B17" s="73" t="s">
        <v>43</v>
      </c>
      <c r="C17" s="73" t="s">
        <v>146</v>
      </c>
      <c r="D17" s="73" t="s">
        <v>145</v>
      </c>
      <c r="E17" s="74">
        <v>2001</v>
      </c>
      <c r="F17" s="74">
        <v>2011</v>
      </c>
      <c r="G17" s="73" t="s">
        <v>142</v>
      </c>
    </row>
    <row r="18" spans="2:7" x14ac:dyDescent="0.25">
      <c r="B18" s="73" t="s">
        <v>42</v>
      </c>
      <c r="C18" s="73" t="s">
        <v>144</v>
      </c>
      <c r="D18" s="73" t="s">
        <v>143</v>
      </c>
      <c r="E18" s="74">
        <v>2000</v>
      </c>
      <c r="F18" s="74">
        <v>2012</v>
      </c>
      <c r="G18" s="73" t="s">
        <v>142</v>
      </c>
    </row>
    <row r="19" spans="2:7" ht="30" x14ac:dyDescent="0.25">
      <c r="B19" s="72" t="s">
        <v>45</v>
      </c>
      <c r="C19" s="72" t="s">
        <v>141</v>
      </c>
      <c r="D19" s="72" t="s">
        <v>140</v>
      </c>
      <c r="E19" s="71">
        <v>2000</v>
      </c>
      <c r="F19" s="71">
        <v>2012</v>
      </c>
      <c r="G19" s="70" t="s">
        <v>139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25"/>
  <dimension ref="A2:AP51"/>
  <sheetViews>
    <sheetView showGridLines="0" topLeftCell="A7" workbookViewId="0">
      <selection activeCell="AK56" sqref="AK56"/>
    </sheetView>
  </sheetViews>
  <sheetFormatPr defaultColWidth="9.140625" defaultRowHeight="15" x14ac:dyDescent="0.25"/>
  <cols>
    <col min="1" max="1" width="3.42578125" style="24" customWidth="1"/>
    <col min="2" max="3" width="5" style="24" bestFit="1" customWidth="1"/>
    <col min="4" max="6" width="5" style="24" hidden="1" customWidth="1"/>
    <col min="7" max="8" width="5" style="24" bestFit="1" customWidth="1"/>
    <col min="9" max="12" width="5" style="24" hidden="1" customWidth="1"/>
    <col min="13" max="13" width="5" style="24" bestFit="1" customWidth="1"/>
    <col min="14" max="14" width="5" style="24" hidden="1" customWidth="1"/>
    <col min="15" max="16" width="5" style="24" bestFit="1" customWidth="1"/>
    <col min="17" max="17" width="5" style="24" customWidth="1"/>
    <col min="18" max="18" width="5" style="24" hidden="1" customWidth="1"/>
    <col min="19" max="19" width="5" style="24" customWidth="1"/>
    <col min="20" max="20" width="5" style="24" hidden="1" customWidth="1"/>
    <col min="21" max="21" width="5" style="24" bestFit="1" customWidth="1"/>
    <col min="22" max="23" width="9.140625" style="24"/>
    <col min="24" max="25" width="5" style="24" bestFit="1" customWidth="1"/>
    <col min="26" max="26" width="4.7109375" style="24" customWidth="1"/>
    <col min="27" max="34" width="5" style="24" bestFit="1" customWidth="1"/>
    <col min="35" max="35" width="5.5703125" style="24" customWidth="1"/>
    <col min="36" max="42" width="5" style="24" bestFit="1" customWidth="1"/>
    <col min="43" max="16384" width="9.140625" style="24"/>
  </cols>
  <sheetData>
    <row r="2" spans="2:22" ht="16.5" x14ac:dyDescent="0.3">
      <c r="C2" s="130" t="s">
        <v>186</v>
      </c>
    </row>
    <row r="4" spans="2:22" x14ac:dyDescent="0.25">
      <c r="C4" s="24">
        <v>1997</v>
      </c>
      <c r="D4" s="24">
        <v>1998</v>
      </c>
      <c r="E4" s="24">
        <v>1999</v>
      </c>
      <c r="F4" s="24">
        <v>2000</v>
      </c>
      <c r="G4" s="24">
        <v>2001</v>
      </c>
      <c r="H4" s="24">
        <v>2002</v>
      </c>
      <c r="I4" s="24">
        <v>2003</v>
      </c>
      <c r="J4" s="24">
        <v>2004</v>
      </c>
      <c r="K4" s="24">
        <v>2005</v>
      </c>
      <c r="L4" s="24">
        <v>2006</v>
      </c>
      <c r="M4" s="24">
        <v>2007</v>
      </c>
      <c r="N4" s="24">
        <v>2008</v>
      </c>
      <c r="O4" s="24">
        <v>2009</v>
      </c>
      <c r="P4" s="24">
        <v>2010</v>
      </c>
      <c r="Q4" s="24">
        <v>2011</v>
      </c>
      <c r="R4" s="24">
        <v>2012</v>
      </c>
      <c r="S4" s="24">
        <v>2013</v>
      </c>
      <c r="T4" s="24">
        <v>2014</v>
      </c>
      <c r="U4" s="24">
        <v>2015</v>
      </c>
    </row>
    <row r="5" spans="2:22" x14ac:dyDescent="0.25">
      <c r="B5" s="24" t="s">
        <v>8</v>
      </c>
      <c r="C5" s="98">
        <v>1</v>
      </c>
      <c r="D5" s="134">
        <v>0</v>
      </c>
      <c r="E5" s="134">
        <v>0</v>
      </c>
      <c r="F5" s="134">
        <v>0</v>
      </c>
      <c r="G5" s="98">
        <v>1</v>
      </c>
      <c r="H5" s="98">
        <v>1</v>
      </c>
      <c r="I5" s="134">
        <v>0</v>
      </c>
      <c r="J5" s="134">
        <v>0</v>
      </c>
      <c r="K5" s="134">
        <v>0</v>
      </c>
      <c r="L5" s="134">
        <v>0</v>
      </c>
      <c r="M5" s="98">
        <v>1</v>
      </c>
      <c r="N5" s="134">
        <v>0</v>
      </c>
      <c r="O5" s="98">
        <v>1</v>
      </c>
      <c r="P5" s="98">
        <v>1</v>
      </c>
      <c r="Q5" s="98">
        <v>1</v>
      </c>
      <c r="R5" s="134">
        <v>0</v>
      </c>
      <c r="S5" s="98">
        <v>1</v>
      </c>
      <c r="T5" s="134">
        <v>0</v>
      </c>
      <c r="U5" s="98">
        <v>1</v>
      </c>
      <c r="V5" s="131"/>
    </row>
    <row r="6" spans="2:22" x14ac:dyDescent="0.25">
      <c r="B6" s="24" t="s">
        <v>9</v>
      </c>
      <c r="C6" s="98">
        <v>1</v>
      </c>
      <c r="D6" s="134">
        <v>0</v>
      </c>
      <c r="E6" s="134">
        <v>0</v>
      </c>
      <c r="F6" s="134">
        <v>0</v>
      </c>
      <c r="G6" s="98">
        <v>1</v>
      </c>
      <c r="H6" s="98">
        <v>1</v>
      </c>
      <c r="I6" s="134">
        <v>0</v>
      </c>
      <c r="J6" s="134">
        <v>0</v>
      </c>
      <c r="K6" s="134">
        <v>0</v>
      </c>
      <c r="L6" s="134">
        <v>0</v>
      </c>
      <c r="M6" s="98">
        <v>1</v>
      </c>
      <c r="N6" s="134">
        <v>0</v>
      </c>
      <c r="O6" s="98">
        <v>1</v>
      </c>
      <c r="P6" s="98">
        <v>1</v>
      </c>
      <c r="Q6" s="98">
        <v>1</v>
      </c>
      <c r="R6" s="134">
        <v>0</v>
      </c>
      <c r="S6" s="98">
        <v>1</v>
      </c>
      <c r="T6" s="134">
        <v>0</v>
      </c>
      <c r="U6" s="98">
        <v>1</v>
      </c>
      <c r="V6" s="131"/>
    </row>
    <row r="7" spans="2:22" x14ac:dyDescent="0.25">
      <c r="B7" s="24" t="s">
        <v>10</v>
      </c>
      <c r="C7" s="98">
        <v>1</v>
      </c>
      <c r="D7" s="134">
        <v>0</v>
      </c>
      <c r="E7" s="134">
        <v>0</v>
      </c>
      <c r="F7" s="134">
        <v>0</v>
      </c>
      <c r="G7" s="98">
        <v>1</v>
      </c>
      <c r="H7" s="98">
        <v>1</v>
      </c>
      <c r="I7" s="134">
        <v>0</v>
      </c>
      <c r="J7" s="134">
        <v>0</v>
      </c>
      <c r="K7" s="134">
        <v>0</v>
      </c>
      <c r="L7" s="134">
        <v>0</v>
      </c>
      <c r="M7" s="98">
        <v>1</v>
      </c>
      <c r="N7" s="134">
        <v>0</v>
      </c>
      <c r="O7" s="98">
        <v>1</v>
      </c>
      <c r="P7" s="98">
        <v>1</v>
      </c>
      <c r="Q7" s="98">
        <v>1</v>
      </c>
      <c r="R7" s="134">
        <v>0</v>
      </c>
      <c r="S7" s="98">
        <v>1</v>
      </c>
      <c r="T7" s="134">
        <v>0</v>
      </c>
      <c r="U7" s="98">
        <v>1</v>
      </c>
      <c r="V7" s="131"/>
    </row>
    <row r="8" spans="2:22" x14ac:dyDescent="0.25">
      <c r="B8" s="24" t="s">
        <v>11</v>
      </c>
      <c r="C8" s="98">
        <v>1</v>
      </c>
      <c r="D8" s="134">
        <v>0</v>
      </c>
      <c r="E8" s="134">
        <v>0</v>
      </c>
      <c r="F8" s="134">
        <v>0</v>
      </c>
      <c r="G8" s="98">
        <v>1</v>
      </c>
      <c r="H8" s="98">
        <v>1</v>
      </c>
      <c r="I8" s="134">
        <v>0</v>
      </c>
      <c r="J8" s="134">
        <v>0</v>
      </c>
      <c r="K8" s="134">
        <v>0</v>
      </c>
      <c r="L8" s="134">
        <v>0</v>
      </c>
      <c r="M8" s="98">
        <v>1</v>
      </c>
      <c r="N8" s="134">
        <v>0</v>
      </c>
      <c r="O8" s="98">
        <v>1</v>
      </c>
      <c r="P8" s="98">
        <v>1</v>
      </c>
      <c r="Q8" s="98">
        <v>1</v>
      </c>
      <c r="R8" s="134">
        <v>0</v>
      </c>
      <c r="S8" s="98">
        <v>1</v>
      </c>
      <c r="T8" s="134">
        <v>0</v>
      </c>
      <c r="U8" s="98">
        <v>1</v>
      </c>
      <c r="V8" s="131"/>
    </row>
    <row r="9" spans="2:22" x14ac:dyDescent="0.25">
      <c r="B9" s="24" t="s">
        <v>12</v>
      </c>
      <c r="C9" s="98">
        <v>1</v>
      </c>
      <c r="D9" s="134">
        <v>0</v>
      </c>
      <c r="E9" s="134">
        <v>0</v>
      </c>
      <c r="F9" s="134">
        <v>0</v>
      </c>
      <c r="G9" s="98">
        <v>1</v>
      </c>
      <c r="H9" s="98">
        <v>1</v>
      </c>
      <c r="I9" s="134">
        <v>0</v>
      </c>
      <c r="J9" s="134">
        <v>0</v>
      </c>
      <c r="K9" s="134">
        <v>0</v>
      </c>
      <c r="L9" s="134">
        <v>0</v>
      </c>
      <c r="M9" s="98">
        <v>1</v>
      </c>
      <c r="N9" s="134">
        <v>0</v>
      </c>
      <c r="O9" s="98">
        <v>1</v>
      </c>
      <c r="P9" s="98">
        <v>1</v>
      </c>
      <c r="Q9" s="98">
        <v>1</v>
      </c>
      <c r="R9" s="134">
        <v>0</v>
      </c>
      <c r="S9" s="98">
        <v>1</v>
      </c>
      <c r="T9" s="134">
        <v>0</v>
      </c>
      <c r="U9" s="98">
        <v>1</v>
      </c>
      <c r="V9" s="131"/>
    </row>
    <row r="10" spans="2:22" x14ac:dyDescent="0.25">
      <c r="B10" s="24" t="s">
        <v>13</v>
      </c>
      <c r="C10" s="98">
        <v>1</v>
      </c>
      <c r="D10" s="134">
        <v>0</v>
      </c>
      <c r="E10" s="134">
        <v>0</v>
      </c>
      <c r="F10" s="134">
        <v>0</v>
      </c>
      <c r="G10" s="98">
        <v>1</v>
      </c>
      <c r="H10" s="98">
        <v>1</v>
      </c>
      <c r="I10" s="134">
        <v>0</v>
      </c>
      <c r="J10" s="134">
        <v>0</v>
      </c>
      <c r="K10" s="134">
        <v>0</v>
      </c>
      <c r="L10" s="134">
        <v>0</v>
      </c>
      <c r="M10" s="98">
        <v>1</v>
      </c>
      <c r="N10" s="134">
        <v>0</v>
      </c>
      <c r="O10" s="98">
        <v>1</v>
      </c>
      <c r="P10" s="98">
        <v>1</v>
      </c>
      <c r="Q10" s="98">
        <v>1</v>
      </c>
      <c r="R10" s="134">
        <v>0</v>
      </c>
      <c r="S10" s="98">
        <v>1</v>
      </c>
      <c r="T10" s="134">
        <v>0</v>
      </c>
      <c r="U10" s="98">
        <v>1</v>
      </c>
      <c r="V10" s="131"/>
    </row>
    <row r="11" spans="2:22" x14ac:dyDescent="0.25">
      <c r="B11" s="24" t="s">
        <v>14</v>
      </c>
      <c r="C11" s="134">
        <v>0</v>
      </c>
      <c r="D11" s="134">
        <v>0</v>
      </c>
      <c r="E11" s="134">
        <v>0</v>
      </c>
      <c r="F11" s="134">
        <v>0</v>
      </c>
      <c r="G11" s="134">
        <v>0</v>
      </c>
      <c r="H11" s="134">
        <v>0</v>
      </c>
      <c r="I11" s="134">
        <v>0</v>
      </c>
      <c r="J11" s="134">
        <v>0</v>
      </c>
      <c r="K11" s="134">
        <v>0</v>
      </c>
      <c r="L11" s="134">
        <v>0</v>
      </c>
      <c r="M11" s="98">
        <v>1</v>
      </c>
      <c r="N11" s="134">
        <v>0</v>
      </c>
      <c r="O11" s="98">
        <v>1</v>
      </c>
      <c r="P11" s="98">
        <v>1</v>
      </c>
      <c r="Q11" s="98">
        <v>1</v>
      </c>
      <c r="R11" s="134">
        <v>0</v>
      </c>
      <c r="S11" s="98">
        <v>1</v>
      </c>
      <c r="T11" s="134">
        <v>0</v>
      </c>
      <c r="U11" s="98">
        <v>1</v>
      </c>
      <c r="V11" s="131"/>
    </row>
    <row r="12" spans="2:22" x14ac:dyDescent="0.25">
      <c r="B12" s="24" t="s">
        <v>15</v>
      </c>
      <c r="C12" s="98">
        <v>1</v>
      </c>
      <c r="D12" s="134">
        <v>0</v>
      </c>
      <c r="E12" s="134">
        <v>0</v>
      </c>
      <c r="F12" s="134">
        <v>0</v>
      </c>
      <c r="G12" s="98">
        <v>1</v>
      </c>
      <c r="H12" s="98">
        <v>1</v>
      </c>
      <c r="I12" s="134">
        <v>0</v>
      </c>
      <c r="J12" s="134">
        <v>0</v>
      </c>
      <c r="K12" s="134">
        <v>0</v>
      </c>
      <c r="L12" s="134">
        <v>0</v>
      </c>
      <c r="M12" s="98">
        <v>1</v>
      </c>
      <c r="N12" s="134">
        <v>0</v>
      </c>
      <c r="O12" s="98">
        <v>1</v>
      </c>
      <c r="P12" s="98">
        <v>1</v>
      </c>
      <c r="Q12" s="98">
        <v>1</v>
      </c>
      <c r="R12" s="134">
        <v>0</v>
      </c>
      <c r="S12" s="98">
        <v>1</v>
      </c>
      <c r="T12" s="134">
        <v>0</v>
      </c>
      <c r="U12" s="98">
        <v>1</v>
      </c>
      <c r="V12" s="131"/>
    </row>
    <row r="13" spans="2:22" x14ac:dyDescent="0.25">
      <c r="B13" s="24" t="s">
        <v>16</v>
      </c>
      <c r="C13" s="98">
        <v>1</v>
      </c>
      <c r="D13" s="134">
        <v>0</v>
      </c>
      <c r="E13" s="134">
        <v>0</v>
      </c>
      <c r="F13" s="134">
        <v>0</v>
      </c>
      <c r="G13" s="98">
        <v>1</v>
      </c>
      <c r="H13" s="98">
        <v>1</v>
      </c>
      <c r="I13" s="134">
        <v>0</v>
      </c>
      <c r="J13" s="134">
        <v>0</v>
      </c>
      <c r="K13" s="134">
        <v>0</v>
      </c>
      <c r="L13" s="134">
        <v>0</v>
      </c>
      <c r="M13" s="98">
        <v>1</v>
      </c>
      <c r="N13" s="134">
        <v>0</v>
      </c>
      <c r="O13" s="98">
        <v>1</v>
      </c>
      <c r="P13" s="98">
        <v>1</v>
      </c>
      <c r="Q13" s="98">
        <v>1</v>
      </c>
      <c r="R13" s="134">
        <v>0</v>
      </c>
      <c r="S13" s="98">
        <v>1</v>
      </c>
      <c r="T13" s="134">
        <v>0</v>
      </c>
      <c r="U13" s="98">
        <v>1</v>
      </c>
      <c r="V13" s="131"/>
    </row>
    <row r="14" spans="2:22" x14ac:dyDescent="0.25">
      <c r="B14" s="24" t="s">
        <v>17</v>
      </c>
      <c r="C14" s="98">
        <v>1</v>
      </c>
      <c r="D14" s="134">
        <v>0</v>
      </c>
      <c r="E14" s="134">
        <v>0</v>
      </c>
      <c r="F14" s="134">
        <v>0</v>
      </c>
      <c r="G14" s="98">
        <v>1</v>
      </c>
      <c r="H14" s="98">
        <v>1</v>
      </c>
      <c r="I14" s="134">
        <v>0</v>
      </c>
      <c r="J14" s="134">
        <v>0</v>
      </c>
      <c r="K14" s="134">
        <v>0</v>
      </c>
      <c r="L14" s="134">
        <v>0</v>
      </c>
      <c r="M14" s="98">
        <v>1</v>
      </c>
      <c r="N14" s="134">
        <v>0</v>
      </c>
      <c r="O14" s="98">
        <v>1</v>
      </c>
      <c r="P14" s="98">
        <v>1</v>
      </c>
      <c r="Q14" s="98">
        <v>1</v>
      </c>
      <c r="R14" s="134">
        <v>0</v>
      </c>
      <c r="S14" s="98">
        <v>1</v>
      </c>
      <c r="T14" s="134">
        <v>0</v>
      </c>
      <c r="U14" s="98">
        <v>1</v>
      </c>
      <c r="V14" s="131"/>
    </row>
    <row r="15" spans="2:22" x14ac:dyDescent="0.25">
      <c r="B15" s="24" t="s">
        <v>18</v>
      </c>
      <c r="C15" s="98">
        <v>1</v>
      </c>
      <c r="D15" s="134">
        <v>0</v>
      </c>
      <c r="E15" s="134">
        <v>0</v>
      </c>
      <c r="F15" s="134">
        <v>0</v>
      </c>
      <c r="G15" s="98">
        <v>1</v>
      </c>
      <c r="H15" s="98">
        <v>1</v>
      </c>
      <c r="I15" s="134">
        <v>0</v>
      </c>
      <c r="J15" s="134">
        <v>0</v>
      </c>
      <c r="K15" s="134">
        <v>0</v>
      </c>
      <c r="L15" s="134">
        <v>0</v>
      </c>
      <c r="M15" s="98">
        <v>1</v>
      </c>
      <c r="N15" s="134">
        <v>0</v>
      </c>
      <c r="O15" s="98">
        <v>1</v>
      </c>
      <c r="P15" s="98">
        <v>1</v>
      </c>
      <c r="Q15" s="98">
        <v>1</v>
      </c>
      <c r="R15" s="134">
        <v>0</v>
      </c>
      <c r="S15" s="98">
        <v>1</v>
      </c>
      <c r="T15" s="134">
        <v>0</v>
      </c>
      <c r="U15" s="98">
        <v>1</v>
      </c>
      <c r="V15" s="131"/>
    </row>
    <row r="16" spans="2:22" x14ac:dyDescent="0.25">
      <c r="B16" s="24" t="s">
        <v>19</v>
      </c>
      <c r="C16" s="98">
        <v>1</v>
      </c>
      <c r="D16" s="134">
        <v>0</v>
      </c>
      <c r="E16" s="134">
        <v>0</v>
      </c>
      <c r="F16" s="134">
        <v>0</v>
      </c>
      <c r="G16" s="98">
        <v>1</v>
      </c>
      <c r="H16" s="98">
        <v>1</v>
      </c>
      <c r="I16" s="134">
        <v>0</v>
      </c>
      <c r="J16" s="134">
        <v>0</v>
      </c>
      <c r="K16" s="134">
        <v>0</v>
      </c>
      <c r="L16" s="134">
        <v>0</v>
      </c>
      <c r="M16" s="98">
        <v>1</v>
      </c>
      <c r="N16" s="134">
        <v>0</v>
      </c>
      <c r="O16" s="98">
        <v>1</v>
      </c>
      <c r="P16" s="98">
        <v>1</v>
      </c>
      <c r="Q16" s="98">
        <v>1</v>
      </c>
      <c r="R16" s="134">
        <v>0</v>
      </c>
      <c r="S16" s="98">
        <v>1</v>
      </c>
      <c r="T16" s="134">
        <v>0</v>
      </c>
      <c r="U16" s="98">
        <v>1</v>
      </c>
      <c r="V16" s="131"/>
    </row>
    <row r="17" spans="2:42" x14ac:dyDescent="0.25">
      <c r="B17" s="24" t="s">
        <v>20</v>
      </c>
      <c r="C17" s="98">
        <v>1</v>
      </c>
      <c r="D17" s="134">
        <v>0</v>
      </c>
      <c r="E17" s="134">
        <v>0</v>
      </c>
      <c r="F17" s="134">
        <v>0</v>
      </c>
      <c r="G17" s="98">
        <v>1</v>
      </c>
      <c r="H17" s="98">
        <v>1</v>
      </c>
      <c r="I17" s="134">
        <v>0</v>
      </c>
      <c r="J17" s="134">
        <v>0</v>
      </c>
      <c r="K17" s="134">
        <v>0</v>
      </c>
      <c r="L17" s="134">
        <v>0</v>
      </c>
      <c r="M17" s="98">
        <v>1</v>
      </c>
      <c r="N17" s="134">
        <v>0</v>
      </c>
      <c r="O17" s="98">
        <v>1</v>
      </c>
      <c r="P17" s="98">
        <v>1</v>
      </c>
      <c r="Q17" s="98">
        <v>1</v>
      </c>
      <c r="R17" s="134">
        <v>0</v>
      </c>
      <c r="S17" s="98">
        <v>1</v>
      </c>
      <c r="T17" s="134">
        <v>0</v>
      </c>
      <c r="U17" s="98">
        <v>1</v>
      </c>
      <c r="V17" s="131"/>
    </row>
    <row r="18" spans="2:42" x14ac:dyDescent="0.25">
      <c r="B18" s="24" t="s">
        <v>21</v>
      </c>
      <c r="C18" s="98">
        <v>1</v>
      </c>
      <c r="D18" s="134">
        <v>0</v>
      </c>
      <c r="E18" s="134">
        <v>0</v>
      </c>
      <c r="F18" s="134">
        <v>0</v>
      </c>
      <c r="G18" s="98">
        <v>1</v>
      </c>
      <c r="H18" s="98">
        <v>1</v>
      </c>
      <c r="I18" s="134">
        <v>0</v>
      </c>
      <c r="J18" s="134">
        <v>0</v>
      </c>
      <c r="K18" s="134">
        <v>0</v>
      </c>
      <c r="L18" s="134">
        <v>0</v>
      </c>
      <c r="M18" s="98">
        <v>1</v>
      </c>
      <c r="N18" s="134">
        <v>0</v>
      </c>
      <c r="O18" s="98">
        <v>1</v>
      </c>
      <c r="P18" s="98">
        <v>1</v>
      </c>
      <c r="Q18" s="98">
        <v>1</v>
      </c>
      <c r="R18" s="134">
        <v>0</v>
      </c>
      <c r="S18" s="98">
        <v>1</v>
      </c>
      <c r="T18" s="134">
        <v>0</v>
      </c>
      <c r="U18" s="98">
        <v>1</v>
      </c>
      <c r="V18" s="131"/>
    </row>
    <row r="19" spans="2:42" x14ac:dyDescent="0.25">
      <c r="B19" s="24" t="s">
        <v>22</v>
      </c>
      <c r="C19" s="98">
        <v>1</v>
      </c>
      <c r="D19" s="134">
        <v>0</v>
      </c>
      <c r="E19" s="134">
        <v>0</v>
      </c>
      <c r="F19" s="134">
        <v>0</v>
      </c>
      <c r="G19" s="98">
        <v>1</v>
      </c>
      <c r="H19" s="98">
        <v>1</v>
      </c>
      <c r="I19" s="134">
        <v>0</v>
      </c>
      <c r="J19" s="134">
        <v>0</v>
      </c>
      <c r="K19" s="134">
        <v>0</v>
      </c>
      <c r="L19" s="134">
        <v>0</v>
      </c>
      <c r="M19" s="98">
        <v>1</v>
      </c>
      <c r="N19" s="134">
        <v>0</v>
      </c>
      <c r="O19" s="98">
        <v>1</v>
      </c>
      <c r="P19" s="98">
        <v>1</v>
      </c>
      <c r="Q19" s="98">
        <v>1</v>
      </c>
      <c r="R19" s="134">
        <v>0</v>
      </c>
      <c r="S19" s="98">
        <v>1</v>
      </c>
      <c r="T19" s="134">
        <v>0</v>
      </c>
      <c r="U19" s="98">
        <v>1</v>
      </c>
      <c r="V19" s="131"/>
    </row>
    <row r="20" spans="2:42" x14ac:dyDescent="0.25">
      <c r="B20" s="24" t="s">
        <v>23</v>
      </c>
      <c r="C20" s="98">
        <v>1</v>
      </c>
      <c r="D20" s="134">
        <v>0</v>
      </c>
      <c r="E20" s="134">
        <v>0</v>
      </c>
      <c r="F20" s="134">
        <v>0</v>
      </c>
      <c r="G20" s="98">
        <v>1</v>
      </c>
      <c r="H20" s="98">
        <v>1</v>
      </c>
      <c r="I20" s="134">
        <v>0</v>
      </c>
      <c r="J20" s="134">
        <v>0</v>
      </c>
      <c r="K20" s="134">
        <v>0</v>
      </c>
      <c r="L20" s="134">
        <v>0</v>
      </c>
      <c r="M20" s="98">
        <v>1</v>
      </c>
      <c r="N20" s="134">
        <v>0</v>
      </c>
      <c r="O20" s="98">
        <v>1</v>
      </c>
      <c r="P20" s="98">
        <v>1</v>
      </c>
      <c r="Q20" s="98">
        <v>1</v>
      </c>
      <c r="R20" s="134">
        <v>0</v>
      </c>
      <c r="S20" s="98">
        <v>1</v>
      </c>
      <c r="T20" s="134">
        <v>0</v>
      </c>
      <c r="U20" s="98">
        <v>1</v>
      </c>
      <c r="V20" s="131"/>
    </row>
    <row r="21" spans="2:42" x14ac:dyDescent="0.25">
      <c r="B21" s="24" t="s">
        <v>24</v>
      </c>
      <c r="C21" s="98">
        <v>1</v>
      </c>
      <c r="D21" s="134">
        <v>0</v>
      </c>
      <c r="E21" s="134">
        <v>0</v>
      </c>
      <c r="F21" s="134">
        <v>0</v>
      </c>
      <c r="G21" s="98">
        <v>1</v>
      </c>
      <c r="H21" s="98">
        <v>1</v>
      </c>
      <c r="I21" s="134">
        <v>0</v>
      </c>
      <c r="J21" s="134">
        <v>0</v>
      </c>
      <c r="K21" s="134">
        <v>0</v>
      </c>
      <c r="L21" s="134">
        <v>0</v>
      </c>
      <c r="M21" s="98">
        <v>1</v>
      </c>
      <c r="N21" s="134">
        <v>0</v>
      </c>
      <c r="O21" s="98">
        <v>1</v>
      </c>
      <c r="P21" s="98">
        <v>1</v>
      </c>
      <c r="Q21" s="98">
        <v>1</v>
      </c>
      <c r="R21" s="134">
        <v>0</v>
      </c>
      <c r="S21" s="98">
        <v>1</v>
      </c>
      <c r="T21" s="134">
        <v>0</v>
      </c>
      <c r="U21" s="98">
        <v>1</v>
      </c>
      <c r="V21" s="131"/>
    </row>
    <row r="22" spans="2:42" x14ac:dyDescent="0.25">
      <c r="B22" s="24" t="s">
        <v>25</v>
      </c>
      <c r="C22" s="98">
        <v>1</v>
      </c>
      <c r="D22" s="134">
        <v>0</v>
      </c>
      <c r="E22" s="134">
        <v>0</v>
      </c>
      <c r="F22" s="134">
        <v>0</v>
      </c>
      <c r="G22" s="98">
        <v>1</v>
      </c>
      <c r="H22" s="98">
        <v>1</v>
      </c>
      <c r="I22" s="134">
        <v>0</v>
      </c>
      <c r="J22" s="134">
        <v>0</v>
      </c>
      <c r="K22" s="134">
        <v>0</v>
      </c>
      <c r="L22" s="134">
        <v>0</v>
      </c>
      <c r="M22" s="98">
        <v>1</v>
      </c>
      <c r="N22" s="134">
        <v>0</v>
      </c>
      <c r="O22" s="98">
        <v>1</v>
      </c>
      <c r="P22" s="98">
        <v>1</v>
      </c>
      <c r="Q22" s="98">
        <v>1</v>
      </c>
      <c r="R22" s="134">
        <v>0</v>
      </c>
      <c r="S22" s="98">
        <v>1</v>
      </c>
      <c r="T22" s="134">
        <v>0</v>
      </c>
      <c r="U22" s="98">
        <v>1</v>
      </c>
      <c r="V22" s="131"/>
    </row>
    <row r="24" spans="2:42" x14ac:dyDescent="0.25">
      <c r="C24" s="131"/>
      <c r="D24" s="131"/>
      <c r="E24" s="133"/>
      <c r="F24" s="85" t="s">
        <v>181</v>
      </c>
      <c r="G24" s="131"/>
      <c r="H24" s="131"/>
      <c r="I24" s="131"/>
      <c r="M24" s="131"/>
      <c r="N24" s="132"/>
      <c r="O24" s="85"/>
      <c r="P24" s="131"/>
      <c r="Q24" s="131"/>
      <c r="R24" s="131"/>
      <c r="S24" s="131"/>
      <c r="T24" s="131"/>
      <c r="U24" s="131"/>
      <c r="V24" s="131"/>
    </row>
    <row r="27" spans="2:42" ht="16.5" x14ac:dyDescent="0.3">
      <c r="C27" s="130" t="s">
        <v>185</v>
      </c>
    </row>
    <row r="28" spans="2:42" ht="15.75" thickBot="1" x14ac:dyDescent="0.3"/>
    <row r="29" spans="2:42" x14ac:dyDescent="0.25">
      <c r="C29" s="24">
        <v>1997</v>
      </c>
      <c r="D29" s="129">
        <v>1998</v>
      </c>
      <c r="E29" s="128">
        <v>1999</v>
      </c>
      <c r="F29" s="127">
        <v>2000</v>
      </c>
      <c r="G29" s="24">
        <v>2001</v>
      </c>
      <c r="H29" s="24">
        <v>2002</v>
      </c>
      <c r="I29" s="129">
        <v>2003</v>
      </c>
      <c r="J29" s="128">
        <v>2004</v>
      </c>
      <c r="K29" s="128">
        <v>2005</v>
      </c>
      <c r="L29" s="127">
        <v>2006</v>
      </c>
      <c r="M29" s="24">
        <v>2007</v>
      </c>
      <c r="N29" s="126">
        <v>2008</v>
      </c>
      <c r="O29" s="24">
        <v>2009</v>
      </c>
      <c r="P29" s="24">
        <v>2010</v>
      </c>
      <c r="Q29" s="24">
        <v>2011</v>
      </c>
      <c r="R29" s="24">
        <v>2012</v>
      </c>
      <c r="S29" s="24">
        <v>2013</v>
      </c>
      <c r="T29" s="24">
        <v>2014</v>
      </c>
      <c r="Y29" s="24">
        <v>1997</v>
      </c>
      <c r="Z29" s="129">
        <v>1998</v>
      </c>
      <c r="AA29" s="128">
        <v>1999</v>
      </c>
      <c r="AB29" s="127">
        <v>2000</v>
      </c>
      <c r="AC29" s="24">
        <v>2001</v>
      </c>
      <c r="AD29" s="24">
        <v>2002</v>
      </c>
      <c r="AE29" s="129">
        <v>2003</v>
      </c>
      <c r="AF29" s="128">
        <v>2004</v>
      </c>
      <c r="AG29" s="128">
        <v>2005</v>
      </c>
      <c r="AH29" s="127">
        <v>2006</v>
      </c>
      <c r="AI29" s="24">
        <v>2007</v>
      </c>
      <c r="AJ29" s="126">
        <v>2008</v>
      </c>
      <c r="AK29" s="24">
        <v>2009</v>
      </c>
      <c r="AL29" s="24">
        <v>2010</v>
      </c>
      <c r="AM29" s="24">
        <v>2011</v>
      </c>
      <c r="AN29" s="126">
        <v>2012</v>
      </c>
      <c r="AO29" s="24">
        <v>2013</v>
      </c>
      <c r="AP29" s="126">
        <v>2014</v>
      </c>
    </row>
    <row r="30" spans="2:42" x14ac:dyDescent="0.25">
      <c r="B30" s="24" t="s">
        <v>8</v>
      </c>
      <c r="C30" s="86"/>
      <c r="D30" s="86"/>
      <c r="E30" s="86"/>
      <c r="F30" s="86"/>
      <c r="G30" s="86"/>
      <c r="H30" s="86"/>
      <c r="I30" s="86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1"/>
      <c r="X30" s="24" t="s">
        <v>8</v>
      </c>
      <c r="Y30" s="110"/>
      <c r="Z30" s="109"/>
      <c r="AA30" s="86"/>
      <c r="AB30" s="112"/>
      <c r="AC30" s="111"/>
      <c r="AD30" s="110"/>
      <c r="AE30" s="109"/>
      <c r="AF30" s="98"/>
      <c r="AG30" s="98"/>
      <c r="AH30" s="100"/>
      <c r="AI30" s="92"/>
      <c r="AJ30" s="99"/>
      <c r="AK30" s="91"/>
      <c r="AL30" s="90"/>
      <c r="AM30" s="90"/>
      <c r="AN30" s="99"/>
      <c r="AO30" s="90"/>
      <c r="AP30" s="99"/>
    </row>
    <row r="31" spans="2:42" x14ac:dyDescent="0.25">
      <c r="B31" s="24" t="s">
        <v>9</v>
      </c>
      <c r="C31" s="82"/>
      <c r="D31" s="102"/>
      <c r="E31" s="82"/>
      <c r="F31" s="98"/>
      <c r="G31" s="98"/>
      <c r="H31" s="98"/>
      <c r="I31" s="102"/>
      <c r="J31" s="102"/>
      <c r="K31" s="98"/>
      <c r="L31" s="98"/>
      <c r="M31" s="98"/>
      <c r="N31" s="98"/>
      <c r="O31" s="98"/>
      <c r="P31" s="102"/>
      <c r="Q31" s="98"/>
      <c r="R31" s="98"/>
      <c r="S31" s="98"/>
      <c r="T31" s="91"/>
      <c r="X31" s="24" t="s">
        <v>9</v>
      </c>
      <c r="Y31" s="125"/>
      <c r="Z31" s="107"/>
      <c r="AA31" s="82"/>
      <c r="AB31" s="100"/>
      <c r="AC31" s="91"/>
      <c r="AD31" s="90"/>
      <c r="AE31" s="107"/>
      <c r="AF31" s="102"/>
      <c r="AG31" s="98"/>
      <c r="AH31" s="100"/>
      <c r="AI31" s="92"/>
      <c r="AJ31" s="99"/>
      <c r="AK31" s="91"/>
      <c r="AL31" s="114"/>
      <c r="AM31" s="90"/>
      <c r="AN31" s="99"/>
      <c r="AO31" s="90"/>
      <c r="AP31" s="99"/>
    </row>
    <row r="32" spans="2:42" x14ac:dyDescent="0.25">
      <c r="B32" s="24" t="s">
        <v>10</v>
      </c>
      <c r="C32" s="106"/>
      <c r="D32" s="106"/>
      <c r="E32" s="106"/>
      <c r="F32" s="102"/>
      <c r="G32" s="98"/>
      <c r="H32" s="98"/>
      <c r="I32" s="98"/>
      <c r="J32" s="98"/>
      <c r="K32" s="98"/>
      <c r="L32" s="98"/>
      <c r="M32" s="98"/>
      <c r="N32" s="98"/>
      <c r="O32" s="98"/>
      <c r="P32" s="102"/>
      <c r="Q32" s="98"/>
      <c r="R32" s="98"/>
      <c r="S32" s="98"/>
      <c r="T32" s="91"/>
      <c r="X32" s="24" t="s">
        <v>10</v>
      </c>
      <c r="Y32" s="108"/>
      <c r="Z32" s="120"/>
      <c r="AA32" s="106"/>
      <c r="AB32" s="105"/>
      <c r="AC32" s="91"/>
      <c r="AD32" s="90"/>
      <c r="AE32" s="101"/>
      <c r="AF32" s="98"/>
      <c r="AG32" s="98"/>
      <c r="AH32" s="100"/>
      <c r="AI32" s="92"/>
      <c r="AJ32" s="99"/>
      <c r="AK32" s="91"/>
      <c r="AL32" s="114"/>
      <c r="AM32" s="90"/>
      <c r="AN32" s="99"/>
      <c r="AO32" s="90"/>
      <c r="AP32" s="99"/>
    </row>
    <row r="33" spans="2:42" ht="15.75" x14ac:dyDescent="0.25">
      <c r="B33" s="24" t="s">
        <v>11</v>
      </c>
      <c r="C33" s="118"/>
      <c r="D33" s="98"/>
      <c r="E33" s="102"/>
      <c r="F33" s="98"/>
      <c r="G33" s="97"/>
      <c r="H33" s="97"/>
      <c r="I33" s="98"/>
      <c r="J33" s="102"/>
      <c r="K33" s="102"/>
      <c r="L33" s="98"/>
      <c r="M33" s="97"/>
      <c r="N33" s="102"/>
      <c r="O33" s="98"/>
      <c r="P33" s="102"/>
      <c r="Q33" s="98"/>
      <c r="R33" s="102"/>
      <c r="S33" s="98"/>
      <c r="T33" s="96"/>
      <c r="X33" s="24" t="s">
        <v>11</v>
      </c>
      <c r="Y33" s="79"/>
      <c r="Z33" s="101"/>
      <c r="AA33" s="102"/>
      <c r="AB33" s="100"/>
      <c r="AC33" s="79"/>
      <c r="AD33" s="79"/>
      <c r="AE33" s="101"/>
      <c r="AF33" s="102"/>
      <c r="AG33" s="102"/>
      <c r="AH33" s="100"/>
      <c r="AI33" s="79"/>
      <c r="AJ33" s="115"/>
      <c r="AK33" s="91"/>
      <c r="AL33" s="114"/>
      <c r="AM33" s="90"/>
      <c r="AN33" s="115"/>
      <c r="AO33" s="90"/>
      <c r="AP33" s="115"/>
    </row>
    <row r="34" spans="2:42" x14ac:dyDescent="0.25">
      <c r="B34" s="24" t="s">
        <v>12</v>
      </c>
      <c r="C34" s="102"/>
      <c r="D34" s="102"/>
      <c r="E34" s="86"/>
      <c r="F34" s="86"/>
      <c r="G34" s="98"/>
      <c r="H34" s="98"/>
      <c r="I34" s="98"/>
      <c r="J34" s="98"/>
      <c r="K34" s="98"/>
      <c r="L34" s="86"/>
      <c r="M34" s="124"/>
      <c r="N34" s="98"/>
      <c r="O34" s="98"/>
      <c r="P34" s="98"/>
      <c r="Q34" s="98"/>
      <c r="R34" s="98"/>
      <c r="S34" s="98"/>
      <c r="T34" s="91"/>
      <c r="X34" s="24" t="s">
        <v>12</v>
      </c>
      <c r="Y34" s="114"/>
      <c r="Z34" s="107"/>
      <c r="AA34" s="86"/>
      <c r="AB34" s="112"/>
      <c r="AC34" s="91"/>
      <c r="AD34" s="90"/>
      <c r="AE34" s="101"/>
      <c r="AF34" s="98"/>
      <c r="AG34" s="98"/>
      <c r="AH34" s="112"/>
      <c r="AI34" s="123"/>
      <c r="AJ34" s="99"/>
      <c r="AK34" s="91"/>
      <c r="AL34" s="90"/>
      <c r="AM34" s="90"/>
      <c r="AN34" s="99"/>
      <c r="AO34" s="90"/>
      <c r="AP34" s="99"/>
    </row>
    <row r="35" spans="2:42" x14ac:dyDescent="0.25">
      <c r="B35" s="24" t="s">
        <v>13</v>
      </c>
      <c r="C35" s="86"/>
      <c r="D35" s="86"/>
      <c r="E35" s="86"/>
      <c r="F35" s="86"/>
      <c r="G35" s="86"/>
      <c r="H35" s="86"/>
      <c r="I35" s="86"/>
      <c r="J35" s="86"/>
      <c r="K35" s="86"/>
      <c r="L35" s="86"/>
      <c r="M35" s="86"/>
      <c r="N35" s="86"/>
      <c r="O35" s="86"/>
      <c r="P35" s="98"/>
      <c r="Q35" s="98"/>
      <c r="R35" s="98"/>
      <c r="S35" s="98"/>
      <c r="T35" s="91"/>
      <c r="X35" s="24" t="s">
        <v>13</v>
      </c>
      <c r="Y35" s="110"/>
      <c r="Z35" s="109"/>
      <c r="AA35" s="86"/>
      <c r="AB35" s="112"/>
      <c r="AC35" s="111"/>
      <c r="AD35" s="110"/>
      <c r="AE35" s="109"/>
      <c r="AF35" s="86"/>
      <c r="AG35" s="86"/>
      <c r="AH35" s="112"/>
      <c r="AI35" s="113"/>
      <c r="AJ35" s="122"/>
      <c r="AK35" s="111"/>
      <c r="AL35" s="90"/>
      <c r="AM35" s="90"/>
      <c r="AN35" s="99"/>
      <c r="AO35" s="90"/>
      <c r="AP35" s="99"/>
    </row>
    <row r="36" spans="2:42" x14ac:dyDescent="0.25">
      <c r="B36" s="24" t="s">
        <v>14</v>
      </c>
      <c r="C36" s="86"/>
      <c r="D36" s="102"/>
      <c r="E36" s="102"/>
      <c r="F36" s="106"/>
      <c r="G36" s="98"/>
      <c r="H36" s="98"/>
      <c r="I36" s="98"/>
      <c r="J36" s="98"/>
      <c r="K36" s="98"/>
      <c r="L36" s="98"/>
      <c r="M36" s="98"/>
      <c r="N36" s="98"/>
      <c r="O36" s="98"/>
      <c r="P36" s="98"/>
      <c r="Q36" s="98"/>
      <c r="R36" s="98"/>
      <c r="S36" s="98"/>
      <c r="T36" s="91"/>
      <c r="X36" s="24" t="s">
        <v>14</v>
      </c>
      <c r="Y36" s="110"/>
      <c r="Z36" s="107"/>
      <c r="AA36" s="102"/>
      <c r="AB36" s="121"/>
      <c r="AC36" s="91"/>
      <c r="AD36" s="90"/>
      <c r="AE36" s="101"/>
      <c r="AF36" s="98"/>
      <c r="AG36" s="98"/>
      <c r="AH36" s="100"/>
      <c r="AI36" s="92"/>
      <c r="AJ36" s="99"/>
      <c r="AK36" s="91"/>
      <c r="AL36" s="90"/>
      <c r="AM36" s="90"/>
      <c r="AN36" s="99"/>
      <c r="AO36" s="90"/>
      <c r="AP36" s="99"/>
    </row>
    <row r="37" spans="2:42" ht="15.75" x14ac:dyDescent="0.25">
      <c r="B37" s="24" t="s">
        <v>15</v>
      </c>
      <c r="C37" s="102"/>
      <c r="D37" s="86"/>
      <c r="E37" s="86"/>
      <c r="F37" s="86"/>
      <c r="G37" s="102"/>
      <c r="H37" s="97"/>
      <c r="I37" s="98"/>
      <c r="J37" s="98"/>
      <c r="K37" s="98"/>
      <c r="L37" s="98"/>
      <c r="M37" s="98"/>
      <c r="N37" s="98"/>
      <c r="O37" s="98"/>
      <c r="P37" s="98"/>
      <c r="Q37" s="98"/>
      <c r="R37" s="98"/>
      <c r="S37" s="98"/>
      <c r="T37" s="91"/>
      <c r="X37" s="24" t="s">
        <v>15</v>
      </c>
      <c r="Y37" s="114"/>
      <c r="Z37" s="109"/>
      <c r="AA37" s="86"/>
      <c r="AB37" s="112"/>
      <c r="AC37" s="96"/>
      <c r="AD37" s="79"/>
      <c r="AE37" s="101"/>
      <c r="AF37" s="98"/>
      <c r="AG37" s="98"/>
      <c r="AH37" s="100"/>
      <c r="AI37" s="92"/>
      <c r="AJ37" s="99"/>
      <c r="AK37" s="91"/>
      <c r="AL37" s="90"/>
      <c r="AM37" s="90"/>
      <c r="AN37" s="99"/>
      <c r="AO37" s="90"/>
      <c r="AP37" s="99"/>
    </row>
    <row r="38" spans="2:42" x14ac:dyDescent="0.25">
      <c r="B38" s="24" t="s">
        <v>16</v>
      </c>
      <c r="C38" s="102"/>
      <c r="D38" s="102"/>
      <c r="E38" s="102"/>
      <c r="F38" s="98"/>
      <c r="G38" s="97"/>
      <c r="H38" s="86"/>
      <c r="I38" s="86"/>
      <c r="J38" s="86"/>
      <c r="K38" s="102"/>
      <c r="L38" s="98"/>
      <c r="M38" s="97"/>
      <c r="N38" s="102"/>
      <c r="O38" s="102"/>
      <c r="P38" s="102"/>
      <c r="Q38" s="98"/>
      <c r="R38" s="102"/>
      <c r="S38" s="102"/>
      <c r="T38" s="91"/>
      <c r="X38" s="24" t="s">
        <v>16</v>
      </c>
      <c r="Y38" s="114"/>
      <c r="Z38" s="107"/>
      <c r="AA38" s="102"/>
      <c r="AB38" s="100"/>
      <c r="AC38" s="119"/>
      <c r="AD38" s="110"/>
      <c r="AE38" s="109"/>
      <c r="AF38" s="86"/>
      <c r="AG38" s="102"/>
      <c r="AH38" s="100"/>
      <c r="AI38" s="116"/>
      <c r="AJ38" s="115"/>
      <c r="AK38" s="96"/>
      <c r="AL38" s="114"/>
      <c r="AM38" s="90"/>
      <c r="AN38" s="115" t="s">
        <v>184</v>
      </c>
      <c r="AO38" s="114"/>
      <c r="AP38" s="99"/>
    </row>
    <row r="39" spans="2:42" x14ac:dyDescent="0.25">
      <c r="B39" s="24" t="s">
        <v>17</v>
      </c>
      <c r="C39" s="98"/>
      <c r="D39" s="98"/>
      <c r="E39" s="98"/>
      <c r="F39" s="102"/>
      <c r="G39" s="98"/>
      <c r="H39" s="98"/>
      <c r="I39" s="98"/>
      <c r="J39" s="98"/>
      <c r="K39" s="98"/>
      <c r="L39" s="98"/>
      <c r="M39" s="98"/>
      <c r="N39" s="98"/>
      <c r="O39" s="98"/>
      <c r="P39" s="98"/>
      <c r="Q39" s="98"/>
      <c r="R39" s="98"/>
      <c r="S39" s="98"/>
      <c r="T39" s="91"/>
      <c r="X39" s="24" t="s">
        <v>17</v>
      </c>
      <c r="Y39" s="90"/>
      <c r="Z39" s="101"/>
      <c r="AA39" s="98"/>
      <c r="AB39" s="105"/>
      <c r="AC39" s="91"/>
      <c r="AD39" s="90"/>
      <c r="AE39" s="101"/>
      <c r="AF39" s="98"/>
      <c r="AG39" s="98"/>
      <c r="AH39" s="100"/>
      <c r="AI39" s="92"/>
      <c r="AJ39" s="99"/>
      <c r="AK39" s="91"/>
      <c r="AL39" s="90"/>
      <c r="AM39" s="90"/>
      <c r="AN39" s="99"/>
      <c r="AO39" s="90"/>
      <c r="AP39" s="99"/>
    </row>
    <row r="40" spans="2:42" x14ac:dyDescent="0.25">
      <c r="B40" s="24" t="s">
        <v>18</v>
      </c>
      <c r="C40" s="118"/>
      <c r="D40" s="106"/>
      <c r="E40" s="102"/>
      <c r="F40" s="98"/>
      <c r="G40" s="97"/>
      <c r="H40" s="98"/>
      <c r="I40" s="102"/>
      <c r="J40" s="98"/>
      <c r="K40" s="98"/>
      <c r="L40" s="98"/>
      <c r="M40" s="97"/>
      <c r="N40" s="98"/>
      <c r="O40" s="97"/>
      <c r="P40" s="98"/>
      <c r="Q40" s="97"/>
      <c r="R40" s="98"/>
      <c r="S40" s="102"/>
      <c r="T40" s="91"/>
      <c r="X40" s="24" t="s">
        <v>18</v>
      </c>
      <c r="Y40" s="103"/>
      <c r="Z40" s="120"/>
      <c r="AA40" s="102"/>
      <c r="AB40" s="100"/>
      <c r="AC40" s="119"/>
      <c r="AD40" s="90"/>
      <c r="AE40" s="107"/>
      <c r="AF40" s="98"/>
      <c r="AG40" s="98"/>
      <c r="AH40" s="100"/>
      <c r="AI40" s="116"/>
      <c r="AJ40" s="99"/>
      <c r="AK40" s="119"/>
      <c r="AL40" s="90"/>
      <c r="AM40" s="88"/>
      <c r="AN40" s="99"/>
      <c r="AO40" s="114"/>
      <c r="AP40" s="99"/>
    </row>
    <row r="41" spans="2:42" x14ac:dyDescent="0.25">
      <c r="B41" s="24" t="s">
        <v>19</v>
      </c>
      <c r="C41" s="118"/>
      <c r="D41" s="82"/>
      <c r="E41" s="102"/>
      <c r="F41" s="102"/>
      <c r="G41" s="82"/>
      <c r="H41" s="97"/>
      <c r="I41" s="102"/>
      <c r="J41" s="102"/>
      <c r="K41" s="98"/>
      <c r="L41" s="102"/>
      <c r="M41" s="97"/>
      <c r="N41" s="102"/>
      <c r="O41" s="98"/>
      <c r="P41" s="102"/>
      <c r="Q41" s="102"/>
      <c r="R41" s="102"/>
      <c r="S41" s="102"/>
      <c r="T41" s="91"/>
      <c r="X41" s="24" t="s">
        <v>19</v>
      </c>
      <c r="Y41" s="103"/>
      <c r="Z41" s="117"/>
      <c r="AA41" s="102"/>
      <c r="AB41" s="105"/>
      <c r="AC41" s="82"/>
      <c r="AD41" s="114"/>
      <c r="AE41" s="107"/>
      <c r="AF41" s="102"/>
      <c r="AG41" s="98"/>
      <c r="AH41" s="105"/>
      <c r="AI41" s="116"/>
      <c r="AJ41" s="115"/>
      <c r="AK41" s="91"/>
      <c r="AL41" s="114"/>
      <c r="AM41" s="114"/>
      <c r="AN41" s="115"/>
      <c r="AO41" s="114"/>
      <c r="AP41" s="99"/>
    </row>
    <row r="42" spans="2:42" x14ac:dyDescent="0.25">
      <c r="B42" s="24" t="s">
        <v>20</v>
      </c>
      <c r="C42" s="86"/>
      <c r="D42" s="86"/>
      <c r="E42" s="86"/>
      <c r="F42" s="86"/>
      <c r="G42" s="86"/>
      <c r="H42" s="86"/>
      <c r="I42" s="86"/>
      <c r="J42" s="86"/>
      <c r="K42" s="86"/>
      <c r="L42" s="86"/>
      <c r="M42" s="86"/>
      <c r="N42" s="98"/>
      <c r="O42" s="98"/>
      <c r="P42" s="98"/>
      <c r="Q42" s="98"/>
      <c r="R42" s="98"/>
      <c r="S42" s="98"/>
      <c r="T42" s="91"/>
      <c r="X42" s="24" t="s">
        <v>20</v>
      </c>
      <c r="Y42" s="110"/>
      <c r="Z42" s="109"/>
      <c r="AA42" s="86"/>
      <c r="AB42" s="112"/>
      <c r="AC42" s="111"/>
      <c r="AD42" s="110"/>
      <c r="AE42" s="109"/>
      <c r="AF42" s="86"/>
      <c r="AG42" s="86"/>
      <c r="AH42" s="112"/>
      <c r="AI42" s="113"/>
      <c r="AJ42" s="99"/>
      <c r="AK42" s="91"/>
      <c r="AL42" s="90"/>
      <c r="AM42" s="90"/>
      <c r="AN42" s="99"/>
      <c r="AO42" s="90"/>
      <c r="AP42" s="99"/>
    </row>
    <row r="43" spans="2:42" x14ac:dyDescent="0.25">
      <c r="B43" s="24" t="s">
        <v>21</v>
      </c>
      <c r="C43" s="86"/>
      <c r="D43" s="86"/>
      <c r="E43" s="86"/>
      <c r="F43" s="86"/>
      <c r="G43" s="86"/>
      <c r="H43" s="86"/>
      <c r="I43" s="86"/>
      <c r="J43" s="98"/>
      <c r="K43" s="98"/>
      <c r="L43" s="98"/>
      <c r="M43" s="98"/>
      <c r="N43" s="98"/>
      <c r="O43" s="98"/>
      <c r="P43" s="98"/>
      <c r="Q43" s="98"/>
      <c r="R43" s="98"/>
      <c r="S43" s="98"/>
      <c r="T43" s="91"/>
      <c r="X43" s="24" t="s">
        <v>21</v>
      </c>
      <c r="Y43" s="110"/>
      <c r="Z43" s="109"/>
      <c r="AA43" s="86"/>
      <c r="AB43" s="112"/>
      <c r="AC43" s="111"/>
      <c r="AD43" s="110"/>
      <c r="AE43" s="109"/>
      <c r="AF43" s="98"/>
      <c r="AG43" s="98"/>
      <c r="AH43" s="100"/>
      <c r="AI43" s="92"/>
      <c r="AJ43" s="99"/>
      <c r="AK43" s="91"/>
      <c r="AL43" s="90"/>
      <c r="AM43" s="90"/>
      <c r="AN43" s="99"/>
      <c r="AO43" s="90"/>
      <c r="AP43" s="99"/>
    </row>
    <row r="44" spans="2:42" x14ac:dyDescent="0.25">
      <c r="B44" s="24" t="s">
        <v>22</v>
      </c>
      <c r="C44" s="106"/>
      <c r="D44" s="102"/>
      <c r="E44" s="106"/>
      <c r="F44" s="102"/>
      <c r="G44" s="98"/>
      <c r="H44" s="98"/>
      <c r="I44" s="98"/>
      <c r="J44" s="98"/>
      <c r="K44" s="98"/>
      <c r="L44" s="98"/>
      <c r="M44" s="98"/>
      <c r="N44" s="98"/>
      <c r="O44" s="98"/>
      <c r="P44" s="98"/>
      <c r="Q44" s="98"/>
      <c r="R44" s="98"/>
      <c r="S44" s="98"/>
      <c r="T44" s="91"/>
      <c r="X44" s="24" t="s">
        <v>22</v>
      </c>
      <c r="Y44" s="108"/>
      <c r="Z44" s="107"/>
      <c r="AA44" s="106"/>
      <c r="AB44" s="105"/>
      <c r="AC44" s="91"/>
      <c r="AD44" s="90"/>
      <c r="AE44" s="101"/>
      <c r="AF44" s="98"/>
      <c r="AG44" s="98"/>
      <c r="AH44" s="100"/>
      <c r="AI44" s="92"/>
      <c r="AJ44" s="99"/>
      <c r="AK44" s="91"/>
      <c r="AL44" s="90"/>
      <c r="AM44" s="90"/>
      <c r="AN44" s="99"/>
      <c r="AO44" s="90"/>
      <c r="AP44" s="99"/>
    </row>
    <row r="45" spans="2:42" x14ac:dyDescent="0.25">
      <c r="B45" s="24" t="s">
        <v>23</v>
      </c>
      <c r="C45" s="104"/>
      <c r="D45" s="98"/>
      <c r="E45" s="98"/>
      <c r="F45" s="98"/>
      <c r="G45" s="98"/>
      <c r="H45" s="98"/>
      <c r="I45" s="98"/>
      <c r="J45" s="98"/>
      <c r="K45" s="98"/>
      <c r="L45" s="98"/>
      <c r="M45" s="98"/>
      <c r="N45" s="98"/>
      <c r="O45" s="98"/>
      <c r="P45" s="98"/>
      <c r="Q45" s="98"/>
      <c r="R45" s="98"/>
      <c r="S45" s="98"/>
      <c r="T45" s="91"/>
      <c r="X45" s="24" t="s">
        <v>23</v>
      </c>
      <c r="Y45" s="103"/>
      <c r="Z45" s="101"/>
      <c r="AA45" s="98"/>
      <c r="AB45" s="100"/>
      <c r="AC45" s="91"/>
      <c r="AD45" s="90"/>
      <c r="AE45" s="101"/>
      <c r="AF45" s="98"/>
      <c r="AG45" s="98"/>
      <c r="AH45" s="100"/>
      <c r="AI45" s="92"/>
      <c r="AJ45" s="99"/>
      <c r="AK45" s="91"/>
      <c r="AL45" s="90"/>
      <c r="AM45" s="90"/>
      <c r="AN45" s="99"/>
      <c r="AO45" s="90"/>
      <c r="AP45" s="99"/>
    </row>
    <row r="46" spans="2:42" x14ac:dyDescent="0.25">
      <c r="B46" s="24" t="s">
        <v>24</v>
      </c>
      <c r="C46" s="98"/>
      <c r="D46" s="98"/>
      <c r="E46" s="102"/>
      <c r="F46" s="98"/>
      <c r="G46" s="98"/>
      <c r="H46" s="98"/>
      <c r="I46" s="98"/>
      <c r="J46" s="98"/>
      <c r="K46" s="98"/>
      <c r="L46" s="98"/>
      <c r="M46" s="98"/>
      <c r="N46" s="98"/>
      <c r="O46" s="98"/>
      <c r="P46" s="98"/>
      <c r="Q46" s="98"/>
      <c r="R46" s="98"/>
      <c r="S46" s="98"/>
      <c r="T46" s="91"/>
      <c r="X46" s="24" t="s">
        <v>24</v>
      </c>
      <c r="Y46" s="90"/>
      <c r="Z46" s="101"/>
      <c r="AA46" s="102"/>
      <c r="AB46" s="100"/>
      <c r="AC46" s="91"/>
      <c r="AD46" s="90"/>
      <c r="AE46" s="101"/>
      <c r="AF46" s="98"/>
      <c r="AG46" s="98"/>
      <c r="AH46" s="100"/>
      <c r="AI46" s="92"/>
      <c r="AJ46" s="99"/>
      <c r="AK46" s="91"/>
      <c r="AL46" s="90"/>
      <c r="AM46" s="90"/>
      <c r="AN46" s="99"/>
      <c r="AO46" s="90"/>
      <c r="AP46" s="99"/>
    </row>
    <row r="47" spans="2:42" ht="15.75" thickBot="1" x14ac:dyDescent="0.3">
      <c r="B47" s="24" t="s">
        <v>25</v>
      </c>
      <c r="C47" s="98"/>
      <c r="D47" s="98"/>
      <c r="E47" s="98"/>
      <c r="F47" s="98"/>
      <c r="G47" s="98"/>
      <c r="H47" s="98"/>
      <c r="I47" s="98"/>
      <c r="J47" s="98"/>
      <c r="K47" s="98"/>
      <c r="L47" s="98"/>
      <c r="M47" s="98"/>
      <c r="N47" s="98"/>
      <c r="O47" s="98"/>
      <c r="P47" s="98"/>
      <c r="Q47" s="98"/>
      <c r="R47" s="98"/>
      <c r="S47" s="97"/>
      <c r="T47" s="96"/>
      <c r="X47" s="24" t="s">
        <v>25</v>
      </c>
      <c r="Y47" s="90"/>
      <c r="Z47" s="95"/>
      <c r="AA47" s="94"/>
      <c r="AB47" s="93"/>
      <c r="AC47" s="91"/>
      <c r="AD47" s="90"/>
      <c r="AE47" s="95"/>
      <c r="AF47" s="94"/>
      <c r="AG47" s="94"/>
      <c r="AH47" s="93"/>
      <c r="AI47" s="92"/>
      <c r="AJ47" s="89"/>
      <c r="AK47" s="91"/>
      <c r="AL47" s="90"/>
      <c r="AM47" s="90"/>
      <c r="AN47" s="89"/>
      <c r="AO47" s="88"/>
      <c r="AP47" s="87"/>
    </row>
    <row r="49" spans="1:38" s="80" customFormat="1" ht="15.75" x14ac:dyDescent="0.25">
      <c r="A49" s="24"/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Y49" s="86">
        <v>2</v>
      </c>
      <c r="Z49" s="85" t="s">
        <v>183</v>
      </c>
      <c r="AA49" s="81"/>
      <c r="AB49" s="81"/>
      <c r="AH49" s="84"/>
      <c r="AI49" s="81" t="s">
        <v>182</v>
      </c>
      <c r="AJ49" s="81"/>
      <c r="AK49" s="81"/>
      <c r="AL49" s="81"/>
    </row>
    <row r="50" spans="1:38" ht="15.75" x14ac:dyDescent="0.25">
      <c r="Y50" s="83"/>
      <c r="Z50" s="81" t="s">
        <v>181</v>
      </c>
      <c r="AA50" s="81"/>
      <c r="AH50" s="82"/>
      <c r="AI50" s="81" t="s">
        <v>180</v>
      </c>
    </row>
    <row r="51" spans="1:38" ht="15.75" x14ac:dyDescent="0.25">
      <c r="L51" s="80"/>
      <c r="Y51" s="79"/>
      <c r="Z51" s="24" t="s">
        <v>179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28"/>
  <dimension ref="A1:M54"/>
  <sheetViews>
    <sheetView showGridLines="0" workbookViewId="0">
      <selection activeCell="F21" sqref="F21"/>
    </sheetView>
  </sheetViews>
  <sheetFormatPr defaultColWidth="9.140625" defaultRowHeight="15" x14ac:dyDescent="0.25"/>
  <cols>
    <col min="1" max="2" width="9.140625" style="29"/>
    <col min="3" max="3" width="30.7109375" style="29" bestFit="1" customWidth="1"/>
    <col min="4" max="4" width="14.5703125" style="30" customWidth="1"/>
    <col min="5" max="5" width="19.140625" style="30" customWidth="1"/>
    <col min="6" max="6" width="18" style="30" customWidth="1"/>
    <col min="7" max="7" width="9.140625" style="29"/>
    <col min="8" max="8" width="30.7109375" style="29" bestFit="1" customWidth="1"/>
    <col min="9" max="9" width="11.5703125" style="30" bestFit="1" customWidth="1"/>
    <col min="10" max="10" width="19.140625" style="30" customWidth="1"/>
    <col min="11" max="11" width="14.5703125" style="30" customWidth="1"/>
    <col min="12" max="16384" width="9.140625" style="29"/>
  </cols>
  <sheetData>
    <row r="1" spans="1:13" ht="15.75" x14ac:dyDescent="0.3">
      <c r="A1" s="31"/>
      <c r="B1" s="31"/>
      <c r="C1" s="32"/>
      <c r="D1" s="40"/>
      <c r="E1" s="40"/>
      <c r="F1" s="40"/>
      <c r="G1" s="32"/>
      <c r="H1" s="32"/>
      <c r="I1" s="40"/>
      <c r="J1" s="40"/>
      <c r="K1" s="40"/>
      <c r="L1" s="32"/>
      <c r="M1" s="31"/>
    </row>
    <row r="2" spans="1:13" ht="15.75" x14ac:dyDescent="0.3">
      <c r="A2" s="31"/>
      <c r="B2" s="31"/>
      <c r="C2" s="32"/>
      <c r="D2" s="40"/>
      <c r="E2" s="40"/>
      <c r="F2" s="40"/>
      <c r="G2" s="32"/>
      <c r="H2" s="32"/>
      <c r="I2" s="40"/>
      <c r="J2" s="40"/>
      <c r="K2" s="40"/>
      <c r="L2" s="32"/>
      <c r="M2" s="31"/>
    </row>
    <row r="3" spans="1:13" ht="15.75" x14ac:dyDescent="0.3">
      <c r="A3" s="31"/>
      <c r="B3" s="31"/>
      <c r="C3" s="32"/>
      <c r="D3" s="40"/>
      <c r="E3" s="40"/>
      <c r="F3" s="40"/>
      <c r="G3" s="32"/>
      <c r="H3" s="32"/>
      <c r="I3" s="40"/>
      <c r="J3" s="40"/>
      <c r="K3" s="40"/>
      <c r="L3" s="32"/>
      <c r="M3" s="31"/>
    </row>
    <row r="4" spans="1:13" ht="16.5" x14ac:dyDescent="0.3">
      <c r="A4" s="31"/>
      <c r="B4" s="31"/>
      <c r="C4" s="51" t="s">
        <v>94</v>
      </c>
      <c r="D4" s="50"/>
      <c r="E4" s="50"/>
      <c r="F4" s="50"/>
      <c r="G4" s="32"/>
      <c r="H4" s="32"/>
      <c r="I4" s="40"/>
      <c r="J4" s="40"/>
      <c r="K4" s="40"/>
      <c r="L4" s="32"/>
      <c r="M4" s="31"/>
    </row>
    <row r="5" spans="1:13" s="46" customFormat="1" ht="32.25" thickBot="1" x14ac:dyDescent="0.35">
      <c r="A5" s="49"/>
      <c r="B5" s="49"/>
      <c r="C5" s="48"/>
      <c r="D5" s="47" t="s">
        <v>88</v>
      </c>
      <c r="E5" s="47" t="s">
        <v>93</v>
      </c>
      <c r="F5" s="47" t="s">
        <v>87</v>
      </c>
      <c r="H5" s="32"/>
      <c r="I5" s="40"/>
      <c r="J5" s="40"/>
      <c r="K5" s="40"/>
    </row>
    <row r="6" spans="1:13" ht="16.5" thickTop="1" x14ac:dyDescent="0.3">
      <c r="A6" s="31"/>
      <c r="B6" s="31"/>
      <c r="C6" s="45" t="s">
        <v>92</v>
      </c>
      <c r="D6" s="44">
        <v>0.39909333774185812</v>
      </c>
      <c r="E6" s="44">
        <v>0.41180108110291491</v>
      </c>
      <c r="F6" s="44">
        <v>0.84159120587872049</v>
      </c>
      <c r="H6" s="32"/>
      <c r="I6" s="40"/>
      <c r="J6" s="40"/>
      <c r="K6" s="40"/>
    </row>
    <row r="7" spans="1:13" ht="15.75" x14ac:dyDescent="0.3">
      <c r="A7" s="31"/>
      <c r="B7" s="31"/>
      <c r="C7" s="45" t="s">
        <v>74</v>
      </c>
      <c r="D7" s="44">
        <v>0.39333872620029342</v>
      </c>
      <c r="E7" s="44">
        <v>0.34670610168825855</v>
      </c>
      <c r="F7" s="44">
        <v>0.85009446626447549</v>
      </c>
      <c r="H7" s="32"/>
      <c r="I7" s="40"/>
      <c r="J7" s="40"/>
      <c r="K7" s="40"/>
    </row>
    <row r="8" spans="1:13" ht="15.75" x14ac:dyDescent="0.3">
      <c r="A8" s="31"/>
      <c r="B8" s="31"/>
      <c r="C8" s="45" t="s">
        <v>84</v>
      </c>
      <c r="D8" s="44">
        <v>0.39252676952036519</v>
      </c>
      <c r="E8" s="44">
        <v>0.39764811749583834</v>
      </c>
      <c r="F8" s="44">
        <v>0.84301955545650531</v>
      </c>
      <c r="H8" s="32"/>
      <c r="I8" s="40"/>
      <c r="J8" s="40"/>
      <c r="K8" s="40"/>
    </row>
    <row r="9" spans="1:13" ht="15.75" x14ac:dyDescent="0.3">
      <c r="A9" s="31"/>
      <c r="B9" s="31"/>
      <c r="C9" s="45" t="s">
        <v>83</v>
      </c>
      <c r="D9" s="44">
        <v>0.37028257182132868</v>
      </c>
      <c r="E9" s="44">
        <v>0.39481457914338841</v>
      </c>
      <c r="F9" s="44">
        <v>0.83695319514954791</v>
      </c>
      <c r="H9" s="32"/>
      <c r="I9" s="40"/>
      <c r="J9" s="40"/>
      <c r="K9" s="40"/>
    </row>
    <row r="10" spans="1:13" ht="15.75" x14ac:dyDescent="0.3">
      <c r="A10" s="31"/>
      <c r="B10" s="31"/>
      <c r="C10" s="45" t="s">
        <v>77</v>
      </c>
      <c r="D10" s="44">
        <v>0.36423910835643969</v>
      </c>
      <c r="E10" s="44">
        <v>0.39465456080805061</v>
      </c>
      <c r="F10" s="44">
        <v>0.8370794914254468</v>
      </c>
      <c r="H10" s="32"/>
      <c r="I10" s="40"/>
      <c r="J10" s="40"/>
      <c r="K10" s="40"/>
    </row>
    <row r="11" spans="1:13" ht="15.75" x14ac:dyDescent="0.3">
      <c r="A11" s="31"/>
      <c r="B11" s="31"/>
      <c r="C11" s="45" t="s">
        <v>82</v>
      </c>
      <c r="D11" s="44">
        <v>0.33326351729347398</v>
      </c>
      <c r="E11" s="44">
        <v>0.21523146566861043</v>
      </c>
      <c r="F11" s="44">
        <v>0.77963303900342806</v>
      </c>
      <c r="H11" s="32"/>
      <c r="I11" s="40"/>
      <c r="J11" s="40"/>
      <c r="K11" s="40"/>
    </row>
    <row r="12" spans="1:13" ht="15.75" x14ac:dyDescent="0.3">
      <c r="A12" s="31"/>
      <c r="B12" s="31"/>
      <c r="C12" s="45" t="s">
        <v>76</v>
      </c>
      <c r="D12" s="44">
        <v>0.31998619666038242</v>
      </c>
      <c r="E12" s="44">
        <v>0.36788753174359701</v>
      </c>
      <c r="F12" s="44">
        <v>0.80406811341801643</v>
      </c>
      <c r="H12" s="32"/>
      <c r="I12" s="40"/>
      <c r="J12" s="40"/>
      <c r="K12" s="40"/>
    </row>
    <row r="13" spans="1:13" ht="15.75" x14ac:dyDescent="0.3">
      <c r="A13" s="31"/>
      <c r="B13" s="31"/>
      <c r="C13" s="45" t="s">
        <v>81</v>
      </c>
      <c r="D13" s="44">
        <v>0.29870189533600022</v>
      </c>
      <c r="E13" s="44">
        <v>0.22349550886461797</v>
      </c>
      <c r="F13" s="44">
        <v>0.79773471534593321</v>
      </c>
      <c r="H13" s="32"/>
      <c r="I13" s="40"/>
      <c r="J13" s="40"/>
      <c r="K13" s="40"/>
    </row>
    <row r="14" spans="1:13" ht="15.75" x14ac:dyDescent="0.3">
      <c r="A14" s="31"/>
      <c r="B14" s="31"/>
      <c r="C14" s="45" t="s">
        <v>75</v>
      </c>
      <c r="D14" s="44">
        <v>0.24516080422268341</v>
      </c>
      <c r="E14" s="44">
        <v>0.31048970743204074</v>
      </c>
      <c r="F14" s="44">
        <v>0.81075968009792687</v>
      </c>
      <c r="H14" s="32"/>
      <c r="I14" s="40"/>
      <c r="J14" s="40"/>
      <c r="K14" s="40"/>
    </row>
    <row r="15" spans="1:13" ht="15.75" x14ac:dyDescent="0.3">
      <c r="A15" s="31"/>
      <c r="B15" s="31"/>
      <c r="C15" s="45" t="s">
        <v>73</v>
      </c>
      <c r="D15" s="44">
        <v>-0.11994822054063881</v>
      </c>
      <c r="E15" s="44">
        <v>-7.2551221831410773E-2</v>
      </c>
      <c r="F15" s="44">
        <v>-0.27829489154939341</v>
      </c>
      <c r="H15" s="32"/>
      <c r="I15" s="40"/>
      <c r="J15" s="40"/>
      <c r="K15" s="40"/>
    </row>
    <row r="16" spans="1:13" ht="15.75" x14ac:dyDescent="0.3">
      <c r="A16" s="31"/>
      <c r="B16" s="31"/>
      <c r="C16" s="45" t="s">
        <v>85</v>
      </c>
      <c r="D16" s="44">
        <v>-0.2348489641615136</v>
      </c>
      <c r="E16" s="44">
        <v>-0.18710740179291221</v>
      </c>
      <c r="F16" s="44">
        <v>-0.71053110101407624</v>
      </c>
      <c r="H16" s="32"/>
      <c r="I16" s="40"/>
      <c r="J16" s="40"/>
      <c r="K16" s="40"/>
    </row>
    <row r="17" spans="1:13" ht="15.75" x14ac:dyDescent="0.3">
      <c r="A17" s="31"/>
      <c r="B17" s="31"/>
      <c r="C17" s="43" t="s">
        <v>78</v>
      </c>
      <c r="D17" s="42">
        <v>-0.3305767581902615</v>
      </c>
      <c r="E17" s="42">
        <v>-0.24142342392994209</v>
      </c>
      <c r="F17" s="42">
        <v>-0.80144763534669738</v>
      </c>
      <c r="H17" s="32"/>
      <c r="I17" s="40"/>
      <c r="J17" s="40"/>
      <c r="K17" s="40"/>
    </row>
    <row r="18" spans="1:13" ht="15.75" x14ac:dyDescent="0.3">
      <c r="A18" s="31"/>
      <c r="B18" s="31"/>
      <c r="C18" s="32"/>
      <c r="D18" s="40"/>
      <c r="E18" s="40"/>
      <c r="F18" s="40"/>
      <c r="H18" s="32"/>
      <c r="I18" s="40"/>
      <c r="J18" s="40"/>
      <c r="K18" s="40"/>
    </row>
    <row r="19" spans="1:13" ht="16.5" thickBot="1" x14ac:dyDescent="0.35">
      <c r="A19" s="31"/>
      <c r="B19" s="31"/>
      <c r="C19" s="32"/>
      <c r="D19" s="40"/>
      <c r="E19" s="40"/>
      <c r="F19" s="40"/>
      <c r="G19" s="32"/>
      <c r="H19" s="32"/>
      <c r="I19" s="40"/>
      <c r="J19" s="40"/>
      <c r="K19" s="40"/>
      <c r="L19" s="32"/>
      <c r="M19" s="31"/>
    </row>
    <row r="20" spans="1:13" ht="16.5" thickBot="1" x14ac:dyDescent="0.35">
      <c r="A20" s="31"/>
      <c r="B20" s="31"/>
      <c r="C20" s="41" t="s">
        <v>91</v>
      </c>
      <c r="D20" s="40"/>
      <c r="E20" s="40"/>
      <c r="F20" s="40"/>
      <c r="G20" s="32"/>
      <c r="H20" s="41" t="s">
        <v>90</v>
      </c>
      <c r="I20" s="40"/>
      <c r="J20" s="40"/>
      <c r="K20" s="40"/>
      <c r="L20" s="32"/>
      <c r="M20" s="31"/>
    </row>
    <row r="21" spans="1:13" ht="15.75" x14ac:dyDescent="0.3">
      <c r="A21" s="31"/>
      <c r="B21" s="31"/>
      <c r="C21" s="32"/>
      <c r="D21" s="40"/>
      <c r="E21" s="40"/>
      <c r="F21" s="40"/>
      <c r="G21" s="32"/>
      <c r="H21" s="32"/>
      <c r="I21" s="40"/>
      <c r="J21" s="40"/>
      <c r="K21" s="40"/>
      <c r="L21" s="32"/>
      <c r="M21" s="31"/>
    </row>
    <row r="22" spans="1:13" ht="15.75" x14ac:dyDescent="0.3">
      <c r="A22" s="31"/>
      <c r="B22" s="31"/>
      <c r="C22" s="39" t="s">
        <v>89</v>
      </c>
      <c r="D22" s="40"/>
      <c r="E22" s="40"/>
      <c r="F22" s="40"/>
      <c r="G22" s="32"/>
      <c r="H22" s="39" t="s">
        <v>89</v>
      </c>
      <c r="L22" s="32"/>
      <c r="M22" s="31"/>
    </row>
    <row r="23" spans="1:13" ht="32.25" thickBot="1" x14ac:dyDescent="0.35">
      <c r="A23" s="31"/>
      <c r="B23" s="31"/>
      <c r="C23" s="38"/>
      <c r="D23" s="37" t="s">
        <v>86</v>
      </c>
      <c r="E23" s="37" t="s">
        <v>87</v>
      </c>
      <c r="F23" s="37" t="s">
        <v>88</v>
      </c>
      <c r="G23" s="31"/>
      <c r="H23" s="38"/>
      <c r="I23" s="37" t="s">
        <v>88</v>
      </c>
      <c r="J23" s="37" t="s">
        <v>87</v>
      </c>
      <c r="K23" s="37" t="s">
        <v>86</v>
      </c>
      <c r="L23" s="31"/>
      <c r="M23" s="31"/>
    </row>
    <row r="24" spans="1:13" ht="16.5" thickTop="1" x14ac:dyDescent="0.3">
      <c r="A24" s="31"/>
      <c r="B24" s="31"/>
      <c r="C24" s="36" t="s">
        <v>85</v>
      </c>
      <c r="D24" s="35">
        <v>0.31418802606860369</v>
      </c>
      <c r="E24" s="35">
        <v>6.2606796019908803E-2</v>
      </c>
      <c r="F24" s="35">
        <v>0.1118476156107774</v>
      </c>
      <c r="G24" s="31"/>
      <c r="H24" s="36" t="s">
        <v>85</v>
      </c>
      <c r="I24" s="35">
        <v>8.5368945603495797E-2</v>
      </c>
      <c r="J24" s="35">
        <v>0.23054158934083149</v>
      </c>
      <c r="K24" s="35">
        <v>8.5368945603495824E-2</v>
      </c>
      <c r="L24" s="31"/>
      <c r="M24" s="31"/>
    </row>
    <row r="25" spans="1:13" ht="15.75" x14ac:dyDescent="0.3">
      <c r="A25" s="31"/>
      <c r="B25" s="31"/>
      <c r="C25" s="36" t="s">
        <v>84</v>
      </c>
      <c r="D25" s="35">
        <v>124.47748015779878</v>
      </c>
      <c r="E25" s="35">
        <v>44.968951195177503</v>
      </c>
      <c r="F25" s="35">
        <v>19.540695984537809</v>
      </c>
      <c r="G25" s="31"/>
      <c r="H25" s="36" t="s">
        <v>84</v>
      </c>
      <c r="I25" s="35">
        <v>6.6988316396375397E-2</v>
      </c>
      <c r="J25" s="35">
        <v>9.9203935425921597E-2</v>
      </c>
      <c r="K25" s="35">
        <v>6.6988316396375383E-2</v>
      </c>
      <c r="L25" s="31"/>
      <c r="M25" s="31"/>
    </row>
    <row r="26" spans="1:13" ht="15.75" x14ac:dyDescent="0.3">
      <c r="A26" s="31"/>
      <c r="B26" s="31"/>
      <c r="C26" s="36" t="s">
        <v>83</v>
      </c>
      <c r="D26" s="35">
        <v>73.470106981397237</v>
      </c>
      <c r="E26" s="35">
        <v>30.3884425960347</v>
      </c>
      <c r="F26" s="35">
        <v>13.23627797086923</v>
      </c>
      <c r="G26" s="31"/>
      <c r="H26" s="36" t="s">
        <v>83</v>
      </c>
      <c r="I26" s="35">
        <v>6.9158922527463806E-2</v>
      </c>
      <c r="J26" s="35">
        <v>0.1014969113002997</v>
      </c>
      <c r="K26" s="35">
        <v>6.9158922527463806E-2</v>
      </c>
      <c r="L26" s="31"/>
      <c r="M26" s="31"/>
    </row>
    <row r="27" spans="1:13" ht="15.75" x14ac:dyDescent="0.3">
      <c r="C27" s="36" t="s">
        <v>82</v>
      </c>
      <c r="D27" s="35">
        <v>14.953832737323758</v>
      </c>
      <c r="E27" s="35">
        <v>8.9708306278200762</v>
      </c>
      <c r="F27" s="35">
        <v>3.2489542311706101</v>
      </c>
      <c r="H27" s="36" t="s">
        <v>82</v>
      </c>
      <c r="I27" s="35">
        <v>7.8161479794252697E-2</v>
      </c>
      <c r="J27" s="35">
        <v>0.12732608958619909</v>
      </c>
      <c r="K27" s="35">
        <v>7.8161479794252697E-2</v>
      </c>
    </row>
    <row r="28" spans="1:13" ht="15.75" x14ac:dyDescent="0.3">
      <c r="C28" s="36" t="s">
        <v>81</v>
      </c>
      <c r="D28" s="35">
        <v>7.0301442655370847</v>
      </c>
      <c r="E28" s="35">
        <v>2.3962558866530581</v>
      </c>
      <c r="F28" s="35">
        <v>0.7455687060773547</v>
      </c>
      <c r="H28" s="36" t="s">
        <v>81</v>
      </c>
      <c r="I28" s="35">
        <v>5.2304746849035397E-2</v>
      </c>
      <c r="J28" s="35">
        <v>0.1151175266400588</v>
      </c>
      <c r="K28" s="35">
        <v>5.2304746849035404E-2</v>
      </c>
    </row>
    <row r="29" spans="1:13" ht="15.75" x14ac:dyDescent="0.3">
      <c r="C29" s="36" t="s">
        <v>80</v>
      </c>
      <c r="D29" s="35">
        <v>89.138773586827952</v>
      </c>
      <c r="E29" s="35">
        <v>40.223195896961911</v>
      </c>
      <c r="F29" s="35">
        <v>17.01251730076407</v>
      </c>
      <c r="H29" s="36" t="s">
        <v>80</v>
      </c>
      <c r="I29" s="35">
        <v>6.6312093863517496E-2</v>
      </c>
      <c r="J29" s="35">
        <v>0.1013254812380823</v>
      </c>
      <c r="K29" s="35">
        <v>6.6312093863517524E-2</v>
      </c>
    </row>
    <row r="30" spans="1:13" ht="15.75" x14ac:dyDescent="0.3">
      <c r="C30" s="36" t="s">
        <v>79</v>
      </c>
      <c r="D30" s="35">
        <v>87.711135596936217</v>
      </c>
      <c r="E30" s="35">
        <v>39.298600791305041</v>
      </c>
      <c r="F30" s="35">
        <v>16.982412727675289</v>
      </c>
      <c r="H30" s="36" t="s">
        <v>79</v>
      </c>
      <c r="I30" s="35">
        <v>6.6244319614496297E-2</v>
      </c>
      <c r="J30" s="35">
        <v>0.101012336796667</v>
      </c>
      <c r="K30" s="35">
        <v>6.6244319614496311E-2</v>
      </c>
    </row>
    <row r="31" spans="1:13" ht="15.75" x14ac:dyDescent="0.3">
      <c r="C31" s="36" t="s">
        <v>78</v>
      </c>
      <c r="D31" s="35">
        <v>0.21568710447256401</v>
      </c>
      <c r="E31" s="35">
        <v>8.3832758581906405E-2</v>
      </c>
      <c r="F31" s="35">
        <v>9.3165909365717794E-2</v>
      </c>
      <c r="H31" s="36" t="s">
        <v>78</v>
      </c>
      <c r="I31" s="35">
        <v>8.7755083066228895E-2</v>
      </c>
      <c r="J31" s="35">
        <v>0.127208684194069</v>
      </c>
      <c r="K31" s="35">
        <v>8.7755083066228867E-2</v>
      </c>
    </row>
    <row r="32" spans="1:13" ht="15.75" x14ac:dyDescent="0.3">
      <c r="C32" s="36" t="s">
        <v>77</v>
      </c>
      <c r="D32" s="35">
        <v>46.857283109603948</v>
      </c>
      <c r="E32" s="35">
        <v>18.359652213329792</v>
      </c>
      <c r="F32" s="35">
        <v>8.1437772031874225</v>
      </c>
      <c r="H32" s="36" t="s">
        <v>77</v>
      </c>
      <c r="I32" s="35">
        <v>6.7590253971533495E-2</v>
      </c>
      <c r="J32" s="35">
        <v>0.1003922975112695</v>
      </c>
      <c r="K32" s="35">
        <v>6.7590253971533482E-2</v>
      </c>
    </row>
    <row r="33" spans="3:11" ht="15.75" x14ac:dyDescent="0.3">
      <c r="C33" s="36" t="s">
        <v>76</v>
      </c>
      <c r="D33" s="35">
        <v>12.331762321652798</v>
      </c>
      <c r="E33" s="35">
        <v>4.8242179946368404</v>
      </c>
      <c r="F33" s="35">
        <v>2.1538662480055799</v>
      </c>
      <c r="H33" s="36" t="s">
        <v>76</v>
      </c>
      <c r="I33" s="35">
        <v>6.6912875548172296E-2</v>
      </c>
      <c r="J33" s="35">
        <v>0.1122014086047716</v>
      </c>
      <c r="K33" s="35">
        <v>6.6912875548172282E-2</v>
      </c>
    </row>
    <row r="34" spans="3:11" ht="15.75" x14ac:dyDescent="0.3">
      <c r="C34" s="36" t="s">
        <v>75</v>
      </c>
      <c r="D34" s="35">
        <v>1.7634079462418533</v>
      </c>
      <c r="E34" s="35">
        <v>0.54745090626007131</v>
      </c>
      <c r="F34" s="35">
        <v>0.23422799359728819</v>
      </c>
      <c r="H34" s="36" t="s">
        <v>75</v>
      </c>
      <c r="I34" s="35">
        <v>7.0913878106884001E-2</v>
      </c>
      <c r="J34" s="35">
        <v>0.10921388896963501</v>
      </c>
      <c r="K34" s="35">
        <v>7.0913878106884015E-2</v>
      </c>
    </row>
    <row r="35" spans="3:11" ht="15.75" x14ac:dyDescent="0.3">
      <c r="C35" s="36" t="s">
        <v>74</v>
      </c>
      <c r="D35" s="35">
        <v>51.202678447203226</v>
      </c>
      <c r="E35" s="35">
        <v>14.828648388424631</v>
      </c>
      <c r="F35" s="35">
        <v>6.6089151770992256</v>
      </c>
      <c r="H35" s="36" t="s">
        <v>74</v>
      </c>
      <c r="I35" s="35">
        <v>6.7041384508139096E-2</v>
      </c>
      <c r="J35" s="35">
        <v>9.5347721581693703E-2</v>
      </c>
      <c r="K35" s="35">
        <v>6.7041384508139096E-2</v>
      </c>
    </row>
    <row r="36" spans="3:11" ht="15.75" x14ac:dyDescent="0.3">
      <c r="C36" s="34" t="s">
        <v>73</v>
      </c>
      <c r="D36" s="33">
        <v>0.10910671932595821</v>
      </c>
      <c r="E36" s="33">
        <v>0.23919120443314509</v>
      </c>
      <c r="F36" s="33">
        <v>4.1155084977825399E-2</v>
      </c>
      <c r="H36" s="34" t="s">
        <v>73</v>
      </c>
      <c r="I36" s="33">
        <v>7.8432188928862598E-2</v>
      </c>
      <c r="J36" s="33">
        <v>0.39852950800401871</v>
      </c>
      <c r="K36" s="33">
        <v>7.8432188928862598E-2</v>
      </c>
    </row>
    <row r="37" spans="3:11" ht="15.75" x14ac:dyDescent="0.3">
      <c r="D37" s="29"/>
      <c r="E37" s="31"/>
      <c r="F37" s="32"/>
      <c r="I37" s="32"/>
      <c r="J37" s="31"/>
      <c r="K37" s="29"/>
    </row>
    <row r="40" spans="3:11" x14ac:dyDescent="0.25">
      <c r="D40" s="29"/>
      <c r="E40" s="29"/>
      <c r="F40" s="29"/>
      <c r="I40" s="29"/>
      <c r="J40" s="29"/>
      <c r="K40" s="29"/>
    </row>
    <row r="41" spans="3:11" x14ac:dyDescent="0.25">
      <c r="D41" s="29"/>
      <c r="E41" s="29"/>
      <c r="F41" s="29"/>
      <c r="I41" s="29"/>
      <c r="J41" s="29"/>
      <c r="K41" s="29"/>
    </row>
    <row r="42" spans="3:11" x14ac:dyDescent="0.25">
      <c r="D42" s="29"/>
      <c r="E42" s="29"/>
      <c r="F42" s="29"/>
      <c r="I42" s="29"/>
      <c r="J42" s="29"/>
      <c r="K42" s="29"/>
    </row>
    <row r="43" spans="3:11" x14ac:dyDescent="0.25">
      <c r="D43" s="29"/>
      <c r="E43" s="29"/>
      <c r="F43" s="29"/>
      <c r="I43" s="29"/>
      <c r="J43" s="29"/>
      <c r="K43" s="29"/>
    </row>
    <row r="44" spans="3:11" x14ac:dyDescent="0.25">
      <c r="D44" s="29"/>
      <c r="E44" s="29"/>
      <c r="F44" s="29"/>
      <c r="I44" s="29"/>
      <c r="J44" s="29"/>
      <c r="K44" s="29"/>
    </row>
    <row r="45" spans="3:11" x14ac:dyDescent="0.25">
      <c r="D45" s="29"/>
      <c r="E45" s="29"/>
      <c r="F45" s="29"/>
      <c r="I45" s="29"/>
      <c r="J45" s="29"/>
      <c r="K45" s="29"/>
    </row>
    <row r="46" spans="3:11" x14ac:dyDescent="0.25">
      <c r="D46" s="29"/>
      <c r="E46" s="29"/>
      <c r="F46" s="29"/>
      <c r="I46" s="29"/>
      <c r="J46" s="29"/>
      <c r="K46" s="29"/>
    </row>
    <row r="47" spans="3:11" x14ac:dyDescent="0.25">
      <c r="D47" s="29"/>
      <c r="E47" s="29"/>
      <c r="F47" s="29"/>
      <c r="I47" s="29"/>
      <c r="J47" s="29"/>
      <c r="K47" s="29"/>
    </row>
    <row r="48" spans="3:11" x14ac:dyDescent="0.25">
      <c r="D48" s="29"/>
      <c r="E48" s="29"/>
      <c r="F48" s="29"/>
      <c r="I48" s="29"/>
      <c r="J48" s="29"/>
      <c r="K48" s="29"/>
    </row>
    <row r="49" s="29" customFormat="1" x14ac:dyDescent="0.25"/>
    <row r="50" s="29" customFormat="1" x14ac:dyDescent="0.25"/>
    <row r="51" s="29" customFormat="1" x14ac:dyDescent="0.25"/>
    <row r="52" s="29" customFormat="1" x14ac:dyDescent="0.25"/>
    <row r="53" s="29" customFormat="1" x14ac:dyDescent="0.25"/>
    <row r="54" s="29" customFormat="1" x14ac:dyDescent="0.25"/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703E6-0818-420C-BCC9-49EABC0F57F9}">
  <sheetPr>
    <tabColor rgb="FFFF0000"/>
  </sheetPr>
  <dimension ref="A1"/>
  <sheetViews>
    <sheetView showGridLines="0" workbookViewId="0">
      <selection activeCell="E18" sqref="E18"/>
    </sheetView>
  </sheetViews>
  <sheetFormatPr defaultRowHeight="15" x14ac:dyDescent="0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6"/>
  <dimension ref="B2:G13"/>
  <sheetViews>
    <sheetView showGridLines="0" workbookViewId="0">
      <selection activeCell="B8" sqref="B8"/>
    </sheetView>
  </sheetViews>
  <sheetFormatPr defaultColWidth="9.140625" defaultRowHeight="15" x14ac:dyDescent="0.25"/>
  <cols>
    <col min="1" max="2" width="9.140625" style="24"/>
    <col min="3" max="7" width="9.140625" style="28"/>
    <col min="8" max="16384" width="9.140625" style="24"/>
  </cols>
  <sheetData>
    <row r="2" spans="2:7" x14ac:dyDescent="0.25">
      <c r="C2" s="28" t="s">
        <v>72</v>
      </c>
      <c r="D2" s="28" t="s">
        <v>71</v>
      </c>
      <c r="E2" s="28" t="s">
        <v>70</v>
      </c>
      <c r="F2" s="28" t="s">
        <v>69</v>
      </c>
      <c r="G2" s="28" t="s">
        <v>68</v>
      </c>
    </row>
    <row r="3" spans="2:7" x14ac:dyDescent="0.25">
      <c r="B3" s="24">
        <v>-5</v>
      </c>
      <c r="C3" s="28">
        <v>59.9587</v>
      </c>
      <c r="D3" s="28">
        <v>75.644990000000007</v>
      </c>
      <c r="E3" s="28">
        <v>15.170300000000001</v>
      </c>
      <c r="F3" s="28">
        <v>9.1846999999999994</v>
      </c>
      <c r="G3" s="28">
        <v>15.686300000000001</v>
      </c>
    </row>
    <row r="4" spans="2:7" x14ac:dyDescent="0.25">
      <c r="B4" s="24">
        <v>-4</v>
      </c>
      <c r="C4" s="28">
        <v>56.893700000000003</v>
      </c>
      <c r="D4" s="28">
        <v>92.510490000000004</v>
      </c>
      <c r="E4" s="28">
        <v>6.1215999999999999</v>
      </c>
      <c r="F4" s="28">
        <v>1.3679000000000001</v>
      </c>
      <c r="G4" s="28">
        <v>35.616799999999998</v>
      </c>
    </row>
    <row r="5" spans="2:7" x14ac:dyDescent="0.25">
      <c r="B5" s="24">
        <v>-3</v>
      </c>
      <c r="C5" s="28">
        <v>53.881599999999999</v>
      </c>
      <c r="D5" s="28">
        <v>89.962630000000004</v>
      </c>
      <c r="E5" s="28">
        <v>8.2852999999999994</v>
      </c>
      <c r="F5" s="28">
        <v>1.7520999999999998</v>
      </c>
      <c r="G5" s="28">
        <v>36.081099999999999</v>
      </c>
    </row>
    <row r="6" spans="2:7" x14ac:dyDescent="0.25">
      <c r="B6" s="24">
        <v>-2</v>
      </c>
      <c r="C6" s="28">
        <v>50.345700000000008</v>
      </c>
      <c r="D6" s="28">
        <v>87.896609999999995</v>
      </c>
      <c r="E6" s="28">
        <v>9.8718000000000004</v>
      </c>
      <c r="F6" s="28">
        <v>2.2315999999999998</v>
      </c>
      <c r="G6" s="28">
        <v>37.550899999999999</v>
      </c>
    </row>
    <row r="7" spans="2:7" x14ac:dyDescent="0.25">
      <c r="B7" s="24">
        <v>-1</v>
      </c>
      <c r="C7" s="28">
        <v>53.482300000000002</v>
      </c>
      <c r="D7" s="28">
        <v>84.211039999999997</v>
      </c>
      <c r="E7" s="28">
        <v>12.845400000000001</v>
      </c>
      <c r="F7" s="28">
        <v>2.9436</v>
      </c>
      <c r="G7" s="28">
        <v>30.728699999999996</v>
      </c>
    </row>
    <row r="8" spans="2:7" x14ac:dyDescent="0.25">
      <c r="B8" s="136" t="s">
        <v>67</v>
      </c>
      <c r="C8" s="28">
        <v>48.0274</v>
      </c>
      <c r="D8" s="28">
        <v>83.187269999999998</v>
      </c>
      <c r="E8" s="28">
        <v>14.6013</v>
      </c>
      <c r="F8" s="28">
        <v>2.2114000000000003</v>
      </c>
      <c r="G8" s="28">
        <v>35.159800000000004</v>
      </c>
    </row>
    <row r="9" spans="2:7" x14ac:dyDescent="0.25">
      <c r="B9" s="24">
        <v>1</v>
      </c>
      <c r="C9" s="28">
        <v>51.573999999999998</v>
      </c>
      <c r="D9" s="28">
        <v>85.270060000000001</v>
      </c>
      <c r="E9" s="28">
        <v>13.062999999999999</v>
      </c>
      <c r="F9" s="28">
        <v>1.667</v>
      </c>
      <c r="G9" s="28">
        <v>33.696100000000001</v>
      </c>
    </row>
    <row r="10" spans="2:7" x14ac:dyDescent="0.25">
      <c r="B10" s="24">
        <v>2</v>
      </c>
      <c r="C10" s="28">
        <v>54.990099999999998</v>
      </c>
      <c r="D10" s="28">
        <v>84.831679999999992</v>
      </c>
      <c r="E10" s="28">
        <v>13.170000000000002</v>
      </c>
      <c r="F10" s="28">
        <v>1.9983</v>
      </c>
      <c r="G10" s="28">
        <v>29.8415</v>
      </c>
    </row>
    <row r="11" spans="2:7" x14ac:dyDescent="0.25">
      <c r="B11" s="24">
        <v>3</v>
      </c>
      <c r="C11" s="28">
        <v>52.820799999999998</v>
      </c>
      <c r="D11" s="28">
        <v>77.911280000000005</v>
      </c>
      <c r="E11" s="28">
        <v>19.8752</v>
      </c>
      <c r="F11" s="28">
        <v>2.2134999999999998</v>
      </c>
      <c r="G11" s="28">
        <v>25.090400000000002</v>
      </c>
    </row>
    <row r="12" spans="2:7" x14ac:dyDescent="0.25">
      <c r="B12" s="24">
        <v>4</v>
      </c>
      <c r="C12" s="28">
        <v>52.195499999999996</v>
      </c>
      <c r="D12" s="28">
        <v>78.777709999999999</v>
      </c>
      <c r="E12" s="28">
        <v>19.270799999999998</v>
      </c>
      <c r="F12" s="28">
        <v>1.9515</v>
      </c>
      <c r="G12" s="28">
        <v>26.5822</v>
      </c>
    </row>
    <row r="13" spans="2:7" x14ac:dyDescent="0.25">
      <c r="B13" s="24">
        <v>5</v>
      </c>
      <c r="C13" s="28">
        <v>51.758000000000003</v>
      </c>
      <c r="D13" s="28">
        <v>86.757130000000004</v>
      </c>
      <c r="E13" s="28">
        <v>11.722799999999999</v>
      </c>
      <c r="F13" s="28">
        <v>1.5201</v>
      </c>
      <c r="G13" s="28">
        <v>34.999200000000002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3"/>
  <dimension ref="A1:G41"/>
  <sheetViews>
    <sheetView showGridLines="0" workbookViewId="0">
      <selection activeCell="L43" sqref="L43"/>
    </sheetView>
  </sheetViews>
  <sheetFormatPr defaultColWidth="9.140625" defaultRowHeight="15" x14ac:dyDescent="0.25"/>
  <cols>
    <col min="1" max="1" width="9.140625" style="66"/>
    <col min="2" max="6" width="9.140625" style="64"/>
    <col min="7" max="7" width="9.140625" style="65"/>
    <col min="8" max="16384" width="9.140625" style="64"/>
  </cols>
  <sheetData>
    <row r="1" spans="1:6" x14ac:dyDescent="0.25">
      <c r="B1" s="64" t="s">
        <v>138</v>
      </c>
      <c r="C1" s="64" t="s">
        <v>137</v>
      </c>
      <c r="D1" s="69" t="s">
        <v>136</v>
      </c>
      <c r="E1" s="64" t="s">
        <v>135</v>
      </c>
      <c r="F1" s="64" t="s">
        <v>134</v>
      </c>
    </row>
    <row r="2" spans="1:6" x14ac:dyDescent="0.25">
      <c r="A2" s="66">
        <v>1997</v>
      </c>
      <c r="B2" s="68">
        <v>62.538071000000002</v>
      </c>
      <c r="C2" s="68">
        <v>75.644997000000004</v>
      </c>
      <c r="D2" s="68">
        <v>85.512755999999996</v>
      </c>
      <c r="E2" s="68">
        <v>88.269065999999995</v>
      </c>
      <c r="F2" s="68">
        <v>92.622955000000005</v>
      </c>
    </row>
    <row r="3" spans="1:6" x14ac:dyDescent="0.25">
      <c r="A3" s="66">
        <v>1998</v>
      </c>
      <c r="B3" s="68">
        <v>68.051434</v>
      </c>
      <c r="C3" s="68">
        <v>79.090832000000006</v>
      </c>
      <c r="D3" s="68">
        <v>84.954324</v>
      </c>
      <c r="E3" s="68">
        <v>88.910076000000004</v>
      </c>
      <c r="F3" s="68">
        <v>91.061725999999993</v>
      </c>
    </row>
    <row r="4" spans="1:6" x14ac:dyDescent="0.25">
      <c r="A4" s="66">
        <v>1999</v>
      </c>
      <c r="B4" s="68">
        <v>73.564796000000001</v>
      </c>
      <c r="C4" s="68">
        <v>78.890690000000006</v>
      </c>
      <c r="D4" s="68">
        <v>86.234575000000007</v>
      </c>
      <c r="E4" s="68">
        <v>90.214218000000002</v>
      </c>
      <c r="F4" s="68">
        <v>91.247996999999998</v>
      </c>
    </row>
    <row r="5" spans="1:6" x14ac:dyDescent="0.25">
      <c r="A5" s="66">
        <v>2000</v>
      </c>
      <c r="B5" s="68">
        <v>78.796352999999996</v>
      </c>
      <c r="C5" s="68">
        <v>81.019233999999997</v>
      </c>
      <c r="D5" s="68">
        <v>88.329904999999997</v>
      </c>
      <c r="E5" s="68">
        <v>91.062377999999995</v>
      </c>
      <c r="F5" s="68">
        <v>93.563912999999999</v>
      </c>
    </row>
    <row r="6" spans="1:6" x14ac:dyDescent="0.25">
      <c r="A6" s="67" t="s">
        <v>126</v>
      </c>
      <c r="B6" s="68">
        <v>82.724082999999993</v>
      </c>
      <c r="C6" s="68">
        <v>84.591521999999998</v>
      </c>
      <c r="D6" s="68">
        <v>89.546276000000006</v>
      </c>
      <c r="E6" s="68">
        <v>94.630195999999998</v>
      </c>
      <c r="F6" s="68">
        <v>95.879829000000001</v>
      </c>
    </row>
    <row r="7" spans="1:6" x14ac:dyDescent="0.25">
      <c r="A7" s="67" t="s">
        <v>125</v>
      </c>
      <c r="B7" s="68">
        <v>75</v>
      </c>
      <c r="C7" s="68">
        <v>81.337836999999993</v>
      </c>
      <c r="D7" s="68">
        <v>87.631611000000007</v>
      </c>
      <c r="E7" s="68">
        <v>91.794876000000002</v>
      </c>
      <c r="F7" s="68">
        <v>93.254638999999997</v>
      </c>
    </row>
    <row r="8" spans="1:6" x14ac:dyDescent="0.25">
      <c r="A8" s="67" t="s">
        <v>124</v>
      </c>
      <c r="B8" s="68">
        <v>74.087136999999998</v>
      </c>
      <c r="C8" s="68">
        <v>79.951590999999993</v>
      </c>
      <c r="D8" s="68">
        <v>85.786738999999997</v>
      </c>
      <c r="E8" s="68">
        <v>89.779107999999994</v>
      </c>
      <c r="F8" s="68">
        <v>93.421009999999995</v>
      </c>
    </row>
    <row r="9" spans="1:6" x14ac:dyDescent="0.25">
      <c r="A9" s="67" t="s">
        <v>123</v>
      </c>
      <c r="B9" s="68">
        <v>73.174273999999997</v>
      </c>
      <c r="C9" s="68">
        <v>78.565346000000005</v>
      </c>
      <c r="D9" s="68">
        <v>84.345170999999993</v>
      </c>
      <c r="E9" s="68">
        <v>87.763339000000002</v>
      </c>
      <c r="F9" s="68">
        <v>93.587380999999993</v>
      </c>
    </row>
    <row r="10" spans="1:6" x14ac:dyDescent="0.25">
      <c r="A10" s="67" t="s">
        <v>122</v>
      </c>
      <c r="B10" s="68">
        <v>72.261410999999995</v>
      </c>
      <c r="C10" s="68">
        <v>76.378027000000003</v>
      </c>
      <c r="D10" s="68">
        <v>81.621641999999994</v>
      </c>
      <c r="E10" s="68">
        <v>86.152687</v>
      </c>
      <c r="F10" s="68">
        <v>92.675635999999997</v>
      </c>
    </row>
    <row r="11" spans="1:6" x14ac:dyDescent="0.25">
      <c r="A11" s="67" t="s">
        <v>121</v>
      </c>
      <c r="B11" s="68">
        <v>71.348546999999996</v>
      </c>
      <c r="C11" s="68">
        <v>74.113467</v>
      </c>
      <c r="D11" s="68">
        <v>79.520415</v>
      </c>
      <c r="E11" s="68">
        <v>86.215278999999995</v>
      </c>
      <c r="F11" s="68">
        <v>91.162452999999999</v>
      </c>
    </row>
    <row r="12" spans="1:6" x14ac:dyDescent="0.25">
      <c r="A12" s="67" t="s">
        <v>120</v>
      </c>
      <c r="B12" s="68">
        <v>68.598618000000002</v>
      </c>
      <c r="C12" s="68">
        <v>72.584029999999998</v>
      </c>
      <c r="D12" s="68">
        <v>78.141650999999996</v>
      </c>
      <c r="E12" s="68">
        <v>86.277869999999993</v>
      </c>
      <c r="F12" s="68">
        <v>91.262978000000004</v>
      </c>
    </row>
    <row r="13" spans="1:6" x14ac:dyDescent="0.25">
      <c r="A13" s="67" t="s">
        <v>119</v>
      </c>
      <c r="B13" s="68">
        <v>66.133523999999994</v>
      </c>
      <c r="C13" s="68">
        <v>73.020363000000003</v>
      </c>
      <c r="D13" s="68">
        <v>78.231789000000006</v>
      </c>
      <c r="E13" s="68">
        <v>84.826915999999997</v>
      </c>
      <c r="F13" s="68">
        <v>90.056267000000005</v>
      </c>
    </row>
    <row r="14" spans="1:6" x14ac:dyDescent="0.25">
      <c r="A14" s="67" t="s">
        <v>118</v>
      </c>
      <c r="B14" s="68">
        <v>66.188338999999999</v>
      </c>
      <c r="C14" s="68">
        <v>71.041122000000001</v>
      </c>
      <c r="D14" s="68">
        <v>80.030383999999998</v>
      </c>
      <c r="E14" s="68">
        <v>84.364258000000007</v>
      </c>
      <c r="F14" s="68">
        <v>88.849556000000007</v>
      </c>
    </row>
    <row r="15" spans="1:6" x14ac:dyDescent="0.25">
      <c r="A15" s="67" t="s">
        <v>117</v>
      </c>
      <c r="B15" s="68">
        <v>65.532287999999994</v>
      </c>
      <c r="C15" s="68">
        <v>72.783691000000005</v>
      </c>
      <c r="D15" s="68">
        <v>79.880936000000005</v>
      </c>
      <c r="E15" s="68">
        <v>84.694755999999998</v>
      </c>
      <c r="F15" s="68">
        <v>87.676772999999997</v>
      </c>
    </row>
    <row r="16" spans="1:6" x14ac:dyDescent="0.25">
      <c r="A16" s="67" t="s">
        <v>116</v>
      </c>
      <c r="B16" s="68">
        <v>66.145827999999995</v>
      </c>
      <c r="C16" s="68">
        <v>72.781775999999994</v>
      </c>
      <c r="D16" s="68">
        <v>82.303757000000004</v>
      </c>
      <c r="E16" s="68">
        <v>85.826087999999999</v>
      </c>
      <c r="F16" s="68">
        <v>92.424239999999998</v>
      </c>
    </row>
    <row r="17" spans="1:6" x14ac:dyDescent="0.25">
      <c r="A17" s="67" t="s">
        <v>115</v>
      </c>
      <c r="B17" s="68">
        <v>61.365532000000002</v>
      </c>
      <c r="C17" s="68">
        <v>67.493951999999993</v>
      </c>
      <c r="D17" s="68">
        <v>79.733282000000003</v>
      </c>
      <c r="E17" s="68">
        <v>83.915729999999996</v>
      </c>
      <c r="F17" s="68">
        <v>87.043625000000006</v>
      </c>
    </row>
    <row r="18" spans="1:6" x14ac:dyDescent="0.25">
      <c r="A18" s="67" t="s">
        <v>114</v>
      </c>
      <c r="B18" s="68">
        <v>54.938952999999998</v>
      </c>
      <c r="C18" s="68">
        <v>63.432837999999997</v>
      </c>
      <c r="D18" s="68">
        <v>75.545608999999999</v>
      </c>
      <c r="E18" s="68">
        <v>84.010154999999997</v>
      </c>
      <c r="F18" s="68">
        <v>88.793839000000006</v>
      </c>
    </row>
    <row r="19" spans="1:6" x14ac:dyDescent="0.25">
      <c r="A19" s="67" t="s">
        <v>113</v>
      </c>
      <c r="B19" s="68">
        <v>56.296290999999997</v>
      </c>
      <c r="C19" s="68">
        <v>64.575723999999994</v>
      </c>
      <c r="D19" s="68">
        <v>77.010153000000003</v>
      </c>
      <c r="E19" s="68">
        <v>83.993201999999997</v>
      </c>
      <c r="F19" s="68">
        <v>86.639458000000005</v>
      </c>
    </row>
    <row r="20" spans="1:6" x14ac:dyDescent="0.25">
      <c r="A20" s="66">
        <v>2015</v>
      </c>
      <c r="B20" s="68">
        <v>52.990658000000003</v>
      </c>
      <c r="C20" s="68">
        <v>65.706810000000004</v>
      </c>
      <c r="D20" s="68">
        <v>78.474697000000006</v>
      </c>
      <c r="E20" s="68">
        <v>82.273949000000002</v>
      </c>
      <c r="F20" s="68">
        <v>92.326530000000005</v>
      </c>
    </row>
    <row r="21" spans="1:6" x14ac:dyDescent="0.25">
      <c r="B21" s="68"/>
      <c r="C21" s="68"/>
      <c r="D21" s="68"/>
      <c r="E21" s="68"/>
      <c r="F21" s="68"/>
    </row>
    <row r="22" spans="1:6" x14ac:dyDescent="0.25">
      <c r="B22" s="68"/>
      <c r="C22" s="68"/>
      <c r="D22" s="68"/>
      <c r="E22" s="68"/>
      <c r="F22" s="68"/>
    </row>
    <row r="23" spans="1:6" x14ac:dyDescent="0.25">
      <c r="B23" s="64" t="s">
        <v>138</v>
      </c>
      <c r="C23" s="64" t="s">
        <v>137</v>
      </c>
      <c r="D23" s="64" t="s">
        <v>136</v>
      </c>
      <c r="E23" s="64" t="s">
        <v>135</v>
      </c>
      <c r="F23" s="64" t="s">
        <v>134</v>
      </c>
    </row>
    <row r="24" spans="1:6" x14ac:dyDescent="0.25">
      <c r="A24" s="66">
        <v>1997</v>
      </c>
      <c r="B24" s="65">
        <v>0.433</v>
      </c>
      <c r="C24" s="65">
        <v>0.48099999999999998</v>
      </c>
      <c r="D24" s="65">
        <v>0.54</v>
      </c>
      <c r="E24" s="65">
        <v>0.56499999999999995</v>
      </c>
      <c r="F24" s="65">
        <v>0.57999999999999996</v>
      </c>
    </row>
    <row r="25" spans="1:6" x14ac:dyDescent="0.25">
      <c r="A25" s="66">
        <v>1998</v>
      </c>
      <c r="B25" s="65">
        <v>0.436</v>
      </c>
      <c r="C25" s="65">
        <v>0.5</v>
      </c>
      <c r="D25" s="65">
        <v>0.55000000000000004</v>
      </c>
      <c r="E25" s="65">
        <v>0.56399999999999995</v>
      </c>
      <c r="F25" s="65">
        <v>0.57999999999999996</v>
      </c>
    </row>
    <row r="26" spans="1:6" x14ac:dyDescent="0.25">
      <c r="A26" s="66">
        <v>1999</v>
      </c>
      <c r="B26" s="65">
        <v>0.45400000000000001</v>
      </c>
      <c r="C26" s="65">
        <v>0.497</v>
      </c>
      <c r="D26" s="65">
        <v>0.54449999999999998</v>
      </c>
      <c r="E26" s="65">
        <v>0.56299999999999994</v>
      </c>
      <c r="F26" s="65">
        <v>0.58499999999999996</v>
      </c>
    </row>
    <row r="27" spans="1:6" x14ac:dyDescent="0.25">
      <c r="A27" s="66">
        <v>2000</v>
      </c>
      <c r="B27" s="65">
        <v>0.442</v>
      </c>
      <c r="C27" s="65">
        <v>0.50800000000000001</v>
      </c>
      <c r="D27" s="65">
        <v>0.54300000000000004</v>
      </c>
      <c r="E27" s="65">
        <v>0.56599999999999995</v>
      </c>
      <c r="F27" s="65">
        <v>0.60499999999999998</v>
      </c>
    </row>
    <row r="28" spans="1:6" x14ac:dyDescent="0.25">
      <c r="A28" s="67" t="s">
        <v>126</v>
      </c>
      <c r="B28" s="65">
        <v>0.46400000000000002</v>
      </c>
      <c r="C28" s="65">
        <v>0.51</v>
      </c>
      <c r="D28" s="65">
        <v>0.54200000000000004</v>
      </c>
      <c r="E28" s="65">
        <v>0.56499999999999995</v>
      </c>
      <c r="F28" s="65">
        <v>0.58499999999999996</v>
      </c>
    </row>
    <row r="29" spans="1:6" x14ac:dyDescent="0.25">
      <c r="A29" s="67" t="s">
        <v>125</v>
      </c>
      <c r="B29" s="65">
        <v>0.47299999999999998</v>
      </c>
      <c r="C29" s="65">
        <v>0.51</v>
      </c>
      <c r="D29" s="65">
        <v>0.54649999999999999</v>
      </c>
      <c r="E29" s="65">
        <v>0.57299999999999995</v>
      </c>
      <c r="F29" s="65">
        <v>0.58199999999999996</v>
      </c>
    </row>
    <row r="30" spans="1:6" x14ac:dyDescent="0.25">
      <c r="A30" s="67" t="s">
        <v>124</v>
      </c>
      <c r="B30" s="65">
        <v>0.46</v>
      </c>
      <c r="C30" s="65">
        <v>0.50900000000000001</v>
      </c>
      <c r="D30" s="65">
        <v>0.54349999999999998</v>
      </c>
      <c r="E30" s="65">
        <v>0.55500000000000005</v>
      </c>
      <c r="F30" s="65">
        <v>0.58299999999999996</v>
      </c>
    </row>
    <row r="31" spans="1:6" x14ac:dyDescent="0.25">
      <c r="A31" s="67" t="s">
        <v>123</v>
      </c>
      <c r="B31" s="65">
        <v>0.46300000000000002</v>
      </c>
      <c r="C31" s="65">
        <v>0.496</v>
      </c>
      <c r="D31" s="65">
        <v>0.52649999999999997</v>
      </c>
      <c r="E31" s="65">
        <v>0.55300000000000005</v>
      </c>
      <c r="F31" s="65">
        <v>0.58099999999999996</v>
      </c>
    </row>
    <row r="32" spans="1:6" x14ac:dyDescent="0.25">
      <c r="A32" s="67" t="s">
        <v>122</v>
      </c>
      <c r="B32" s="65">
        <v>0.45700000000000002</v>
      </c>
      <c r="C32" s="65">
        <v>0.48799999999999999</v>
      </c>
      <c r="D32" s="65">
        <v>0.51549999999999996</v>
      </c>
      <c r="E32" s="65">
        <v>0.55000000000000004</v>
      </c>
      <c r="F32" s="65">
        <v>0.58299999999999996</v>
      </c>
    </row>
    <row r="33" spans="1:6" x14ac:dyDescent="0.25">
      <c r="A33" s="67" t="s">
        <v>121</v>
      </c>
      <c r="B33" s="65">
        <v>0.45400000000000001</v>
      </c>
      <c r="C33" s="65">
        <v>0.47899999999999998</v>
      </c>
      <c r="D33" s="65">
        <v>0.51800000000000002</v>
      </c>
      <c r="E33" s="65">
        <v>0.55200000000000005</v>
      </c>
      <c r="F33" s="65">
        <v>0.56699999999999995</v>
      </c>
    </row>
    <row r="34" spans="1:6" x14ac:dyDescent="0.25">
      <c r="A34" s="67" t="s">
        <v>120</v>
      </c>
      <c r="B34" s="65">
        <v>0.45200000000000001</v>
      </c>
      <c r="C34" s="65">
        <v>0.47599999999999998</v>
      </c>
      <c r="D34" s="65">
        <v>0.51600000000000001</v>
      </c>
      <c r="E34" s="65">
        <v>0.54700000000000004</v>
      </c>
      <c r="F34" s="65">
        <v>0.55500000000000005</v>
      </c>
    </row>
    <row r="35" spans="1:6" x14ac:dyDescent="0.25">
      <c r="A35" s="67" t="s">
        <v>119</v>
      </c>
      <c r="B35" s="65">
        <v>0.45900000000000002</v>
      </c>
      <c r="C35" s="65">
        <v>0.46800000000000003</v>
      </c>
      <c r="D35" s="65">
        <v>0.50600000000000001</v>
      </c>
      <c r="E35" s="65">
        <v>0.52600000000000002</v>
      </c>
      <c r="F35" s="65">
        <v>0.55600000000000005</v>
      </c>
    </row>
    <row r="36" spans="1:6" x14ac:dyDescent="0.25">
      <c r="A36" s="67" t="s">
        <v>118</v>
      </c>
      <c r="B36" s="65">
        <v>0.44900000000000001</v>
      </c>
      <c r="C36" s="65">
        <v>0.46300000000000002</v>
      </c>
      <c r="D36" s="65">
        <v>0.48899999999999999</v>
      </c>
      <c r="E36" s="65">
        <v>0.51900000000000002</v>
      </c>
      <c r="F36" s="65">
        <v>0.54400000000000004</v>
      </c>
    </row>
    <row r="37" spans="1:6" x14ac:dyDescent="0.25">
      <c r="A37" s="67" t="s">
        <v>117</v>
      </c>
      <c r="B37" s="65">
        <v>0.442</v>
      </c>
      <c r="C37" s="65">
        <v>0.45700000000000002</v>
      </c>
      <c r="D37" s="65">
        <v>0.47899999999999998</v>
      </c>
      <c r="E37" s="65">
        <v>0.51900000000000002</v>
      </c>
      <c r="F37" s="65">
        <v>0.54</v>
      </c>
    </row>
    <row r="38" spans="1:6" x14ac:dyDescent="0.25">
      <c r="A38" s="67" t="s">
        <v>116</v>
      </c>
      <c r="B38" s="65">
        <v>0.42399999999999999</v>
      </c>
      <c r="C38" s="65">
        <v>0.45500000000000002</v>
      </c>
      <c r="D38" s="65">
        <v>0.47749999999999998</v>
      </c>
      <c r="E38" s="65">
        <v>0.52500000000000002</v>
      </c>
      <c r="F38" s="65">
        <v>0.54</v>
      </c>
    </row>
    <row r="39" spans="1:6" x14ac:dyDescent="0.25">
      <c r="A39" s="67" t="s">
        <v>115</v>
      </c>
      <c r="B39" s="65">
        <v>0.41299999999999998</v>
      </c>
      <c r="C39" s="65">
        <v>0.45100000000000001</v>
      </c>
      <c r="D39" s="65">
        <v>0.47349999999999998</v>
      </c>
      <c r="E39" s="65">
        <v>0.51900000000000002</v>
      </c>
      <c r="F39" s="65">
        <v>0.53700000000000003</v>
      </c>
    </row>
    <row r="40" spans="1:6" x14ac:dyDescent="0.25">
      <c r="A40" s="67" t="s">
        <v>114</v>
      </c>
      <c r="B40" s="65">
        <v>0.41899999999999998</v>
      </c>
      <c r="C40" s="65">
        <v>0.44700000000000001</v>
      </c>
      <c r="D40" s="65">
        <v>0.48049999999999998</v>
      </c>
      <c r="E40" s="65">
        <v>0.51600000000000001</v>
      </c>
      <c r="F40" s="65">
        <v>0.53500000000000003</v>
      </c>
    </row>
    <row r="41" spans="1:6" x14ac:dyDescent="0.25">
      <c r="A41" s="67">
        <v>2014</v>
      </c>
      <c r="B41" s="65">
        <v>0.41599999999999998</v>
      </c>
      <c r="C41" s="65">
        <v>0.43149999999999999</v>
      </c>
      <c r="D41" s="65">
        <v>0.48349999999999999</v>
      </c>
      <c r="E41" s="65">
        <v>0.51349999999999996</v>
      </c>
      <c r="F41" s="65">
        <v>0.53300000000000003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8"/>
  <dimension ref="A1:V44"/>
  <sheetViews>
    <sheetView showGridLines="0" topLeftCell="A22" zoomScale="85" zoomScaleNormal="85" workbookViewId="0">
      <selection activeCell="L15" sqref="A15:L15"/>
    </sheetView>
  </sheetViews>
  <sheetFormatPr defaultColWidth="9.140625" defaultRowHeight="12.75" x14ac:dyDescent="0.2"/>
  <cols>
    <col min="1" max="2" width="9.140625" style="27"/>
    <col min="3" max="3" width="9.140625" style="53"/>
    <col min="4" max="4" width="10.5703125" style="27" bestFit="1" customWidth="1"/>
    <col min="5" max="6" width="9.140625" style="27"/>
    <col min="7" max="7" width="9.140625" style="53"/>
    <col min="8" max="8" width="10.5703125" style="27" bestFit="1" customWidth="1"/>
    <col min="9" max="16384" width="9.140625" style="27"/>
  </cols>
  <sheetData>
    <row r="1" spans="1:9" x14ac:dyDescent="0.2">
      <c r="C1" s="63"/>
      <c r="D1" s="27" t="s">
        <v>65</v>
      </c>
      <c r="E1" s="27" t="s">
        <v>133</v>
      </c>
      <c r="F1" s="27" t="s">
        <v>132</v>
      </c>
      <c r="G1" s="27" t="s">
        <v>131</v>
      </c>
      <c r="H1" s="27" t="s">
        <v>130</v>
      </c>
      <c r="I1" s="27" t="s">
        <v>66</v>
      </c>
    </row>
    <row r="2" spans="1:9" x14ac:dyDescent="0.2">
      <c r="C2" s="53">
        <v>1997</v>
      </c>
      <c r="D2" s="61">
        <v>0.35026499999999999</v>
      </c>
      <c r="E2" s="61">
        <v>0.499834</v>
      </c>
      <c r="F2" s="61">
        <v>0.39632650000000003</v>
      </c>
      <c r="G2" s="61">
        <v>0.45443299999999998</v>
      </c>
      <c r="H2" s="61">
        <v>0.221973</v>
      </c>
      <c r="I2" s="61">
        <v>0.80034989999999995</v>
      </c>
    </row>
    <row r="3" spans="1:9" x14ac:dyDescent="0.2">
      <c r="C3" s="62" t="s">
        <v>129</v>
      </c>
      <c r="D3" s="61"/>
      <c r="E3" s="61"/>
      <c r="F3" s="61"/>
      <c r="G3" s="61"/>
      <c r="H3" s="61"/>
      <c r="I3" s="61"/>
    </row>
    <row r="4" spans="1:9" x14ac:dyDescent="0.2">
      <c r="C4" s="62" t="s">
        <v>128</v>
      </c>
      <c r="D4" s="61"/>
      <c r="E4" s="61"/>
      <c r="F4" s="61"/>
      <c r="G4" s="61"/>
      <c r="H4" s="61"/>
      <c r="I4" s="61"/>
    </row>
    <row r="5" spans="1:9" x14ac:dyDescent="0.2">
      <c r="C5" s="62" t="s">
        <v>127</v>
      </c>
      <c r="D5" s="61"/>
      <c r="E5" s="61"/>
      <c r="F5" s="61"/>
      <c r="G5" s="61"/>
      <c r="H5" s="61"/>
      <c r="I5" s="61"/>
    </row>
    <row r="6" spans="1:9" x14ac:dyDescent="0.2">
      <c r="C6" s="62" t="s">
        <v>126</v>
      </c>
      <c r="D6" s="61">
        <v>0.29363299999999998</v>
      </c>
      <c r="E6" s="61">
        <v>0.49972299999999997</v>
      </c>
      <c r="F6" s="61">
        <v>0.31617990000000001</v>
      </c>
      <c r="G6" s="61">
        <v>0.48289399999999999</v>
      </c>
      <c r="H6" s="61">
        <v>0.130607</v>
      </c>
      <c r="I6" s="61">
        <v>0.69087710000000002</v>
      </c>
    </row>
    <row r="7" spans="1:9" x14ac:dyDescent="0.2">
      <c r="C7" s="62" t="s">
        <v>125</v>
      </c>
      <c r="D7" s="61">
        <v>0.31211800000000001</v>
      </c>
      <c r="E7" s="61">
        <v>0.49892599999999998</v>
      </c>
      <c r="F7" s="61">
        <v>0.33758660000000001</v>
      </c>
      <c r="G7" s="61">
        <v>0.472304</v>
      </c>
      <c r="H7" s="61">
        <v>0.14599100000000001</v>
      </c>
      <c r="I7" s="61">
        <v>0.70636750000000004</v>
      </c>
    </row>
    <row r="8" spans="1:9" x14ac:dyDescent="0.2">
      <c r="C8" s="62" t="s">
        <v>124</v>
      </c>
      <c r="D8" s="61"/>
      <c r="E8" s="61"/>
      <c r="F8" s="61"/>
      <c r="G8" s="61"/>
      <c r="H8" s="61"/>
      <c r="I8" s="61"/>
    </row>
    <row r="9" spans="1:9" x14ac:dyDescent="0.2">
      <c r="C9" s="62" t="s">
        <v>123</v>
      </c>
      <c r="D9" s="61"/>
      <c r="E9" s="61"/>
      <c r="F9" s="61"/>
      <c r="G9" s="61"/>
      <c r="H9" s="61"/>
      <c r="I9" s="61"/>
    </row>
    <row r="10" spans="1:9" x14ac:dyDescent="0.2">
      <c r="C10" s="62" t="s">
        <v>122</v>
      </c>
      <c r="D10" s="61"/>
      <c r="E10" s="61"/>
      <c r="F10" s="61"/>
      <c r="G10" s="61"/>
      <c r="H10" s="61"/>
      <c r="I10" s="61"/>
    </row>
    <row r="11" spans="1:9" x14ac:dyDescent="0.2">
      <c r="C11" s="62" t="s">
        <v>121</v>
      </c>
      <c r="D11" s="61"/>
      <c r="E11" s="61"/>
      <c r="F11" s="61"/>
      <c r="G11" s="61"/>
      <c r="H11" s="61"/>
      <c r="I11" s="61"/>
    </row>
    <row r="12" spans="1:9" x14ac:dyDescent="0.2">
      <c r="C12" s="62" t="s">
        <v>120</v>
      </c>
      <c r="D12" s="61">
        <v>0.38231599999999999</v>
      </c>
      <c r="E12" s="61">
        <v>0.50000299999999998</v>
      </c>
      <c r="F12" s="61">
        <v>0.41425709999999999</v>
      </c>
      <c r="G12" s="61">
        <v>0.447463</v>
      </c>
      <c r="H12" s="61">
        <v>0.201154</v>
      </c>
      <c r="I12" s="61">
        <v>0.78957270000000002</v>
      </c>
    </row>
    <row r="13" spans="1:9" x14ac:dyDescent="0.2">
      <c r="C13" s="62" t="s">
        <v>119</v>
      </c>
      <c r="D13" s="61"/>
      <c r="E13" s="61"/>
      <c r="F13" s="61"/>
      <c r="G13" s="61"/>
      <c r="H13" s="61"/>
      <c r="I13" s="61"/>
    </row>
    <row r="14" spans="1:9" ht="15.75" x14ac:dyDescent="0.25">
      <c r="B14" s="52"/>
      <c r="C14" s="62" t="s">
        <v>118</v>
      </c>
      <c r="D14" s="61">
        <v>0.395648</v>
      </c>
      <c r="E14" s="61">
        <v>0.49877500000000002</v>
      </c>
      <c r="F14" s="61">
        <v>0.41397410000000001</v>
      </c>
      <c r="G14" s="61">
        <v>0.43025200000000002</v>
      </c>
      <c r="H14" s="61">
        <v>0.15707599999999999</v>
      </c>
      <c r="I14" s="61">
        <v>0.73539529999999997</v>
      </c>
    </row>
    <row r="15" spans="1:9" x14ac:dyDescent="0.2">
      <c r="C15" s="62" t="s">
        <v>117</v>
      </c>
      <c r="D15" s="61">
        <v>0.39555299999999999</v>
      </c>
      <c r="E15" s="61">
        <v>0.49899900000000003</v>
      </c>
      <c r="F15" s="61">
        <v>0.41401739999999998</v>
      </c>
      <c r="G15" s="61">
        <v>0.43216900000000003</v>
      </c>
      <c r="H15" s="61">
        <v>0.157637</v>
      </c>
      <c r="I15" s="61">
        <v>0.73802579999999995</v>
      </c>
    </row>
    <row r="16" spans="1:9" ht="15.75" x14ac:dyDescent="0.25">
      <c r="A16" s="52"/>
      <c r="C16" s="62" t="s">
        <v>116</v>
      </c>
      <c r="D16" s="61">
        <v>0.385519</v>
      </c>
      <c r="E16" s="61">
        <v>0.49742500000000001</v>
      </c>
      <c r="F16" s="61">
        <v>0.4032618</v>
      </c>
      <c r="G16" s="61">
        <v>0.42998700000000001</v>
      </c>
      <c r="H16" s="61">
        <v>0.14924100000000001</v>
      </c>
      <c r="I16" s="61">
        <v>0.7192267</v>
      </c>
    </row>
    <row r="17" spans="3:22" x14ac:dyDescent="0.2">
      <c r="C17" s="62" t="s">
        <v>115</v>
      </c>
      <c r="D17" s="61"/>
      <c r="E17" s="61"/>
      <c r="F17" s="61"/>
      <c r="G17" s="61"/>
      <c r="H17" s="61"/>
      <c r="I17" s="61"/>
    </row>
    <row r="18" spans="3:22" x14ac:dyDescent="0.2">
      <c r="C18" s="62" t="s">
        <v>114</v>
      </c>
      <c r="D18" s="61">
        <v>0.42471100000000001</v>
      </c>
      <c r="E18" s="61">
        <v>0.49916700000000003</v>
      </c>
      <c r="F18" s="61">
        <v>0.44377650000000002</v>
      </c>
      <c r="G18" s="61">
        <v>0.43834099999999998</v>
      </c>
      <c r="H18" s="61">
        <v>0.17994199999999999</v>
      </c>
      <c r="I18" s="61">
        <v>0.79227060000000005</v>
      </c>
    </row>
    <row r="19" spans="3:22" x14ac:dyDescent="0.2">
      <c r="C19" s="62" t="s">
        <v>113</v>
      </c>
      <c r="D19" s="61"/>
      <c r="E19" s="61"/>
      <c r="F19" s="61"/>
      <c r="G19" s="61"/>
      <c r="H19" s="61"/>
      <c r="I19" s="61"/>
    </row>
    <row r="20" spans="3:22" x14ac:dyDescent="0.2">
      <c r="C20" s="53">
        <v>2015</v>
      </c>
      <c r="D20" s="61">
        <v>0.416217</v>
      </c>
      <c r="E20" s="61">
        <v>0.49995899999999999</v>
      </c>
      <c r="F20" s="61">
        <v>0.43001250000000002</v>
      </c>
      <c r="G20" s="61">
        <v>0.44002000000000002</v>
      </c>
      <c r="H20" s="61">
        <v>0.14647099999999999</v>
      </c>
      <c r="I20" s="61">
        <v>0.75709729999999997</v>
      </c>
    </row>
    <row r="21" spans="3:22" x14ac:dyDescent="0.2">
      <c r="F21" s="59"/>
      <c r="G21" s="58"/>
      <c r="H21" s="60"/>
      <c r="I21" s="57"/>
    </row>
    <row r="22" spans="3:22" x14ac:dyDescent="0.2">
      <c r="F22" s="59"/>
      <c r="G22" s="58"/>
      <c r="H22" s="57"/>
      <c r="I22" s="57"/>
    </row>
    <row r="23" spans="3:22" s="52" customFormat="1" ht="15.75" x14ac:dyDescent="0.25">
      <c r="C23" s="54"/>
      <c r="F23" s="27"/>
      <c r="G23" s="56"/>
      <c r="H23" s="55"/>
      <c r="I23" s="55"/>
    </row>
    <row r="24" spans="3:22" ht="15.75" x14ac:dyDescent="0.25">
      <c r="F24" s="52"/>
    </row>
    <row r="27" spans="3:22" ht="15.75" customHeight="1" x14ac:dyDescent="0.2">
      <c r="O27" s="139" t="s">
        <v>112</v>
      </c>
      <c r="P27" s="139"/>
      <c r="Q27" s="139"/>
      <c r="R27" s="139"/>
      <c r="S27" s="139"/>
      <c r="T27" s="139"/>
      <c r="U27" s="139"/>
      <c r="V27" s="139"/>
    </row>
    <row r="28" spans="3:22" x14ac:dyDescent="0.2">
      <c r="O28" s="139"/>
      <c r="P28" s="139"/>
      <c r="Q28" s="139"/>
      <c r="R28" s="139"/>
      <c r="S28" s="139"/>
      <c r="T28" s="139"/>
      <c r="U28" s="139"/>
      <c r="V28" s="139"/>
    </row>
    <row r="29" spans="3:22" x14ac:dyDescent="0.2">
      <c r="O29" s="139"/>
      <c r="P29" s="139"/>
      <c r="Q29" s="139"/>
      <c r="R29" s="139"/>
      <c r="S29" s="139"/>
      <c r="T29" s="139"/>
      <c r="U29" s="139"/>
      <c r="V29" s="139"/>
    </row>
    <row r="30" spans="3:22" x14ac:dyDescent="0.2">
      <c r="O30" s="139"/>
      <c r="P30" s="139"/>
      <c r="Q30" s="139"/>
      <c r="R30" s="139"/>
      <c r="S30" s="139"/>
      <c r="T30" s="139"/>
      <c r="U30" s="139"/>
      <c r="V30" s="139"/>
    </row>
    <row r="31" spans="3:22" x14ac:dyDescent="0.2">
      <c r="O31" s="139"/>
      <c r="P31" s="139"/>
      <c r="Q31" s="139"/>
      <c r="R31" s="139"/>
      <c r="S31" s="139"/>
      <c r="T31" s="139"/>
      <c r="U31" s="139"/>
      <c r="V31" s="139"/>
    </row>
    <row r="32" spans="3:22" x14ac:dyDescent="0.2">
      <c r="O32" s="139"/>
      <c r="P32" s="139"/>
      <c r="Q32" s="139"/>
      <c r="R32" s="139"/>
      <c r="S32" s="139"/>
      <c r="T32" s="139"/>
      <c r="U32" s="139"/>
      <c r="V32" s="139"/>
    </row>
    <row r="33" spans="3:22" x14ac:dyDescent="0.2">
      <c r="O33" s="139"/>
      <c r="P33" s="139"/>
      <c r="Q33" s="139"/>
      <c r="R33" s="139"/>
      <c r="S33" s="139"/>
      <c r="T33" s="139"/>
      <c r="U33" s="139"/>
      <c r="V33" s="139"/>
    </row>
    <row r="34" spans="3:22" x14ac:dyDescent="0.2">
      <c r="O34" s="139"/>
      <c r="P34" s="139"/>
      <c r="Q34" s="139"/>
      <c r="R34" s="139"/>
      <c r="S34" s="139"/>
      <c r="T34" s="139"/>
      <c r="U34" s="139"/>
      <c r="V34" s="139"/>
    </row>
    <row r="35" spans="3:22" x14ac:dyDescent="0.2">
      <c r="O35" s="139"/>
      <c r="P35" s="139"/>
      <c r="Q35" s="139"/>
      <c r="R35" s="139"/>
      <c r="S35" s="139"/>
      <c r="T35" s="139"/>
      <c r="U35" s="139"/>
      <c r="V35" s="139"/>
    </row>
    <row r="36" spans="3:22" x14ac:dyDescent="0.2">
      <c r="O36" s="139"/>
      <c r="P36" s="139"/>
      <c r="Q36" s="139"/>
      <c r="R36" s="139"/>
      <c r="S36" s="139"/>
      <c r="T36" s="139"/>
      <c r="U36" s="139"/>
      <c r="V36" s="139"/>
    </row>
    <row r="37" spans="3:22" x14ac:dyDescent="0.2">
      <c r="O37" s="139"/>
      <c r="P37" s="139"/>
      <c r="Q37" s="139"/>
      <c r="R37" s="139"/>
      <c r="S37" s="139"/>
      <c r="T37" s="139"/>
      <c r="U37" s="139"/>
      <c r="V37" s="139"/>
    </row>
    <row r="38" spans="3:22" x14ac:dyDescent="0.2">
      <c r="O38" s="139"/>
      <c r="P38" s="139"/>
      <c r="Q38" s="139"/>
      <c r="R38" s="139"/>
      <c r="S38" s="139"/>
      <c r="T38" s="139"/>
      <c r="U38" s="139"/>
      <c r="V38" s="139"/>
    </row>
    <row r="39" spans="3:22" x14ac:dyDescent="0.2">
      <c r="O39" s="139"/>
      <c r="P39" s="139"/>
      <c r="Q39" s="139"/>
      <c r="R39" s="139"/>
      <c r="S39" s="139"/>
      <c r="T39" s="139"/>
      <c r="U39" s="139"/>
      <c r="V39" s="139"/>
    </row>
    <row r="44" spans="3:22" s="52" customFormat="1" ht="15.75" x14ac:dyDescent="0.25">
      <c r="C44" s="54"/>
      <c r="G44" s="54"/>
    </row>
  </sheetData>
  <mergeCells count="1">
    <mergeCell ref="O27:V39"/>
  </mergeCells>
  <pageMargins left="0.75" right="0.75" top="1" bottom="1" header="0.5" footer="0.5"/>
  <pageSetup orientation="portrait" r:id="rId1"/>
  <headerFooter alignWithMargins="0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1481"/>
  <sheetViews>
    <sheetView workbookViewId="0"/>
  </sheetViews>
  <sheetFormatPr defaultRowHeight="15" x14ac:dyDescent="0.25"/>
  <sheetData>
    <row r="1" spans="1:5" x14ac:dyDescent="0.25">
      <c r="A1" t="s">
        <v>187</v>
      </c>
      <c r="B1" t="s">
        <v>198</v>
      </c>
      <c r="C1" t="s">
        <v>519</v>
      </c>
      <c r="D1" t="s">
        <v>2000</v>
      </c>
      <c r="E1" t="s">
        <v>2041</v>
      </c>
    </row>
    <row r="2" spans="1:5" x14ac:dyDescent="0.25">
      <c r="A2" t="s">
        <v>188</v>
      </c>
      <c r="B2" t="s">
        <v>199</v>
      </c>
      <c r="C2" t="s">
        <v>520</v>
      </c>
      <c r="D2" t="s">
        <v>2001</v>
      </c>
      <c r="E2" s="138">
        <v>29.14268862185456</v>
      </c>
    </row>
    <row r="3" spans="1:5" x14ac:dyDescent="0.25">
      <c r="A3" t="s">
        <v>188</v>
      </c>
      <c r="B3" t="s">
        <v>200</v>
      </c>
      <c r="C3" t="s">
        <v>521</v>
      </c>
      <c r="D3" t="s">
        <v>2001</v>
      </c>
      <c r="E3" s="138">
        <v>29.884736435949542</v>
      </c>
    </row>
    <row r="4" spans="1:5" x14ac:dyDescent="0.25">
      <c r="A4" t="s">
        <v>188</v>
      </c>
      <c r="B4" t="s">
        <v>200</v>
      </c>
      <c r="C4" t="s">
        <v>522</v>
      </c>
      <c r="D4" t="s">
        <v>2001</v>
      </c>
      <c r="E4" s="138">
        <v>30.058011628825579</v>
      </c>
    </row>
    <row r="5" spans="1:5" x14ac:dyDescent="0.25">
      <c r="A5" t="s">
        <v>188</v>
      </c>
      <c r="B5" t="s">
        <v>200</v>
      </c>
      <c r="C5" t="s">
        <v>523</v>
      </c>
      <c r="D5" t="s">
        <v>2001</v>
      </c>
      <c r="E5" s="138">
        <v>28.006652823373599</v>
      </c>
    </row>
    <row r="6" spans="1:5" x14ac:dyDescent="0.25">
      <c r="A6" t="s">
        <v>188</v>
      </c>
      <c r="B6" t="s">
        <v>200</v>
      </c>
      <c r="C6" t="s">
        <v>524</v>
      </c>
      <c r="D6" t="s">
        <v>2001</v>
      </c>
      <c r="E6" s="138">
        <v>27.876406064687309</v>
      </c>
    </row>
    <row r="7" spans="1:5" x14ac:dyDescent="0.25">
      <c r="A7" t="s">
        <v>188</v>
      </c>
      <c r="B7" t="s">
        <v>201</v>
      </c>
      <c r="C7" t="s">
        <v>525</v>
      </c>
      <c r="D7" t="s">
        <v>2001</v>
      </c>
      <c r="E7" s="138">
        <v>27.763699954392969</v>
      </c>
    </row>
    <row r="8" spans="1:5" x14ac:dyDescent="0.25">
      <c r="A8" t="s">
        <v>188</v>
      </c>
      <c r="B8" t="s">
        <v>201</v>
      </c>
      <c r="C8" t="s">
        <v>526</v>
      </c>
      <c r="D8" t="s">
        <v>2001</v>
      </c>
      <c r="E8" s="138">
        <v>27.47714573676846</v>
      </c>
    </row>
    <row r="9" spans="1:5" x14ac:dyDescent="0.25">
      <c r="A9" t="s">
        <v>188</v>
      </c>
      <c r="B9" t="s">
        <v>201</v>
      </c>
      <c r="C9" t="s">
        <v>527</v>
      </c>
      <c r="D9" t="s">
        <v>2001</v>
      </c>
      <c r="E9" s="138">
        <v>31.807993658430821</v>
      </c>
    </row>
    <row r="10" spans="1:5" x14ac:dyDescent="0.25">
      <c r="A10" t="s">
        <v>188</v>
      </c>
      <c r="B10" t="s">
        <v>201</v>
      </c>
      <c r="C10" t="s">
        <v>528</v>
      </c>
      <c r="D10" t="s">
        <v>2001</v>
      </c>
      <c r="E10" s="138">
        <v>32.054368947287827</v>
      </c>
    </row>
    <row r="11" spans="1:5" x14ac:dyDescent="0.25">
      <c r="A11" t="s">
        <v>188</v>
      </c>
      <c r="B11" t="s">
        <v>202</v>
      </c>
      <c r="C11" t="s">
        <v>529</v>
      </c>
      <c r="D11" t="s">
        <v>2001</v>
      </c>
      <c r="E11" s="138">
        <v>30.198123321383729</v>
      </c>
    </row>
    <row r="12" spans="1:5" x14ac:dyDescent="0.25">
      <c r="A12" t="s">
        <v>188</v>
      </c>
      <c r="B12" t="s">
        <v>202</v>
      </c>
      <c r="C12" t="s">
        <v>530</v>
      </c>
      <c r="D12" t="s">
        <v>2001</v>
      </c>
      <c r="E12" s="138">
        <v>28.045609414138092</v>
      </c>
    </row>
    <row r="13" spans="1:5" x14ac:dyDescent="0.25">
      <c r="A13" t="s">
        <v>188</v>
      </c>
      <c r="B13" t="s">
        <v>203</v>
      </c>
      <c r="C13" t="s">
        <v>531</v>
      </c>
      <c r="D13" t="s">
        <v>2001</v>
      </c>
      <c r="E13" s="138">
        <v>29.62767232426021</v>
      </c>
    </row>
    <row r="14" spans="1:5" x14ac:dyDescent="0.25">
      <c r="A14" t="s">
        <v>188</v>
      </c>
      <c r="B14" t="s">
        <v>203</v>
      </c>
      <c r="C14" t="s">
        <v>532</v>
      </c>
      <c r="D14" t="s">
        <v>2001</v>
      </c>
      <c r="E14" s="138">
        <v>28.63940551180869</v>
      </c>
    </row>
    <row r="15" spans="1:5" x14ac:dyDescent="0.25">
      <c r="A15" t="s">
        <v>188</v>
      </c>
      <c r="B15" t="s">
        <v>204</v>
      </c>
      <c r="C15" t="s">
        <v>533</v>
      </c>
      <c r="D15" t="s">
        <v>2001</v>
      </c>
      <c r="E15" s="138">
        <v>29.726871880834789</v>
      </c>
    </row>
    <row r="16" spans="1:5" x14ac:dyDescent="0.25">
      <c r="A16" t="s">
        <v>188</v>
      </c>
      <c r="B16" t="s">
        <v>204</v>
      </c>
      <c r="C16" t="s">
        <v>534</v>
      </c>
      <c r="D16" t="s">
        <v>2001</v>
      </c>
      <c r="E16" s="138">
        <v>29.047379320319219</v>
      </c>
    </row>
    <row r="17" spans="1:5" x14ac:dyDescent="0.25">
      <c r="A17" t="s">
        <v>188</v>
      </c>
      <c r="B17" t="s">
        <v>205</v>
      </c>
      <c r="C17" t="s">
        <v>535</v>
      </c>
      <c r="D17" t="s">
        <v>2001</v>
      </c>
      <c r="E17" s="138">
        <v>34.539001434721847</v>
      </c>
    </row>
    <row r="18" spans="1:5" x14ac:dyDescent="0.25">
      <c r="A18" t="s">
        <v>188</v>
      </c>
      <c r="B18" t="s">
        <v>205</v>
      </c>
      <c r="C18" t="s">
        <v>536</v>
      </c>
      <c r="D18" t="s">
        <v>2001</v>
      </c>
      <c r="E18" s="138">
        <v>28.432231446728611</v>
      </c>
    </row>
    <row r="19" spans="1:5" x14ac:dyDescent="0.25">
      <c r="A19" t="s">
        <v>188</v>
      </c>
      <c r="B19" t="s">
        <v>205</v>
      </c>
      <c r="C19" t="s">
        <v>537</v>
      </c>
      <c r="D19" t="s">
        <v>2001</v>
      </c>
      <c r="E19" s="138">
        <v>28.5077177030293</v>
      </c>
    </row>
    <row r="20" spans="1:5" x14ac:dyDescent="0.25">
      <c r="A20" t="s">
        <v>188</v>
      </c>
      <c r="B20" t="s">
        <v>205</v>
      </c>
      <c r="C20" t="s">
        <v>538</v>
      </c>
      <c r="D20" t="s">
        <v>2001</v>
      </c>
      <c r="E20" s="138">
        <v>30.38967519773156</v>
      </c>
    </row>
    <row r="21" spans="1:5" x14ac:dyDescent="0.25">
      <c r="A21" t="s">
        <v>188</v>
      </c>
      <c r="B21" t="s">
        <v>206</v>
      </c>
      <c r="C21" t="s">
        <v>539</v>
      </c>
      <c r="D21" t="s">
        <v>2001</v>
      </c>
      <c r="E21" s="138">
        <v>54.739538855678902</v>
      </c>
    </row>
    <row r="22" spans="1:5" x14ac:dyDescent="0.25">
      <c r="A22" t="s">
        <v>188</v>
      </c>
      <c r="B22" t="s">
        <v>206</v>
      </c>
      <c r="C22" t="s">
        <v>540</v>
      </c>
      <c r="D22" t="s">
        <v>2001</v>
      </c>
      <c r="E22" s="138">
        <v>23.840206185567009</v>
      </c>
    </row>
    <row r="23" spans="1:5" x14ac:dyDescent="0.25">
      <c r="A23" t="s">
        <v>188</v>
      </c>
      <c r="B23" t="s">
        <v>206</v>
      </c>
      <c r="C23" t="s">
        <v>541</v>
      </c>
      <c r="D23" t="s">
        <v>2001</v>
      </c>
      <c r="E23" s="138">
        <v>38.524590163934427</v>
      </c>
    </row>
    <row r="24" spans="1:5" x14ac:dyDescent="0.25">
      <c r="A24" t="s">
        <v>188</v>
      </c>
      <c r="B24" t="s">
        <v>206</v>
      </c>
      <c r="C24" t="s">
        <v>542</v>
      </c>
      <c r="D24" t="s">
        <v>2001</v>
      </c>
      <c r="E24" s="138">
        <v>34.45680660374645</v>
      </c>
    </row>
    <row r="25" spans="1:5" x14ac:dyDescent="0.25">
      <c r="A25" t="s">
        <v>188</v>
      </c>
      <c r="B25" t="s">
        <v>206</v>
      </c>
      <c r="C25" t="s">
        <v>543</v>
      </c>
      <c r="D25" t="s">
        <v>2001</v>
      </c>
      <c r="E25" s="138">
        <v>32.517524269440393</v>
      </c>
    </row>
    <row r="26" spans="1:5" x14ac:dyDescent="0.25">
      <c r="A26" t="s">
        <v>188</v>
      </c>
      <c r="B26" t="s">
        <v>206</v>
      </c>
      <c r="C26" t="s">
        <v>544</v>
      </c>
      <c r="D26" t="s">
        <v>2001</v>
      </c>
      <c r="E26" s="138">
        <v>15.31440162271805</v>
      </c>
    </row>
    <row r="27" spans="1:5" x14ac:dyDescent="0.25">
      <c r="A27" t="s">
        <v>188</v>
      </c>
      <c r="B27" t="s">
        <v>206</v>
      </c>
      <c r="C27" t="s">
        <v>545</v>
      </c>
      <c r="D27" t="s">
        <v>2001</v>
      </c>
      <c r="E27" s="138"/>
    </row>
    <row r="28" spans="1:5" x14ac:dyDescent="0.25">
      <c r="A28" t="s">
        <v>188</v>
      </c>
      <c r="B28" t="s">
        <v>206</v>
      </c>
      <c r="C28" t="s">
        <v>546</v>
      </c>
      <c r="D28" t="s">
        <v>2001</v>
      </c>
      <c r="E28" s="138">
        <v>32.508833922261481</v>
      </c>
    </row>
    <row r="29" spans="1:5" x14ac:dyDescent="0.25">
      <c r="A29" t="s">
        <v>188</v>
      </c>
      <c r="B29" t="s">
        <v>206</v>
      </c>
      <c r="C29" t="s">
        <v>547</v>
      </c>
      <c r="D29" t="s">
        <v>2001</v>
      </c>
      <c r="E29" s="138">
        <v>24.7578040904198</v>
      </c>
    </row>
    <row r="30" spans="1:5" x14ac:dyDescent="0.25">
      <c r="A30" t="s">
        <v>188</v>
      </c>
      <c r="B30" t="s">
        <v>206</v>
      </c>
      <c r="C30" t="s">
        <v>548</v>
      </c>
      <c r="D30" t="s">
        <v>2001</v>
      </c>
      <c r="E30" s="138">
        <v>15.686274509803919</v>
      </c>
    </row>
    <row r="31" spans="1:5" x14ac:dyDescent="0.25">
      <c r="A31" t="s">
        <v>188</v>
      </c>
      <c r="B31" t="s">
        <v>206</v>
      </c>
      <c r="C31" t="s">
        <v>549</v>
      </c>
      <c r="D31" t="s">
        <v>2001</v>
      </c>
      <c r="E31" s="138">
        <v>32.033426183844007</v>
      </c>
    </row>
    <row r="32" spans="1:5" x14ac:dyDescent="0.25">
      <c r="A32" t="s">
        <v>188</v>
      </c>
      <c r="B32" t="s">
        <v>206</v>
      </c>
      <c r="C32" t="s">
        <v>550</v>
      </c>
      <c r="D32" t="s">
        <v>2001</v>
      </c>
      <c r="E32" s="138">
        <v>19.289340101522839</v>
      </c>
    </row>
    <row r="33" spans="1:5" x14ac:dyDescent="0.25">
      <c r="A33" t="s">
        <v>188</v>
      </c>
      <c r="B33" t="s">
        <v>206</v>
      </c>
      <c r="C33" t="s">
        <v>551</v>
      </c>
      <c r="D33" t="s">
        <v>2001</v>
      </c>
      <c r="E33" s="138">
        <v>20.62062062062062</v>
      </c>
    </row>
    <row r="34" spans="1:5" x14ac:dyDescent="0.25">
      <c r="A34" t="s">
        <v>188</v>
      </c>
      <c r="B34" t="s">
        <v>206</v>
      </c>
      <c r="C34" t="s">
        <v>552</v>
      </c>
      <c r="D34" t="s">
        <v>2001</v>
      </c>
      <c r="E34" s="138">
        <v>28.795298726738491</v>
      </c>
    </row>
    <row r="35" spans="1:5" x14ac:dyDescent="0.25">
      <c r="A35" t="s">
        <v>188</v>
      </c>
      <c r="B35" t="s">
        <v>206</v>
      </c>
      <c r="C35" t="s">
        <v>553</v>
      </c>
      <c r="D35" t="s">
        <v>2001</v>
      </c>
      <c r="E35" s="138">
        <v>35.670607984628766</v>
      </c>
    </row>
    <row r="36" spans="1:5" x14ac:dyDescent="0.25">
      <c r="A36" t="s">
        <v>188</v>
      </c>
      <c r="B36" t="s">
        <v>206</v>
      </c>
      <c r="C36" t="s">
        <v>554</v>
      </c>
      <c r="D36" t="s">
        <v>2001</v>
      </c>
      <c r="E36" s="138">
        <v>16.565656565656571</v>
      </c>
    </row>
    <row r="37" spans="1:5" x14ac:dyDescent="0.25">
      <c r="A37" t="s">
        <v>188</v>
      </c>
      <c r="B37" t="s">
        <v>206</v>
      </c>
      <c r="C37" t="s">
        <v>555</v>
      </c>
      <c r="D37" t="s">
        <v>2001</v>
      </c>
      <c r="E37" s="138">
        <v>26.4855298556745</v>
      </c>
    </row>
    <row r="38" spans="1:5" x14ac:dyDescent="0.25">
      <c r="A38" t="s">
        <v>188</v>
      </c>
      <c r="B38" t="s">
        <v>206</v>
      </c>
      <c r="C38" t="s">
        <v>556</v>
      </c>
      <c r="D38" t="s">
        <v>2001</v>
      </c>
      <c r="E38" s="138">
        <v>37.06293706293706</v>
      </c>
    </row>
    <row r="39" spans="1:5" x14ac:dyDescent="0.25">
      <c r="A39" t="s">
        <v>188</v>
      </c>
      <c r="B39" t="s">
        <v>207</v>
      </c>
      <c r="C39" t="s">
        <v>557</v>
      </c>
      <c r="D39" t="s">
        <v>2002</v>
      </c>
      <c r="E39" s="138">
        <v>51.34246564593672</v>
      </c>
    </row>
    <row r="40" spans="1:5" x14ac:dyDescent="0.25">
      <c r="A40" t="s">
        <v>188</v>
      </c>
      <c r="B40" t="s">
        <v>208</v>
      </c>
      <c r="C40" t="s">
        <v>558</v>
      </c>
      <c r="D40" t="s">
        <v>2002</v>
      </c>
      <c r="E40" s="138">
        <v>50.183791811612757</v>
      </c>
    </row>
    <row r="41" spans="1:5" x14ac:dyDescent="0.25">
      <c r="A41" t="s">
        <v>188</v>
      </c>
      <c r="B41" t="s">
        <v>208</v>
      </c>
      <c r="C41" t="s">
        <v>559</v>
      </c>
      <c r="D41" t="s">
        <v>2002</v>
      </c>
      <c r="E41" s="138">
        <v>51.295844510110079</v>
      </c>
    </row>
    <row r="42" spans="1:5" x14ac:dyDescent="0.25">
      <c r="A42" t="s">
        <v>188</v>
      </c>
      <c r="B42" t="s">
        <v>208</v>
      </c>
      <c r="C42" t="s">
        <v>560</v>
      </c>
      <c r="D42" t="s">
        <v>2002</v>
      </c>
      <c r="E42" s="138">
        <v>52.794460828176462</v>
      </c>
    </row>
    <row r="43" spans="1:5" x14ac:dyDescent="0.25">
      <c r="A43" t="s">
        <v>188</v>
      </c>
      <c r="B43" t="s">
        <v>208</v>
      </c>
      <c r="C43" t="s">
        <v>561</v>
      </c>
      <c r="D43" t="s">
        <v>2002</v>
      </c>
      <c r="E43" s="138">
        <v>51.554518899794672</v>
      </c>
    </row>
    <row r="44" spans="1:5" x14ac:dyDescent="0.25">
      <c r="A44" t="s">
        <v>188</v>
      </c>
      <c r="B44" t="s">
        <v>209</v>
      </c>
      <c r="C44" t="s">
        <v>562</v>
      </c>
      <c r="D44" t="s">
        <v>2002</v>
      </c>
      <c r="E44" s="138">
        <v>53.240783544211453</v>
      </c>
    </row>
    <row r="45" spans="1:5" x14ac:dyDescent="0.25">
      <c r="A45" t="s">
        <v>188</v>
      </c>
      <c r="B45" t="s">
        <v>209</v>
      </c>
      <c r="C45" t="s">
        <v>563</v>
      </c>
      <c r="D45" t="s">
        <v>2002</v>
      </c>
      <c r="E45" s="138">
        <v>51.377284989107572</v>
      </c>
    </row>
    <row r="46" spans="1:5" x14ac:dyDescent="0.25">
      <c r="A46" t="s">
        <v>188</v>
      </c>
      <c r="B46" t="s">
        <v>209</v>
      </c>
      <c r="C46" t="s">
        <v>564</v>
      </c>
      <c r="D46" t="s">
        <v>2002</v>
      </c>
      <c r="E46" s="138">
        <v>49.752485826056457</v>
      </c>
    </row>
    <row r="47" spans="1:5" x14ac:dyDescent="0.25">
      <c r="A47" t="s">
        <v>188</v>
      </c>
      <c r="B47" t="s">
        <v>209</v>
      </c>
      <c r="C47" t="s">
        <v>565</v>
      </c>
      <c r="D47" t="s">
        <v>2002</v>
      </c>
      <c r="E47" s="138">
        <v>52.232703126661193</v>
      </c>
    </row>
    <row r="48" spans="1:5" x14ac:dyDescent="0.25">
      <c r="A48" t="s">
        <v>188</v>
      </c>
      <c r="B48" t="s">
        <v>210</v>
      </c>
      <c r="C48" t="s">
        <v>566</v>
      </c>
      <c r="D48" t="s">
        <v>2002</v>
      </c>
      <c r="E48" s="138">
        <v>51.246950926954312</v>
      </c>
    </row>
    <row r="49" spans="1:5" x14ac:dyDescent="0.25">
      <c r="A49" t="s">
        <v>188</v>
      </c>
      <c r="B49" t="s">
        <v>210</v>
      </c>
      <c r="C49" t="s">
        <v>567</v>
      </c>
      <c r="D49" t="s">
        <v>2002</v>
      </c>
      <c r="E49" s="138">
        <v>51.441749109208487</v>
      </c>
    </row>
    <row r="50" spans="1:5" x14ac:dyDescent="0.25">
      <c r="A50" t="s">
        <v>188</v>
      </c>
      <c r="B50" t="s">
        <v>211</v>
      </c>
      <c r="C50" t="s">
        <v>568</v>
      </c>
      <c r="D50" t="s">
        <v>2002</v>
      </c>
      <c r="E50" s="138">
        <v>50.878433263982323</v>
      </c>
    </row>
    <row r="51" spans="1:5" x14ac:dyDescent="0.25">
      <c r="A51" t="s">
        <v>188</v>
      </c>
      <c r="B51" t="s">
        <v>211</v>
      </c>
      <c r="C51" t="s">
        <v>569</v>
      </c>
      <c r="D51" t="s">
        <v>2002</v>
      </c>
      <c r="E51" s="138">
        <v>52.012121684572072</v>
      </c>
    </row>
    <row r="52" spans="1:5" x14ac:dyDescent="0.25">
      <c r="A52" t="s">
        <v>188</v>
      </c>
      <c r="B52" t="s">
        <v>212</v>
      </c>
      <c r="C52" t="s">
        <v>570</v>
      </c>
      <c r="D52" t="s">
        <v>2002</v>
      </c>
      <c r="E52" s="138">
        <v>46.803938194907722</v>
      </c>
    </row>
    <row r="53" spans="1:5" x14ac:dyDescent="0.25">
      <c r="A53" t="s">
        <v>188</v>
      </c>
      <c r="B53" t="s">
        <v>212</v>
      </c>
      <c r="C53" t="s">
        <v>571</v>
      </c>
      <c r="D53" t="s">
        <v>2002</v>
      </c>
      <c r="E53" s="138">
        <v>52.731940670672593</v>
      </c>
    </row>
    <row r="54" spans="1:5" x14ac:dyDescent="0.25">
      <c r="A54" t="s">
        <v>188</v>
      </c>
      <c r="B54" t="s">
        <v>213</v>
      </c>
      <c r="C54" t="s">
        <v>572</v>
      </c>
      <c r="D54" t="s">
        <v>2002</v>
      </c>
      <c r="E54" s="138">
        <v>47.219422274439673</v>
      </c>
    </row>
    <row r="55" spans="1:5" x14ac:dyDescent="0.25">
      <c r="A55" t="s">
        <v>188</v>
      </c>
      <c r="B55" t="s">
        <v>213</v>
      </c>
      <c r="C55" t="s">
        <v>573</v>
      </c>
      <c r="D55" t="s">
        <v>2002</v>
      </c>
      <c r="E55" s="138">
        <v>51.699878047301148</v>
      </c>
    </row>
    <row r="56" spans="1:5" x14ac:dyDescent="0.25">
      <c r="A56" t="s">
        <v>188</v>
      </c>
      <c r="B56" t="s">
        <v>213</v>
      </c>
      <c r="C56" t="s">
        <v>574</v>
      </c>
      <c r="D56" t="s">
        <v>2002</v>
      </c>
      <c r="E56" s="138">
        <v>50.282774914289497</v>
      </c>
    </row>
    <row r="57" spans="1:5" x14ac:dyDescent="0.25">
      <c r="A57" t="s">
        <v>188</v>
      </c>
      <c r="B57" t="s">
        <v>213</v>
      </c>
      <c r="C57" t="s">
        <v>575</v>
      </c>
      <c r="D57" t="s">
        <v>2002</v>
      </c>
      <c r="E57" s="138">
        <v>52.938409010904373</v>
      </c>
    </row>
    <row r="58" spans="1:5" x14ac:dyDescent="0.25">
      <c r="A58" t="s">
        <v>188</v>
      </c>
      <c r="B58" t="s">
        <v>214</v>
      </c>
      <c r="C58" t="s">
        <v>576</v>
      </c>
      <c r="D58" t="s">
        <v>2002</v>
      </c>
      <c r="E58" s="138">
        <v>40.990606319385137</v>
      </c>
    </row>
    <row r="59" spans="1:5" x14ac:dyDescent="0.25">
      <c r="A59" t="s">
        <v>188</v>
      </c>
      <c r="B59" t="s">
        <v>214</v>
      </c>
      <c r="C59" t="s">
        <v>577</v>
      </c>
      <c r="D59" t="s">
        <v>2002</v>
      </c>
      <c r="E59" s="138">
        <v>66.237113402061851</v>
      </c>
    </row>
    <row r="60" spans="1:5" x14ac:dyDescent="0.25">
      <c r="A60" t="s">
        <v>188</v>
      </c>
      <c r="B60" t="s">
        <v>214</v>
      </c>
      <c r="C60" t="s">
        <v>578</v>
      </c>
      <c r="D60" t="s">
        <v>2002</v>
      </c>
      <c r="E60" s="138">
        <v>54.098360655737707</v>
      </c>
    </row>
    <row r="61" spans="1:5" x14ac:dyDescent="0.25">
      <c r="A61" t="s">
        <v>188</v>
      </c>
      <c r="B61" t="s">
        <v>214</v>
      </c>
      <c r="C61" t="s">
        <v>579</v>
      </c>
      <c r="D61" t="s">
        <v>2002</v>
      </c>
      <c r="E61" s="138">
        <v>53.936967252240272</v>
      </c>
    </row>
    <row r="62" spans="1:5" x14ac:dyDescent="0.25">
      <c r="A62" t="s">
        <v>188</v>
      </c>
      <c r="B62" t="s">
        <v>214</v>
      </c>
      <c r="C62" t="s">
        <v>580</v>
      </c>
      <c r="D62" t="s">
        <v>2002</v>
      </c>
      <c r="E62" s="138">
        <v>52.269026321191888</v>
      </c>
    </row>
    <row r="63" spans="1:5" x14ac:dyDescent="0.25">
      <c r="A63" t="s">
        <v>188</v>
      </c>
      <c r="B63" t="s">
        <v>214</v>
      </c>
      <c r="C63" t="s">
        <v>581</v>
      </c>
      <c r="D63" t="s">
        <v>2002</v>
      </c>
      <c r="E63" s="138">
        <v>61.967545638945232</v>
      </c>
    </row>
    <row r="64" spans="1:5" x14ac:dyDescent="0.25">
      <c r="A64" t="s">
        <v>188</v>
      </c>
      <c r="B64" t="s">
        <v>214</v>
      </c>
      <c r="C64" t="s">
        <v>582</v>
      </c>
      <c r="D64" t="s">
        <v>2002</v>
      </c>
      <c r="E64" s="138"/>
    </row>
    <row r="65" spans="1:5" x14ac:dyDescent="0.25">
      <c r="A65" t="s">
        <v>188</v>
      </c>
      <c r="B65" t="s">
        <v>214</v>
      </c>
      <c r="C65" t="s">
        <v>583</v>
      </c>
      <c r="D65" t="s">
        <v>2002</v>
      </c>
      <c r="E65" s="138">
        <v>54.946996466431102</v>
      </c>
    </row>
    <row r="66" spans="1:5" x14ac:dyDescent="0.25">
      <c r="A66" t="s">
        <v>188</v>
      </c>
      <c r="B66" t="s">
        <v>214</v>
      </c>
      <c r="C66" t="s">
        <v>584</v>
      </c>
      <c r="D66" t="s">
        <v>2002</v>
      </c>
      <c r="E66" s="138">
        <v>38.213132400430567</v>
      </c>
    </row>
    <row r="67" spans="1:5" x14ac:dyDescent="0.25">
      <c r="A67" t="s">
        <v>188</v>
      </c>
      <c r="B67" t="s">
        <v>214</v>
      </c>
      <c r="C67" t="s">
        <v>585</v>
      </c>
      <c r="D67" t="s">
        <v>2002</v>
      </c>
      <c r="E67" s="138">
        <v>59.958720330237362</v>
      </c>
    </row>
    <row r="68" spans="1:5" x14ac:dyDescent="0.25">
      <c r="A68" t="s">
        <v>188</v>
      </c>
      <c r="B68" t="s">
        <v>214</v>
      </c>
      <c r="C68" t="s">
        <v>586</v>
      </c>
      <c r="D68" t="s">
        <v>2002</v>
      </c>
      <c r="E68" s="138">
        <v>39.182915506035279</v>
      </c>
    </row>
    <row r="69" spans="1:5" x14ac:dyDescent="0.25">
      <c r="A69" t="s">
        <v>188</v>
      </c>
      <c r="B69" t="s">
        <v>214</v>
      </c>
      <c r="C69" t="s">
        <v>587</v>
      </c>
      <c r="D69" t="s">
        <v>2002</v>
      </c>
      <c r="E69" s="138">
        <v>43.248730964467001</v>
      </c>
    </row>
    <row r="70" spans="1:5" x14ac:dyDescent="0.25">
      <c r="A70" t="s">
        <v>188</v>
      </c>
      <c r="B70" t="s">
        <v>214</v>
      </c>
      <c r="C70" t="s">
        <v>588</v>
      </c>
      <c r="D70" t="s">
        <v>2002</v>
      </c>
      <c r="E70" s="138">
        <v>58.458458458458459</v>
      </c>
    </row>
    <row r="71" spans="1:5" x14ac:dyDescent="0.25">
      <c r="A71" t="s">
        <v>188</v>
      </c>
      <c r="B71" t="s">
        <v>214</v>
      </c>
      <c r="C71" t="s">
        <v>589</v>
      </c>
      <c r="D71" t="s">
        <v>2002</v>
      </c>
      <c r="E71" s="138">
        <v>57.002938295788439</v>
      </c>
    </row>
    <row r="72" spans="1:5" x14ac:dyDescent="0.25">
      <c r="A72" t="s">
        <v>188</v>
      </c>
      <c r="B72" t="s">
        <v>214</v>
      </c>
      <c r="C72" t="s">
        <v>590</v>
      </c>
      <c r="D72" t="s">
        <v>2002</v>
      </c>
      <c r="E72" s="138">
        <v>52.356206910253668</v>
      </c>
    </row>
    <row r="73" spans="1:5" x14ac:dyDescent="0.25">
      <c r="A73" t="s">
        <v>188</v>
      </c>
      <c r="B73" t="s">
        <v>214</v>
      </c>
      <c r="C73" t="s">
        <v>591</v>
      </c>
      <c r="D73" t="s">
        <v>2002</v>
      </c>
      <c r="E73" s="138">
        <v>44.343434343434353</v>
      </c>
    </row>
    <row r="74" spans="1:5" x14ac:dyDescent="0.25">
      <c r="A74" t="s">
        <v>188</v>
      </c>
      <c r="B74" t="s">
        <v>214</v>
      </c>
      <c r="C74" t="s">
        <v>592</v>
      </c>
      <c r="D74" t="s">
        <v>2002</v>
      </c>
      <c r="E74" s="138">
        <v>52.386269496964417</v>
      </c>
    </row>
    <row r="75" spans="1:5" x14ac:dyDescent="0.25">
      <c r="A75" t="s">
        <v>188</v>
      </c>
      <c r="B75" t="s">
        <v>214</v>
      </c>
      <c r="C75" t="s">
        <v>593</v>
      </c>
      <c r="D75" t="s">
        <v>2002</v>
      </c>
      <c r="E75" s="138">
        <v>48.164335664335667</v>
      </c>
    </row>
    <row r="76" spans="1:5" x14ac:dyDescent="0.25">
      <c r="A76" t="s">
        <v>188</v>
      </c>
      <c r="B76" t="s">
        <v>215</v>
      </c>
      <c r="C76" t="s">
        <v>594</v>
      </c>
      <c r="D76" t="s">
        <v>2003</v>
      </c>
      <c r="E76" s="138">
        <v>14.31782436799408</v>
      </c>
    </row>
    <row r="77" spans="1:5" x14ac:dyDescent="0.25">
      <c r="A77" t="s">
        <v>188</v>
      </c>
      <c r="B77" t="s">
        <v>216</v>
      </c>
      <c r="C77" t="s">
        <v>595</v>
      </c>
      <c r="D77" t="s">
        <v>2003</v>
      </c>
      <c r="E77" s="138">
        <v>13.754387364653709</v>
      </c>
    </row>
    <row r="78" spans="1:5" x14ac:dyDescent="0.25">
      <c r="A78" t="s">
        <v>188</v>
      </c>
      <c r="B78" t="s">
        <v>216</v>
      </c>
      <c r="C78" t="s">
        <v>596</v>
      </c>
      <c r="D78" t="s">
        <v>2003</v>
      </c>
      <c r="E78" s="138">
        <v>13.565057988841829</v>
      </c>
    </row>
    <row r="79" spans="1:5" x14ac:dyDescent="0.25">
      <c r="A79" t="s">
        <v>188</v>
      </c>
      <c r="B79" t="s">
        <v>216</v>
      </c>
      <c r="C79" t="s">
        <v>597</v>
      </c>
      <c r="D79" t="s">
        <v>2003</v>
      </c>
      <c r="E79" s="138">
        <v>14.556501488565649</v>
      </c>
    </row>
    <row r="80" spans="1:5" x14ac:dyDescent="0.25">
      <c r="A80" t="s">
        <v>188</v>
      </c>
      <c r="B80" t="s">
        <v>216</v>
      </c>
      <c r="C80" t="s">
        <v>598</v>
      </c>
      <c r="D80" t="s">
        <v>2003</v>
      </c>
      <c r="E80" s="138">
        <v>15.62157813256791</v>
      </c>
    </row>
    <row r="81" spans="1:5" x14ac:dyDescent="0.25">
      <c r="A81" t="s">
        <v>188</v>
      </c>
      <c r="B81" t="s">
        <v>217</v>
      </c>
      <c r="C81" t="s">
        <v>599</v>
      </c>
      <c r="D81" t="s">
        <v>2003</v>
      </c>
      <c r="E81" s="138">
        <v>13.913345522113209</v>
      </c>
    </row>
    <row r="82" spans="1:5" x14ac:dyDescent="0.25">
      <c r="A82" t="s">
        <v>188</v>
      </c>
      <c r="B82" t="s">
        <v>217</v>
      </c>
      <c r="C82" t="s">
        <v>600</v>
      </c>
      <c r="D82" t="s">
        <v>2003</v>
      </c>
      <c r="E82" s="138">
        <v>15.10843142482361</v>
      </c>
    </row>
    <row r="83" spans="1:5" x14ac:dyDescent="0.25">
      <c r="A83" t="s">
        <v>188</v>
      </c>
      <c r="B83" t="s">
        <v>217</v>
      </c>
      <c r="C83" t="s">
        <v>601</v>
      </c>
      <c r="D83" t="s">
        <v>2003</v>
      </c>
      <c r="E83" s="138">
        <v>14.032502250995501</v>
      </c>
    </row>
    <row r="84" spans="1:5" x14ac:dyDescent="0.25">
      <c r="A84" t="s">
        <v>188</v>
      </c>
      <c r="B84" t="s">
        <v>217</v>
      </c>
      <c r="C84" t="s">
        <v>602</v>
      </c>
      <c r="D84" t="s">
        <v>2003</v>
      </c>
      <c r="E84" s="138">
        <v>11.78990357009784</v>
      </c>
    </row>
    <row r="85" spans="1:5" x14ac:dyDescent="0.25">
      <c r="A85" t="s">
        <v>188</v>
      </c>
      <c r="B85" t="s">
        <v>218</v>
      </c>
      <c r="C85" t="s">
        <v>603</v>
      </c>
      <c r="D85" t="s">
        <v>2003</v>
      </c>
      <c r="E85" s="138">
        <v>13.43380046846293</v>
      </c>
    </row>
    <row r="86" spans="1:5" x14ac:dyDescent="0.25">
      <c r="A86" t="s">
        <v>188</v>
      </c>
      <c r="B86" t="s">
        <v>218</v>
      </c>
      <c r="C86" t="s">
        <v>604</v>
      </c>
      <c r="D86" t="s">
        <v>2003</v>
      </c>
      <c r="E86" s="138">
        <v>15.236729383844621</v>
      </c>
    </row>
    <row r="87" spans="1:5" x14ac:dyDescent="0.25">
      <c r="A87" t="s">
        <v>188</v>
      </c>
      <c r="B87" t="s">
        <v>219</v>
      </c>
      <c r="C87" t="s">
        <v>605</v>
      </c>
      <c r="D87" t="s">
        <v>2003</v>
      </c>
      <c r="E87" s="138">
        <v>14.35189225491461</v>
      </c>
    </row>
    <row r="88" spans="1:5" x14ac:dyDescent="0.25">
      <c r="A88" t="s">
        <v>188</v>
      </c>
      <c r="B88" t="s">
        <v>219</v>
      </c>
      <c r="C88" t="s">
        <v>606</v>
      </c>
      <c r="D88" t="s">
        <v>2003</v>
      </c>
      <c r="E88" s="138">
        <v>14.167175608361751</v>
      </c>
    </row>
    <row r="89" spans="1:5" x14ac:dyDescent="0.25">
      <c r="A89" t="s">
        <v>188</v>
      </c>
      <c r="B89" t="s">
        <v>220</v>
      </c>
      <c r="C89" t="s">
        <v>607</v>
      </c>
      <c r="D89" t="s">
        <v>2003</v>
      </c>
      <c r="E89" s="138">
        <v>17.402847306132301</v>
      </c>
    </row>
    <row r="90" spans="1:5" x14ac:dyDescent="0.25">
      <c r="A90" t="s">
        <v>188</v>
      </c>
      <c r="B90" t="s">
        <v>220</v>
      </c>
      <c r="C90" t="s">
        <v>608</v>
      </c>
      <c r="D90" t="s">
        <v>2003</v>
      </c>
      <c r="E90" s="138">
        <v>13.326941861437639</v>
      </c>
    </row>
    <row r="91" spans="1:5" x14ac:dyDescent="0.25">
      <c r="A91" t="s">
        <v>188</v>
      </c>
      <c r="B91" t="s">
        <v>221</v>
      </c>
      <c r="C91" t="s">
        <v>609</v>
      </c>
      <c r="D91" t="s">
        <v>2003</v>
      </c>
      <c r="E91" s="138">
        <v>13.55385652879105</v>
      </c>
    </row>
    <row r="92" spans="1:5" x14ac:dyDescent="0.25">
      <c r="A92" t="s">
        <v>188</v>
      </c>
      <c r="B92" t="s">
        <v>221</v>
      </c>
      <c r="C92" t="s">
        <v>610</v>
      </c>
      <c r="D92" t="s">
        <v>2003</v>
      </c>
      <c r="E92" s="138">
        <v>14.66726155283345</v>
      </c>
    </row>
    <row r="93" spans="1:5" x14ac:dyDescent="0.25">
      <c r="A93" t="s">
        <v>188</v>
      </c>
      <c r="B93" t="s">
        <v>221</v>
      </c>
      <c r="C93" t="s">
        <v>611</v>
      </c>
      <c r="D93" t="s">
        <v>2003</v>
      </c>
      <c r="E93" s="138">
        <v>15.106547775679431</v>
      </c>
    </row>
    <row r="94" spans="1:5" x14ac:dyDescent="0.25">
      <c r="A94" t="s">
        <v>188</v>
      </c>
      <c r="B94" t="s">
        <v>221</v>
      </c>
      <c r="C94" t="s">
        <v>612</v>
      </c>
      <c r="D94" t="s">
        <v>2003</v>
      </c>
      <c r="E94" s="138">
        <v>12.40142767927556</v>
      </c>
    </row>
    <row r="95" spans="1:5" x14ac:dyDescent="0.25">
      <c r="A95" t="s">
        <v>188</v>
      </c>
      <c r="B95" t="s">
        <v>222</v>
      </c>
      <c r="C95" t="s">
        <v>613</v>
      </c>
      <c r="D95" t="s">
        <v>2003</v>
      </c>
      <c r="E95" s="138">
        <v>4.0990606319385154</v>
      </c>
    </row>
    <row r="96" spans="1:5" x14ac:dyDescent="0.25">
      <c r="A96" t="s">
        <v>188</v>
      </c>
      <c r="B96" t="s">
        <v>222</v>
      </c>
      <c r="C96" t="s">
        <v>614</v>
      </c>
      <c r="D96" t="s">
        <v>2003</v>
      </c>
      <c r="E96" s="138">
        <v>7.6030927835051543</v>
      </c>
    </row>
    <row r="97" spans="1:5" x14ac:dyDescent="0.25">
      <c r="A97" t="s">
        <v>188</v>
      </c>
      <c r="B97" t="s">
        <v>222</v>
      </c>
      <c r="C97" t="s">
        <v>615</v>
      </c>
      <c r="D97" t="s">
        <v>2003</v>
      </c>
      <c r="E97" s="138">
        <v>5.6352459016393439</v>
      </c>
    </row>
    <row r="98" spans="1:5" x14ac:dyDescent="0.25">
      <c r="A98" t="s">
        <v>188</v>
      </c>
      <c r="B98" t="s">
        <v>222</v>
      </c>
      <c r="C98" t="s">
        <v>616</v>
      </c>
      <c r="D98" t="s">
        <v>2003</v>
      </c>
      <c r="E98" s="138">
        <v>9.4108241523481411</v>
      </c>
    </row>
    <row r="99" spans="1:5" x14ac:dyDescent="0.25">
      <c r="A99" t="s">
        <v>188</v>
      </c>
      <c r="B99" t="s">
        <v>222</v>
      </c>
      <c r="C99" t="s">
        <v>617</v>
      </c>
      <c r="D99" t="s">
        <v>2003</v>
      </c>
      <c r="E99" s="138">
        <v>8.6394257407502106</v>
      </c>
    </row>
    <row r="100" spans="1:5" x14ac:dyDescent="0.25">
      <c r="A100" t="s">
        <v>188</v>
      </c>
      <c r="B100" t="s">
        <v>222</v>
      </c>
      <c r="C100" t="s">
        <v>618</v>
      </c>
      <c r="D100" t="s">
        <v>2003</v>
      </c>
      <c r="E100" s="138">
        <v>14.401622718052741</v>
      </c>
    </row>
    <row r="101" spans="1:5" x14ac:dyDescent="0.25">
      <c r="A101" t="s">
        <v>188</v>
      </c>
      <c r="B101" t="s">
        <v>222</v>
      </c>
      <c r="C101" t="s">
        <v>619</v>
      </c>
      <c r="D101" t="s">
        <v>2003</v>
      </c>
      <c r="E101" s="138"/>
    </row>
    <row r="102" spans="1:5" x14ac:dyDescent="0.25">
      <c r="A102" t="s">
        <v>188</v>
      </c>
      <c r="B102" t="s">
        <v>222</v>
      </c>
      <c r="C102" t="s">
        <v>620</v>
      </c>
      <c r="D102" t="s">
        <v>2003</v>
      </c>
      <c r="E102" s="138">
        <v>8.0388692579505303</v>
      </c>
    </row>
    <row r="103" spans="1:5" x14ac:dyDescent="0.25">
      <c r="A103" t="s">
        <v>188</v>
      </c>
      <c r="B103" t="s">
        <v>222</v>
      </c>
      <c r="C103" t="s">
        <v>621</v>
      </c>
      <c r="D103" t="s">
        <v>2003</v>
      </c>
      <c r="E103" s="138">
        <v>26.372443487621101</v>
      </c>
    </row>
    <row r="104" spans="1:5" x14ac:dyDescent="0.25">
      <c r="A104" t="s">
        <v>188</v>
      </c>
      <c r="B104" t="s">
        <v>222</v>
      </c>
      <c r="C104" t="s">
        <v>622</v>
      </c>
      <c r="D104" t="s">
        <v>2003</v>
      </c>
      <c r="E104" s="138">
        <v>15.170278637770901</v>
      </c>
    </row>
    <row r="105" spans="1:5" x14ac:dyDescent="0.25">
      <c r="A105" t="s">
        <v>188</v>
      </c>
      <c r="B105" t="s">
        <v>222</v>
      </c>
      <c r="C105" t="s">
        <v>623</v>
      </c>
      <c r="D105" t="s">
        <v>2003</v>
      </c>
      <c r="E105" s="138">
        <v>23.212627669452178</v>
      </c>
    </row>
    <row r="106" spans="1:5" x14ac:dyDescent="0.25">
      <c r="A106" t="s">
        <v>188</v>
      </c>
      <c r="B106" t="s">
        <v>222</v>
      </c>
      <c r="C106" t="s">
        <v>624</v>
      </c>
      <c r="D106" t="s">
        <v>2003</v>
      </c>
      <c r="E106" s="138">
        <v>24.771573604060919</v>
      </c>
    </row>
    <row r="107" spans="1:5" x14ac:dyDescent="0.25">
      <c r="A107" t="s">
        <v>188</v>
      </c>
      <c r="B107" t="s">
        <v>222</v>
      </c>
      <c r="C107" t="s">
        <v>625</v>
      </c>
      <c r="D107" t="s">
        <v>2003</v>
      </c>
      <c r="E107" s="138">
        <v>18.518518518518519</v>
      </c>
    </row>
    <row r="108" spans="1:5" x14ac:dyDescent="0.25">
      <c r="A108" t="s">
        <v>188</v>
      </c>
      <c r="B108" t="s">
        <v>222</v>
      </c>
      <c r="C108" t="s">
        <v>626</v>
      </c>
      <c r="D108" t="s">
        <v>2003</v>
      </c>
      <c r="E108" s="138">
        <v>12.242899118511261</v>
      </c>
    </row>
    <row r="109" spans="1:5" x14ac:dyDescent="0.25">
      <c r="A109" t="s">
        <v>188</v>
      </c>
      <c r="B109" t="s">
        <v>222</v>
      </c>
      <c r="C109" t="s">
        <v>627</v>
      </c>
      <c r="D109" t="s">
        <v>2003</v>
      </c>
      <c r="E109" s="138">
        <v>6.9909029327375389</v>
      </c>
    </row>
    <row r="110" spans="1:5" x14ac:dyDescent="0.25">
      <c r="A110" t="s">
        <v>188</v>
      </c>
      <c r="B110" t="s">
        <v>222</v>
      </c>
      <c r="C110" t="s">
        <v>628</v>
      </c>
      <c r="D110" t="s">
        <v>2003</v>
      </c>
      <c r="E110" s="138">
        <v>30.404040404040401</v>
      </c>
    </row>
    <row r="111" spans="1:5" x14ac:dyDescent="0.25">
      <c r="A111" t="s">
        <v>188</v>
      </c>
      <c r="B111" t="s">
        <v>222</v>
      </c>
      <c r="C111" t="s">
        <v>629</v>
      </c>
      <c r="D111" t="s">
        <v>2003</v>
      </c>
      <c r="E111" s="138">
        <v>17.59984614393905</v>
      </c>
    </row>
    <row r="112" spans="1:5" x14ac:dyDescent="0.25">
      <c r="A112" t="s">
        <v>188</v>
      </c>
      <c r="B112" t="s">
        <v>222</v>
      </c>
      <c r="C112" t="s">
        <v>630</v>
      </c>
      <c r="D112" t="s">
        <v>2003</v>
      </c>
      <c r="E112" s="138">
        <v>10.4020979020979</v>
      </c>
    </row>
    <row r="113" spans="1:5" x14ac:dyDescent="0.25">
      <c r="A113" t="s">
        <v>188</v>
      </c>
      <c r="B113" t="s">
        <v>223</v>
      </c>
      <c r="C113" t="s">
        <v>631</v>
      </c>
      <c r="D113" t="s">
        <v>2004</v>
      </c>
      <c r="E113" s="138">
        <v>5.1970213642146499</v>
      </c>
    </row>
    <row r="114" spans="1:5" x14ac:dyDescent="0.25">
      <c r="A114" t="s">
        <v>188</v>
      </c>
      <c r="B114" t="s">
        <v>224</v>
      </c>
      <c r="C114" t="s">
        <v>632</v>
      </c>
      <c r="D114" t="s">
        <v>2004</v>
      </c>
      <c r="E114" s="138">
        <v>6.1770843877839754</v>
      </c>
    </row>
    <row r="115" spans="1:5" x14ac:dyDescent="0.25">
      <c r="A115" t="s">
        <v>188</v>
      </c>
      <c r="B115" t="s">
        <v>224</v>
      </c>
      <c r="C115" t="s">
        <v>633</v>
      </c>
      <c r="D115" t="s">
        <v>2004</v>
      </c>
      <c r="E115" s="138">
        <v>5.0810858722225003</v>
      </c>
    </row>
    <row r="116" spans="1:5" x14ac:dyDescent="0.25">
      <c r="A116" t="s">
        <v>188</v>
      </c>
      <c r="B116" t="s">
        <v>224</v>
      </c>
      <c r="C116" t="s">
        <v>634</v>
      </c>
      <c r="D116" t="s">
        <v>2004</v>
      </c>
      <c r="E116" s="138">
        <v>4.6423848598842898</v>
      </c>
    </row>
    <row r="117" spans="1:5" x14ac:dyDescent="0.25">
      <c r="A117" t="s">
        <v>188</v>
      </c>
      <c r="B117" t="s">
        <v>224</v>
      </c>
      <c r="C117" t="s">
        <v>635</v>
      </c>
      <c r="D117" t="s">
        <v>2004</v>
      </c>
      <c r="E117" s="138">
        <v>4.9474969029501121</v>
      </c>
    </row>
    <row r="118" spans="1:5" x14ac:dyDescent="0.25">
      <c r="A118" t="s">
        <v>188</v>
      </c>
      <c r="B118" t="s">
        <v>225</v>
      </c>
      <c r="C118" t="s">
        <v>636</v>
      </c>
      <c r="D118" t="s">
        <v>2004</v>
      </c>
      <c r="E118" s="138">
        <v>5.0821709792823846</v>
      </c>
    </row>
    <row r="119" spans="1:5" x14ac:dyDescent="0.25">
      <c r="A119" t="s">
        <v>188</v>
      </c>
      <c r="B119" t="s">
        <v>225</v>
      </c>
      <c r="C119" t="s">
        <v>637</v>
      </c>
      <c r="D119" t="s">
        <v>2004</v>
      </c>
      <c r="E119" s="138">
        <v>6.0371378493003576</v>
      </c>
    </row>
    <row r="120" spans="1:5" x14ac:dyDescent="0.25">
      <c r="A120" t="s">
        <v>188</v>
      </c>
      <c r="B120" t="s">
        <v>225</v>
      </c>
      <c r="C120" t="s">
        <v>638</v>
      </c>
      <c r="D120" t="s">
        <v>2004</v>
      </c>
      <c r="E120" s="138">
        <v>4.4070182645172249</v>
      </c>
    </row>
    <row r="121" spans="1:5" x14ac:dyDescent="0.25">
      <c r="A121" t="s">
        <v>188</v>
      </c>
      <c r="B121" t="s">
        <v>225</v>
      </c>
      <c r="C121" t="s">
        <v>639</v>
      </c>
      <c r="D121" t="s">
        <v>2004</v>
      </c>
      <c r="E121" s="138">
        <v>3.9230243559531348</v>
      </c>
    </row>
    <row r="122" spans="1:5" x14ac:dyDescent="0.25">
      <c r="A122" t="s">
        <v>188</v>
      </c>
      <c r="B122" t="s">
        <v>226</v>
      </c>
      <c r="C122" t="s">
        <v>640</v>
      </c>
      <c r="D122" t="s">
        <v>2004</v>
      </c>
      <c r="E122" s="138">
        <v>5.1211252831990288</v>
      </c>
    </row>
    <row r="123" spans="1:5" x14ac:dyDescent="0.25">
      <c r="A123" t="s">
        <v>188</v>
      </c>
      <c r="B123" t="s">
        <v>226</v>
      </c>
      <c r="C123" t="s">
        <v>641</v>
      </c>
      <c r="D123" t="s">
        <v>2004</v>
      </c>
      <c r="E123" s="138">
        <v>5.275912092808797</v>
      </c>
    </row>
    <row r="124" spans="1:5" x14ac:dyDescent="0.25">
      <c r="A124" t="s">
        <v>188</v>
      </c>
      <c r="B124" t="s">
        <v>227</v>
      </c>
      <c r="C124" t="s">
        <v>642</v>
      </c>
      <c r="D124" t="s">
        <v>2004</v>
      </c>
      <c r="E124" s="138">
        <v>5.1420021568428567</v>
      </c>
    </row>
    <row r="125" spans="1:5" x14ac:dyDescent="0.25">
      <c r="A125" t="s">
        <v>188</v>
      </c>
      <c r="B125" t="s">
        <v>227</v>
      </c>
      <c r="C125" t="s">
        <v>643</v>
      </c>
      <c r="D125" t="s">
        <v>2004</v>
      </c>
      <c r="E125" s="138">
        <v>5.1812971952575007</v>
      </c>
    </row>
    <row r="126" spans="1:5" x14ac:dyDescent="0.25">
      <c r="A126" t="s">
        <v>188</v>
      </c>
      <c r="B126" t="s">
        <v>228</v>
      </c>
      <c r="C126" t="s">
        <v>644</v>
      </c>
      <c r="D126" t="s">
        <v>2004</v>
      </c>
      <c r="E126" s="138">
        <v>6.066342618125196</v>
      </c>
    </row>
    <row r="127" spans="1:5" x14ac:dyDescent="0.25">
      <c r="A127" t="s">
        <v>188</v>
      </c>
      <c r="B127" t="s">
        <v>228</v>
      </c>
      <c r="C127" t="s">
        <v>645</v>
      </c>
      <c r="D127" t="s">
        <v>2004</v>
      </c>
      <c r="E127" s="138">
        <v>4.8937381475705601</v>
      </c>
    </row>
    <row r="128" spans="1:5" x14ac:dyDescent="0.25">
      <c r="A128" t="s">
        <v>188</v>
      </c>
      <c r="B128" t="s">
        <v>229</v>
      </c>
      <c r="C128" t="s">
        <v>646</v>
      </c>
      <c r="D128" t="s">
        <v>2004</v>
      </c>
      <c r="E128" s="138">
        <v>4.6877197620474309</v>
      </c>
    </row>
    <row r="129" spans="1:5" x14ac:dyDescent="0.25">
      <c r="A129" t="s">
        <v>188</v>
      </c>
      <c r="B129" t="s">
        <v>229</v>
      </c>
      <c r="C129" t="s">
        <v>647</v>
      </c>
      <c r="D129" t="s">
        <v>2004</v>
      </c>
      <c r="E129" s="138">
        <v>5.2006289531367891</v>
      </c>
    </row>
    <row r="130" spans="1:5" x14ac:dyDescent="0.25">
      <c r="A130" t="s">
        <v>188</v>
      </c>
      <c r="B130" t="s">
        <v>229</v>
      </c>
      <c r="C130" t="s">
        <v>648</v>
      </c>
      <c r="D130" t="s">
        <v>2004</v>
      </c>
      <c r="E130" s="138">
        <v>6.1029596070017789</v>
      </c>
    </row>
    <row r="131" spans="1:5" x14ac:dyDescent="0.25">
      <c r="A131" t="s">
        <v>188</v>
      </c>
      <c r="B131" t="s">
        <v>229</v>
      </c>
      <c r="C131" t="s">
        <v>649</v>
      </c>
      <c r="D131" t="s">
        <v>2004</v>
      </c>
      <c r="E131" s="138">
        <v>4.2704881120885121</v>
      </c>
    </row>
    <row r="132" spans="1:5" x14ac:dyDescent="0.25">
      <c r="A132" t="s">
        <v>188</v>
      </c>
      <c r="B132" t="s">
        <v>230</v>
      </c>
      <c r="C132" t="s">
        <v>650</v>
      </c>
      <c r="D132" t="s">
        <v>2004</v>
      </c>
      <c r="E132" s="138">
        <v>0.17079419299743809</v>
      </c>
    </row>
    <row r="133" spans="1:5" x14ac:dyDescent="0.25">
      <c r="A133" t="s">
        <v>188</v>
      </c>
      <c r="B133" t="s">
        <v>230</v>
      </c>
      <c r="C133" t="s">
        <v>651</v>
      </c>
      <c r="D133" t="s">
        <v>2004</v>
      </c>
      <c r="E133" s="138">
        <v>2.31958762886598</v>
      </c>
    </row>
    <row r="134" spans="1:5" x14ac:dyDescent="0.25">
      <c r="A134" t="s">
        <v>188</v>
      </c>
      <c r="B134" t="s">
        <v>230</v>
      </c>
      <c r="C134" t="s">
        <v>652</v>
      </c>
      <c r="D134" t="s">
        <v>2004</v>
      </c>
      <c r="E134" s="138">
        <v>1.741803278688524</v>
      </c>
    </row>
    <row r="135" spans="1:5" x14ac:dyDescent="0.25">
      <c r="A135" t="s">
        <v>188</v>
      </c>
      <c r="B135" t="s">
        <v>230</v>
      </c>
      <c r="C135" t="s">
        <v>653</v>
      </c>
      <c r="D135" t="s">
        <v>2004</v>
      </c>
      <c r="E135" s="138">
        <v>2.1954019916651411</v>
      </c>
    </row>
    <row r="136" spans="1:5" x14ac:dyDescent="0.25">
      <c r="A136" t="s">
        <v>188</v>
      </c>
      <c r="B136" t="s">
        <v>230</v>
      </c>
      <c r="C136" t="s">
        <v>654</v>
      </c>
      <c r="D136" t="s">
        <v>2004</v>
      </c>
      <c r="E136" s="138">
        <v>6.5740236686175066</v>
      </c>
    </row>
    <row r="137" spans="1:5" x14ac:dyDescent="0.25">
      <c r="A137" t="s">
        <v>188</v>
      </c>
      <c r="B137" t="s">
        <v>230</v>
      </c>
      <c r="C137" t="s">
        <v>655</v>
      </c>
      <c r="D137" t="s">
        <v>2004</v>
      </c>
      <c r="E137" s="138">
        <v>8.3164300202839758</v>
      </c>
    </row>
    <row r="138" spans="1:5" x14ac:dyDescent="0.25">
      <c r="A138" t="s">
        <v>188</v>
      </c>
      <c r="B138" t="s">
        <v>230</v>
      </c>
      <c r="C138" t="s">
        <v>656</v>
      </c>
      <c r="D138" t="s">
        <v>2004</v>
      </c>
      <c r="E138" s="138"/>
    </row>
    <row r="139" spans="1:5" x14ac:dyDescent="0.25">
      <c r="A139" t="s">
        <v>188</v>
      </c>
      <c r="B139" t="s">
        <v>230</v>
      </c>
      <c r="C139" t="s">
        <v>657</v>
      </c>
      <c r="D139" t="s">
        <v>2004</v>
      </c>
      <c r="E139" s="138">
        <v>4.5053003533568896</v>
      </c>
    </row>
    <row r="140" spans="1:5" x14ac:dyDescent="0.25">
      <c r="A140" t="s">
        <v>188</v>
      </c>
      <c r="B140" t="s">
        <v>230</v>
      </c>
      <c r="C140" t="s">
        <v>658</v>
      </c>
      <c r="D140" t="s">
        <v>2004</v>
      </c>
      <c r="E140" s="138">
        <v>10.65662002152852</v>
      </c>
    </row>
    <row r="141" spans="1:5" x14ac:dyDescent="0.25">
      <c r="A141" t="s">
        <v>188</v>
      </c>
      <c r="B141" t="s">
        <v>230</v>
      </c>
      <c r="C141" t="s">
        <v>659</v>
      </c>
      <c r="D141" t="s">
        <v>2004</v>
      </c>
      <c r="E141" s="138">
        <v>9.1847265221878214</v>
      </c>
    </row>
    <row r="142" spans="1:5" x14ac:dyDescent="0.25">
      <c r="A142" t="s">
        <v>188</v>
      </c>
      <c r="B142" t="s">
        <v>230</v>
      </c>
      <c r="C142" t="s">
        <v>660</v>
      </c>
      <c r="D142" t="s">
        <v>2004</v>
      </c>
      <c r="E142" s="138">
        <v>5.5710306406685239</v>
      </c>
    </row>
    <row r="143" spans="1:5" x14ac:dyDescent="0.25">
      <c r="A143" t="s">
        <v>188</v>
      </c>
      <c r="B143" t="s">
        <v>230</v>
      </c>
      <c r="C143" t="s">
        <v>661</v>
      </c>
      <c r="D143" t="s">
        <v>2004</v>
      </c>
      <c r="E143" s="138">
        <v>12.69035532994924</v>
      </c>
    </row>
    <row r="144" spans="1:5" x14ac:dyDescent="0.25">
      <c r="A144" t="s">
        <v>188</v>
      </c>
      <c r="B144" t="s">
        <v>230</v>
      </c>
      <c r="C144" t="s">
        <v>662</v>
      </c>
      <c r="D144" t="s">
        <v>2004</v>
      </c>
      <c r="E144" s="138">
        <v>2.402402402402402</v>
      </c>
    </row>
    <row r="145" spans="1:5" x14ac:dyDescent="0.25">
      <c r="A145" t="s">
        <v>188</v>
      </c>
      <c r="B145" t="s">
        <v>230</v>
      </c>
      <c r="C145" t="s">
        <v>663</v>
      </c>
      <c r="D145" t="s">
        <v>2004</v>
      </c>
      <c r="E145" s="138">
        <v>1.9588638589618019</v>
      </c>
    </row>
    <row r="146" spans="1:5" x14ac:dyDescent="0.25">
      <c r="A146" t="s">
        <v>188</v>
      </c>
      <c r="B146" t="s">
        <v>230</v>
      </c>
      <c r="C146" t="s">
        <v>664</v>
      </c>
      <c r="D146" t="s">
        <v>2004</v>
      </c>
      <c r="E146" s="138">
        <v>4.9822821723800192</v>
      </c>
    </row>
    <row r="147" spans="1:5" x14ac:dyDescent="0.25">
      <c r="A147" t="s">
        <v>188</v>
      </c>
      <c r="B147" t="s">
        <v>230</v>
      </c>
      <c r="C147" t="s">
        <v>665</v>
      </c>
      <c r="D147" t="s">
        <v>2004</v>
      </c>
      <c r="E147" s="138">
        <v>8.6868686868686869</v>
      </c>
    </row>
    <row r="148" spans="1:5" x14ac:dyDescent="0.25">
      <c r="A148" t="s">
        <v>188</v>
      </c>
      <c r="B148" t="s">
        <v>230</v>
      </c>
      <c r="C148" t="s">
        <v>666</v>
      </c>
      <c r="D148" t="s">
        <v>2004</v>
      </c>
      <c r="E148" s="138">
        <v>3.5283545034220332</v>
      </c>
    </row>
    <row r="149" spans="1:5" x14ac:dyDescent="0.25">
      <c r="A149" t="s">
        <v>188</v>
      </c>
      <c r="B149" t="s">
        <v>230</v>
      </c>
      <c r="C149" t="s">
        <v>667</v>
      </c>
      <c r="D149" t="s">
        <v>2004</v>
      </c>
      <c r="E149" s="138">
        <v>4.3706293706293708</v>
      </c>
    </row>
    <row r="150" spans="1:5" x14ac:dyDescent="0.25">
      <c r="A150" t="s">
        <v>189</v>
      </c>
      <c r="B150" t="s">
        <v>231</v>
      </c>
      <c r="C150" t="s">
        <v>668</v>
      </c>
      <c r="D150" t="s">
        <v>2005</v>
      </c>
      <c r="E150" s="138">
        <v>37.028218240335178</v>
      </c>
    </row>
    <row r="151" spans="1:5" x14ac:dyDescent="0.25">
      <c r="A151" t="s">
        <v>189</v>
      </c>
      <c r="B151" t="s">
        <v>232</v>
      </c>
      <c r="C151" t="s">
        <v>669</v>
      </c>
      <c r="D151" t="s">
        <v>2005</v>
      </c>
      <c r="E151" s="138">
        <v>38.938800194869238</v>
      </c>
    </row>
    <row r="152" spans="1:5" x14ac:dyDescent="0.25">
      <c r="A152" t="s">
        <v>189</v>
      </c>
      <c r="B152" t="s">
        <v>232</v>
      </c>
      <c r="C152" t="s">
        <v>670</v>
      </c>
      <c r="D152" t="s">
        <v>2005</v>
      </c>
      <c r="E152" s="138">
        <v>35.409755997443099</v>
      </c>
    </row>
    <row r="153" spans="1:5" x14ac:dyDescent="0.25">
      <c r="A153" t="s">
        <v>189</v>
      </c>
      <c r="B153" t="s">
        <v>232</v>
      </c>
      <c r="C153" t="s">
        <v>671</v>
      </c>
      <c r="D153" t="s">
        <v>2005</v>
      </c>
      <c r="E153" s="138">
        <v>38.364034482175612</v>
      </c>
    </row>
    <row r="154" spans="1:5" x14ac:dyDescent="0.25">
      <c r="A154" t="s">
        <v>189</v>
      </c>
      <c r="B154" t="s">
        <v>232</v>
      </c>
      <c r="C154" t="s">
        <v>672</v>
      </c>
      <c r="D154" t="s">
        <v>2005</v>
      </c>
      <c r="E154" s="138">
        <v>36.420194954154859</v>
      </c>
    </row>
    <row r="155" spans="1:5" x14ac:dyDescent="0.25">
      <c r="A155" t="s">
        <v>189</v>
      </c>
      <c r="B155" t="s">
        <v>233</v>
      </c>
      <c r="C155" t="s">
        <v>673</v>
      </c>
      <c r="D155" t="s">
        <v>2005</v>
      </c>
      <c r="E155" s="138">
        <v>32.414371681305163</v>
      </c>
    </row>
    <row r="156" spans="1:5" x14ac:dyDescent="0.25">
      <c r="A156" t="s">
        <v>189</v>
      </c>
      <c r="B156" t="s">
        <v>233</v>
      </c>
      <c r="C156" t="s">
        <v>674</v>
      </c>
      <c r="D156" t="s">
        <v>2005</v>
      </c>
      <c r="E156" s="138">
        <v>37.752661628274481</v>
      </c>
    </row>
    <row r="157" spans="1:5" x14ac:dyDescent="0.25">
      <c r="A157" t="s">
        <v>189</v>
      </c>
      <c r="B157" t="s">
        <v>233</v>
      </c>
      <c r="C157" t="s">
        <v>675</v>
      </c>
      <c r="D157" t="s">
        <v>2005</v>
      </c>
      <c r="E157" s="138">
        <v>38.998973287878172</v>
      </c>
    </row>
    <row r="158" spans="1:5" x14ac:dyDescent="0.25">
      <c r="A158" t="s">
        <v>189</v>
      </c>
      <c r="B158" t="s">
        <v>233</v>
      </c>
      <c r="C158" t="s">
        <v>676</v>
      </c>
      <c r="D158" t="s">
        <v>2005</v>
      </c>
      <c r="E158" s="138">
        <v>39.504323863210253</v>
      </c>
    </row>
    <row r="159" spans="1:5" x14ac:dyDescent="0.25">
      <c r="A159" t="s">
        <v>189</v>
      </c>
      <c r="B159" t="s">
        <v>234</v>
      </c>
      <c r="C159" t="s">
        <v>677</v>
      </c>
      <c r="D159" t="s">
        <v>2005</v>
      </c>
      <c r="E159" s="138">
        <v>37.310184530464937</v>
      </c>
    </row>
    <row r="160" spans="1:5" x14ac:dyDescent="0.25">
      <c r="A160" t="s">
        <v>189</v>
      </c>
      <c r="B160" t="s">
        <v>234</v>
      </c>
      <c r="C160" t="s">
        <v>678</v>
      </c>
      <c r="D160" t="s">
        <v>2005</v>
      </c>
      <c r="E160" s="138">
        <v>36.741755043075393</v>
      </c>
    </row>
    <row r="161" spans="1:5" x14ac:dyDescent="0.25">
      <c r="A161" t="s">
        <v>189</v>
      </c>
      <c r="B161" t="s">
        <v>235</v>
      </c>
      <c r="C161" t="s">
        <v>679</v>
      </c>
      <c r="D161" t="s">
        <v>2005</v>
      </c>
      <c r="E161" s="138">
        <v>35.834490985171769</v>
      </c>
    </row>
    <row r="162" spans="1:5" x14ac:dyDescent="0.25">
      <c r="A162" t="s">
        <v>189</v>
      </c>
      <c r="B162" t="s">
        <v>235</v>
      </c>
      <c r="C162" t="s">
        <v>680</v>
      </c>
      <c r="D162" t="s">
        <v>2005</v>
      </c>
      <c r="E162" s="138">
        <v>37.986975763633779</v>
      </c>
    </row>
    <row r="163" spans="1:5" x14ac:dyDescent="0.25">
      <c r="A163" t="s">
        <v>189</v>
      </c>
      <c r="B163" t="s">
        <v>236</v>
      </c>
      <c r="C163" t="s">
        <v>681</v>
      </c>
      <c r="D163" t="s">
        <v>2005</v>
      </c>
      <c r="E163" s="138">
        <v>34.714146088406437</v>
      </c>
    </row>
    <row r="164" spans="1:5" x14ac:dyDescent="0.25">
      <c r="A164" t="s">
        <v>189</v>
      </c>
      <c r="B164" t="s">
        <v>236</v>
      </c>
      <c r="C164" t="s">
        <v>682</v>
      </c>
      <c r="D164" t="s">
        <v>2005</v>
      </c>
      <c r="E164" s="138">
        <v>37.561633773363617</v>
      </c>
    </row>
    <row r="165" spans="1:5" x14ac:dyDescent="0.25">
      <c r="A165" t="s">
        <v>189</v>
      </c>
      <c r="B165" t="s">
        <v>237</v>
      </c>
      <c r="C165" t="s">
        <v>683</v>
      </c>
      <c r="D165" t="s">
        <v>2005</v>
      </c>
      <c r="E165" s="138">
        <v>31.288309968318881</v>
      </c>
    </row>
    <row r="166" spans="1:5" x14ac:dyDescent="0.25">
      <c r="A166" t="s">
        <v>189</v>
      </c>
      <c r="B166" t="s">
        <v>237</v>
      </c>
      <c r="C166" t="s">
        <v>684</v>
      </c>
      <c r="D166" t="s">
        <v>2005</v>
      </c>
      <c r="E166" s="138">
        <v>35.459053575398997</v>
      </c>
    </row>
    <row r="167" spans="1:5" x14ac:dyDescent="0.25">
      <c r="A167" t="s">
        <v>189</v>
      </c>
      <c r="B167" t="s">
        <v>237</v>
      </c>
      <c r="C167" t="s">
        <v>685</v>
      </c>
      <c r="D167" t="s">
        <v>2005</v>
      </c>
      <c r="E167" s="138">
        <v>37.872899888737457</v>
      </c>
    </row>
    <row r="168" spans="1:5" x14ac:dyDescent="0.25">
      <c r="A168" t="s">
        <v>189</v>
      </c>
      <c r="B168" t="s">
        <v>237</v>
      </c>
      <c r="C168" t="s">
        <v>686</v>
      </c>
      <c r="D168" t="s">
        <v>2005</v>
      </c>
      <c r="E168" s="138">
        <v>38.780646779713287</v>
      </c>
    </row>
    <row r="169" spans="1:5" x14ac:dyDescent="0.25">
      <c r="A169" t="s">
        <v>189</v>
      </c>
      <c r="B169" t="s">
        <v>238</v>
      </c>
      <c r="C169" t="s">
        <v>687</v>
      </c>
      <c r="D169" t="s">
        <v>2005</v>
      </c>
      <c r="E169" s="138">
        <v>54.878391221008712</v>
      </c>
    </row>
    <row r="170" spans="1:5" x14ac:dyDescent="0.25">
      <c r="A170" t="s">
        <v>189</v>
      </c>
      <c r="B170" t="s">
        <v>238</v>
      </c>
      <c r="C170" t="s">
        <v>688</v>
      </c>
      <c r="D170" t="s">
        <v>2005</v>
      </c>
      <c r="E170" s="138">
        <v>34.247871333964049</v>
      </c>
    </row>
    <row r="171" spans="1:5" x14ac:dyDescent="0.25">
      <c r="A171" t="s">
        <v>189</v>
      </c>
      <c r="B171" t="s">
        <v>238</v>
      </c>
      <c r="C171" t="s">
        <v>689</v>
      </c>
      <c r="D171" t="s">
        <v>2005</v>
      </c>
      <c r="E171" s="138">
        <v>35.691657866948248</v>
      </c>
    </row>
    <row r="172" spans="1:5" x14ac:dyDescent="0.25">
      <c r="A172" t="s">
        <v>189</v>
      </c>
      <c r="B172" t="s">
        <v>238</v>
      </c>
      <c r="C172" t="s">
        <v>690</v>
      </c>
      <c r="D172" t="s">
        <v>2005</v>
      </c>
      <c r="E172" s="138">
        <v>38.167968510459048</v>
      </c>
    </row>
    <row r="173" spans="1:5" x14ac:dyDescent="0.25">
      <c r="A173" t="s">
        <v>189</v>
      </c>
      <c r="B173" t="s">
        <v>238</v>
      </c>
      <c r="C173" t="s">
        <v>691</v>
      </c>
      <c r="D173" t="s">
        <v>2005</v>
      </c>
      <c r="E173" s="138">
        <v>53.329728424451659</v>
      </c>
    </row>
    <row r="174" spans="1:5" x14ac:dyDescent="0.25">
      <c r="A174" t="s">
        <v>189</v>
      </c>
      <c r="B174" t="s">
        <v>238</v>
      </c>
      <c r="C174" t="s">
        <v>692</v>
      </c>
      <c r="D174" t="s">
        <v>2005</v>
      </c>
      <c r="E174" s="138">
        <v>32.661717921527043</v>
      </c>
    </row>
    <row r="175" spans="1:5" x14ac:dyDescent="0.25">
      <c r="A175" t="s">
        <v>189</v>
      </c>
      <c r="B175" t="s">
        <v>238</v>
      </c>
      <c r="C175" t="s">
        <v>693</v>
      </c>
      <c r="D175" t="s">
        <v>2005</v>
      </c>
      <c r="E175" s="138"/>
    </row>
    <row r="176" spans="1:5" x14ac:dyDescent="0.25">
      <c r="A176" t="s">
        <v>189</v>
      </c>
      <c r="B176" t="s">
        <v>238</v>
      </c>
      <c r="C176" t="s">
        <v>694</v>
      </c>
      <c r="D176" t="s">
        <v>2005</v>
      </c>
      <c r="E176" s="138">
        <v>32.547957803704278</v>
      </c>
    </row>
    <row r="177" spans="1:5" x14ac:dyDescent="0.25">
      <c r="A177" t="s">
        <v>189</v>
      </c>
      <c r="B177" t="s">
        <v>238</v>
      </c>
      <c r="C177" t="s">
        <v>695</v>
      </c>
      <c r="D177" t="s">
        <v>2005</v>
      </c>
      <c r="E177" s="138">
        <v>30.74973577417007</v>
      </c>
    </row>
    <row r="178" spans="1:5" x14ac:dyDescent="0.25">
      <c r="A178" t="s">
        <v>189</v>
      </c>
      <c r="B178" t="s">
        <v>238</v>
      </c>
      <c r="C178" t="s">
        <v>696</v>
      </c>
      <c r="D178" t="s">
        <v>2005</v>
      </c>
      <c r="E178" s="138">
        <v>28.27069141281396</v>
      </c>
    </row>
    <row r="179" spans="1:5" x14ac:dyDescent="0.25">
      <c r="A179" t="s">
        <v>189</v>
      </c>
      <c r="B179" t="s">
        <v>238</v>
      </c>
      <c r="C179" t="s">
        <v>697</v>
      </c>
      <c r="D179" t="s">
        <v>2005</v>
      </c>
      <c r="E179" s="138">
        <v>29.694578186673599</v>
      </c>
    </row>
    <row r="180" spans="1:5" x14ac:dyDescent="0.25">
      <c r="A180" t="s">
        <v>189</v>
      </c>
      <c r="B180" t="s">
        <v>238</v>
      </c>
      <c r="C180" t="s">
        <v>698</v>
      </c>
      <c r="D180" t="s">
        <v>2005</v>
      </c>
      <c r="E180" s="138">
        <v>29.88624612202689</v>
      </c>
    </row>
    <row r="181" spans="1:5" x14ac:dyDescent="0.25">
      <c r="A181" t="s">
        <v>189</v>
      </c>
      <c r="B181" t="s">
        <v>238</v>
      </c>
      <c r="C181" t="s">
        <v>699</v>
      </c>
      <c r="D181" t="s">
        <v>2005</v>
      </c>
      <c r="E181" s="138">
        <v>54.017857142857139</v>
      </c>
    </row>
    <row r="182" spans="1:5" x14ac:dyDescent="0.25">
      <c r="A182" t="s">
        <v>189</v>
      </c>
      <c r="B182" t="s">
        <v>238</v>
      </c>
      <c r="C182" t="s">
        <v>700</v>
      </c>
      <c r="D182" t="s">
        <v>2005</v>
      </c>
      <c r="E182" s="138">
        <v>36.87943262411347</v>
      </c>
    </row>
    <row r="183" spans="1:5" x14ac:dyDescent="0.25">
      <c r="A183" t="s">
        <v>189</v>
      </c>
      <c r="B183" t="s">
        <v>238</v>
      </c>
      <c r="C183" t="s">
        <v>701</v>
      </c>
      <c r="D183" t="s">
        <v>2005</v>
      </c>
      <c r="E183" s="138">
        <v>54.694745053605928</v>
      </c>
    </row>
    <row r="184" spans="1:5" x14ac:dyDescent="0.25">
      <c r="A184" t="s">
        <v>189</v>
      </c>
      <c r="B184" t="s">
        <v>238</v>
      </c>
      <c r="C184" t="s">
        <v>702</v>
      </c>
      <c r="D184" t="s">
        <v>2005</v>
      </c>
      <c r="E184" s="138">
        <v>34.557371273209903</v>
      </c>
    </row>
    <row r="185" spans="1:5" x14ac:dyDescent="0.25">
      <c r="A185" t="s">
        <v>189</v>
      </c>
      <c r="B185" t="s">
        <v>238</v>
      </c>
      <c r="C185" t="s">
        <v>703</v>
      </c>
      <c r="D185" t="s">
        <v>2005</v>
      </c>
      <c r="E185" s="138">
        <v>31.326898779788792</v>
      </c>
    </row>
    <row r="186" spans="1:5" x14ac:dyDescent="0.25">
      <c r="A186" t="s">
        <v>189</v>
      </c>
      <c r="B186" t="s">
        <v>238</v>
      </c>
      <c r="C186" t="s">
        <v>704</v>
      </c>
      <c r="D186" t="s">
        <v>2005</v>
      </c>
      <c r="E186" s="138">
        <v>24.789869405619179</v>
      </c>
    </row>
    <row r="187" spans="1:5" x14ac:dyDescent="0.25">
      <c r="A187" t="s">
        <v>189</v>
      </c>
      <c r="B187" t="s">
        <v>239</v>
      </c>
      <c r="C187" t="s">
        <v>705</v>
      </c>
      <c r="D187" t="s">
        <v>2006</v>
      </c>
      <c r="E187" s="138">
        <v>51.706265632593919</v>
      </c>
    </row>
    <row r="188" spans="1:5" x14ac:dyDescent="0.25">
      <c r="A188" t="s">
        <v>189</v>
      </c>
      <c r="B188" t="s">
        <v>240</v>
      </c>
      <c r="C188" t="s">
        <v>706</v>
      </c>
      <c r="D188" t="s">
        <v>2006</v>
      </c>
      <c r="E188" s="138">
        <v>49.034425326936052</v>
      </c>
    </row>
    <row r="189" spans="1:5" x14ac:dyDescent="0.25">
      <c r="A189" t="s">
        <v>189</v>
      </c>
      <c r="B189" t="s">
        <v>240</v>
      </c>
      <c r="C189" t="s">
        <v>707</v>
      </c>
      <c r="D189" t="s">
        <v>2006</v>
      </c>
      <c r="E189" s="138">
        <v>52.233085196752583</v>
      </c>
    </row>
    <row r="190" spans="1:5" x14ac:dyDescent="0.25">
      <c r="A190" t="s">
        <v>189</v>
      </c>
      <c r="B190" t="s">
        <v>240</v>
      </c>
      <c r="C190" t="s">
        <v>708</v>
      </c>
      <c r="D190" t="s">
        <v>2006</v>
      </c>
      <c r="E190" s="138">
        <v>52.809378116153482</v>
      </c>
    </row>
    <row r="191" spans="1:5" x14ac:dyDescent="0.25">
      <c r="A191" t="s">
        <v>189</v>
      </c>
      <c r="B191" t="s">
        <v>240</v>
      </c>
      <c r="C191" t="s">
        <v>709</v>
      </c>
      <c r="D191" t="s">
        <v>2006</v>
      </c>
      <c r="E191" s="138">
        <v>53.544427260292913</v>
      </c>
    </row>
    <row r="192" spans="1:5" x14ac:dyDescent="0.25">
      <c r="A192" t="s">
        <v>189</v>
      </c>
      <c r="B192" t="s">
        <v>241</v>
      </c>
      <c r="C192" t="s">
        <v>710</v>
      </c>
      <c r="D192" t="s">
        <v>2006</v>
      </c>
      <c r="E192" s="138">
        <v>53.575355212467443</v>
      </c>
    </row>
    <row r="193" spans="1:5" x14ac:dyDescent="0.25">
      <c r="A193" t="s">
        <v>189</v>
      </c>
      <c r="B193" t="s">
        <v>241</v>
      </c>
      <c r="C193" t="s">
        <v>711</v>
      </c>
      <c r="D193" t="s">
        <v>2006</v>
      </c>
      <c r="E193" s="138">
        <v>51.161914375356467</v>
      </c>
    </row>
    <row r="194" spans="1:5" x14ac:dyDescent="0.25">
      <c r="A194" t="s">
        <v>189</v>
      </c>
      <c r="B194" t="s">
        <v>241</v>
      </c>
      <c r="C194" t="s">
        <v>712</v>
      </c>
      <c r="D194" t="s">
        <v>2006</v>
      </c>
      <c r="E194" s="138">
        <v>51.207167244149829</v>
      </c>
    </row>
    <row r="195" spans="1:5" x14ac:dyDescent="0.25">
      <c r="A195" t="s">
        <v>189</v>
      </c>
      <c r="B195" t="s">
        <v>241</v>
      </c>
      <c r="C195" t="s">
        <v>713</v>
      </c>
      <c r="D195" t="s">
        <v>2006</v>
      </c>
      <c r="E195" s="138">
        <v>50.730376048569958</v>
      </c>
    </row>
    <row r="196" spans="1:5" x14ac:dyDescent="0.25">
      <c r="A196" t="s">
        <v>189</v>
      </c>
      <c r="B196" t="s">
        <v>242</v>
      </c>
      <c r="C196" t="s">
        <v>714</v>
      </c>
      <c r="D196" t="s">
        <v>2006</v>
      </c>
      <c r="E196" s="138">
        <v>51.592026197381728</v>
      </c>
    </row>
    <row r="197" spans="1:5" x14ac:dyDescent="0.25">
      <c r="A197" t="s">
        <v>189</v>
      </c>
      <c r="B197" t="s">
        <v>242</v>
      </c>
      <c r="C197" t="s">
        <v>715</v>
      </c>
      <c r="D197" t="s">
        <v>2006</v>
      </c>
      <c r="E197" s="138">
        <v>51.822327002373171</v>
      </c>
    </row>
    <row r="198" spans="1:5" x14ac:dyDescent="0.25">
      <c r="A198" t="s">
        <v>189</v>
      </c>
      <c r="B198" t="s">
        <v>243</v>
      </c>
      <c r="C198" t="s">
        <v>716</v>
      </c>
      <c r="D198" t="s">
        <v>2006</v>
      </c>
      <c r="E198" s="138">
        <v>52.630609771717907</v>
      </c>
    </row>
    <row r="199" spans="1:5" x14ac:dyDescent="0.25">
      <c r="A199" t="s">
        <v>189</v>
      </c>
      <c r="B199" t="s">
        <v>243</v>
      </c>
      <c r="C199" t="s">
        <v>717</v>
      </c>
      <c r="D199" t="s">
        <v>2006</v>
      </c>
      <c r="E199" s="138">
        <v>50.99411870947629</v>
      </c>
    </row>
    <row r="200" spans="1:5" x14ac:dyDescent="0.25">
      <c r="A200" t="s">
        <v>189</v>
      </c>
      <c r="B200" t="s">
        <v>244</v>
      </c>
      <c r="C200" t="s">
        <v>718</v>
      </c>
      <c r="D200" t="s">
        <v>2006</v>
      </c>
      <c r="E200" s="138">
        <v>53.178398603277913</v>
      </c>
    </row>
    <row r="201" spans="1:5" x14ac:dyDescent="0.25">
      <c r="A201" t="s">
        <v>189</v>
      </c>
      <c r="B201" t="s">
        <v>244</v>
      </c>
      <c r="C201" t="s">
        <v>719</v>
      </c>
      <c r="D201" t="s">
        <v>2006</v>
      </c>
      <c r="E201" s="138">
        <v>51.391326915608232</v>
      </c>
    </row>
    <row r="202" spans="1:5" x14ac:dyDescent="0.25">
      <c r="A202" t="s">
        <v>189</v>
      </c>
      <c r="B202" t="s">
        <v>245</v>
      </c>
      <c r="C202" t="s">
        <v>720</v>
      </c>
      <c r="D202" t="s">
        <v>2006</v>
      </c>
      <c r="E202" s="138">
        <v>56.719811865031431</v>
      </c>
    </row>
    <row r="203" spans="1:5" x14ac:dyDescent="0.25">
      <c r="A203" t="s">
        <v>189</v>
      </c>
      <c r="B203" t="s">
        <v>245</v>
      </c>
      <c r="C203" t="s">
        <v>721</v>
      </c>
      <c r="D203" t="s">
        <v>2006</v>
      </c>
      <c r="E203" s="138">
        <v>53.628673530708987</v>
      </c>
    </row>
    <row r="204" spans="1:5" x14ac:dyDescent="0.25">
      <c r="A204" t="s">
        <v>189</v>
      </c>
      <c r="B204" t="s">
        <v>245</v>
      </c>
      <c r="C204" t="s">
        <v>722</v>
      </c>
      <c r="D204" t="s">
        <v>2006</v>
      </c>
      <c r="E204" s="138">
        <v>50.475350798328577</v>
      </c>
    </row>
    <row r="205" spans="1:5" x14ac:dyDescent="0.25">
      <c r="A205" t="s">
        <v>189</v>
      </c>
      <c r="B205" t="s">
        <v>245</v>
      </c>
      <c r="C205" t="s">
        <v>723</v>
      </c>
      <c r="D205" t="s">
        <v>2006</v>
      </c>
      <c r="E205" s="138">
        <v>50.966431520154131</v>
      </c>
    </row>
    <row r="206" spans="1:5" x14ac:dyDescent="0.25">
      <c r="A206" t="s">
        <v>189</v>
      </c>
      <c r="B206" t="s">
        <v>246</v>
      </c>
      <c r="C206" t="s">
        <v>724</v>
      </c>
      <c r="D206" t="s">
        <v>2006</v>
      </c>
      <c r="E206" s="138">
        <v>42.004798163952259</v>
      </c>
    </row>
    <row r="207" spans="1:5" x14ac:dyDescent="0.25">
      <c r="A207" t="s">
        <v>189</v>
      </c>
      <c r="B207" t="s">
        <v>246</v>
      </c>
      <c r="C207" t="s">
        <v>725</v>
      </c>
      <c r="D207" t="s">
        <v>2006</v>
      </c>
      <c r="E207" s="138">
        <v>57.142857142857139</v>
      </c>
    </row>
    <row r="208" spans="1:5" x14ac:dyDescent="0.25">
      <c r="A208" t="s">
        <v>189</v>
      </c>
      <c r="B208" t="s">
        <v>246</v>
      </c>
      <c r="C208" t="s">
        <v>726</v>
      </c>
      <c r="D208" t="s">
        <v>2006</v>
      </c>
      <c r="E208" s="138">
        <v>50.686378035902848</v>
      </c>
    </row>
    <row r="209" spans="1:5" x14ac:dyDescent="0.25">
      <c r="A209" t="s">
        <v>189</v>
      </c>
      <c r="B209" t="s">
        <v>246</v>
      </c>
      <c r="C209" t="s">
        <v>727</v>
      </c>
      <c r="D209" t="s">
        <v>2006</v>
      </c>
      <c r="E209" s="138">
        <v>52.036505265326703</v>
      </c>
    </row>
    <row r="210" spans="1:5" x14ac:dyDescent="0.25">
      <c r="A210" t="s">
        <v>189</v>
      </c>
      <c r="B210" t="s">
        <v>246</v>
      </c>
      <c r="C210" t="s">
        <v>728</v>
      </c>
      <c r="D210" t="s">
        <v>2006</v>
      </c>
      <c r="E210" s="138">
        <v>42.48268412795835</v>
      </c>
    </row>
    <row r="211" spans="1:5" x14ac:dyDescent="0.25">
      <c r="A211" t="s">
        <v>189</v>
      </c>
      <c r="B211" t="s">
        <v>246</v>
      </c>
      <c r="C211" t="s">
        <v>729</v>
      </c>
      <c r="D211" t="s">
        <v>2006</v>
      </c>
      <c r="E211" s="138">
        <v>51.855779427359487</v>
      </c>
    </row>
    <row r="212" spans="1:5" x14ac:dyDescent="0.25">
      <c r="A212" t="s">
        <v>189</v>
      </c>
      <c r="B212" t="s">
        <v>246</v>
      </c>
      <c r="C212" t="s">
        <v>730</v>
      </c>
      <c r="D212" t="s">
        <v>2006</v>
      </c>
      <c r="E212" s="138"/>
    </row>
    <row r="213" spans="1:5" x14ac:dyDescent="0.25">
      <c r="A213" t="s">
        <v>189</v>
      </c>
      <c r="B213" t="s">
        <v>246</v>
      </c>
      <c r="C213" t="s">
        <v>731</v>
      </c>
      <c r="D213" t="s">
        <v>2006</v>
      </c>
      <c r="E213" s="138">
        <v>57.433714075399102</v>
      </c>
    </row>
    <row r="214" spans="1:5" x14ac:dyDescent="0.25">
      <c r="A214" t="s">
        <v>189</v>
      </c>
      <c r="B214" t="s">
        <v>246</v>
      </c>
      <c r="C214" t="s">
        <v>732</v>
      </c>
      <c r="D214" t="s">
        <v>2006</v>
      </c>
      <c r="E214" s="138">
        <v>54.286234364377933</v>
      </c>
    </row>
    <row r="215" spans="1:5" x14ac:dyDescent="0.25">
      <c r="A215" t="s">
        <v>189</v>
      </c>
      <c r="B215" t="s">
        <v>246</v>
      </c>
      <c r="C215" t="s">
        <v>733</v>
      </c>
      <c r="D215" t="s">
        <v>2006</v>
      </c>
      <c r="E215" s="138">
        <v>63.453306934474753</v>
      </c>
    </row>
    <row r="216" spans="1:5" x14ac:dyDescent="0.25">
      <c r="A216" t="s">
        <v>189</v>
      </c>
      <c r="B216" t="s">
        <v>246</v>
      </c>
      <c r="C216" t="s">
        <v>734</v>
      </c>
      <c r="D216" t="s">
        <v>2006</v>
      </c>
      <c r="E216" s="138">
        <v>52.931030319919067</v>
      </c>
    </row>
    <row r="217" spans="1:5" x14ac:dyDescent="0.25">
      <c r="A217" t="s">
        <v>189</v>
      </c>
      <c r="B217" t="s">
        <v>246</v>
      </c>
      <c r="C217" t="s">
        <v>735</v>
      </c>
      <c r="D217" t="s">
        <v>2006</v>
      </c>
      <c r="E217" s="138">
        <v>54.705274043433292</v>
      </c>
    </row>
    <row r="218" spans="1:5" x14ac:dyDescent="0.25">
      <c r="A218" t="s">
        <v>189</v>
      </c>
      <c r="B218" t="s">
        <v>246</v>
      </c>
      <c r="C218" t="s">
        <v>736</v>
      </c>
      <c r="D218" t="s">
        <v>2006</v>
      </c>
      <c r="E218" s="138">
        <v>40.848214285714278</v>
      </c>
    </row>
    <row r="219" spans="1:5" x14ac:dyDescent="0.25">
      <c r="A219" t="s">
        <v>189</v>
      </c>
      <c r="B219" t="s">
        <v>246</v>
      </c>
      <c r="C219" t="s">
        <v>737</v>
      </c>
      <c r="D219" t="s">
        <v>2006</v>
      </c>
      <c r="E219" s="138">
        <v>57.750759878419458</v>
      </c>
    </row>
    <row r="220" spans="1:5" x14ac:dyDescent="0.25">
      <c r="A220" t="s">
        <v>189</v>
      </c>
      <c r="B220" t="s">
        <v>246</v>
      </c>
      <c r="C220" t="s">
        <v>738</v>
      </c>
      <c r="D220" t="s">
        <v>2006</v>
      </c>
      <c r="E220" s="138">
        <v>39.769950688882801</v>
      </c>
    </row>
    <row r="221" spans="1:5" x14ac:dyDescent="0.25">
      <c r="A221" t="s">
        <v>189</v>
      </c>
      <c r="B221" t="s">
        <v>246</v>
      </c>
      <c r="C221" t="s">
        <v>739</v>
      </c>
      <c r="D221" t="s">
        <v>2006</v>
      </c>
      <c r="E221" s="138">
        <v>49.069734530206603</v>
      </c>
    </row>
    <row r="222" spans="1:5" x14ac:dyDescent="0.25">
      <c r="A222" t="s">
        <v>189</v>
      </c>
      <c r="B222" t="s">
        <v>246</v>
      </c>
      <c r="C222" t="s">
        <v>740</v>
      </c>
      <c r="D222" t="s">
        <v>2006</v>
      </c>
      <c r="E222" s="138">
        <v>60.536360150206917</v>
      </c>
    </row>
    <row r="223" spans="1:5" x14ac:dyDescent="0.25">
      <c r="A223" t="s">
        <v>189</v>
      </c>
      <c r="B223" t="s">
        <v>246</v>
      </c>
      <c r="C223" t="s">
        <v>741</v>
      </c>
      <c r="D223" t="s">
        <v>2006</v>
      </c>
      <c r="E223" s="138">
        <v>47.398665976523013</v>
      </c>
    </row>
    <row r="224" spans="1:5" x14ac:dyDescent="0.25">
      <c r="A224" t="s">
        <v>189</v>
      </c>
      <c r="B224" t="s">
        <v>247</v>
      </c>
      <c r="C224" t="s">
        <v>742</v>
      </c>
      <c r="D224" t="s">
        <v>2007</v>
      </c>
      <c r="E224" s="138">
        <v>9.5296729644431455</v>
      </c>
    </row>
    <row r="225" spans="1:5" x14ac:dyDescent="0.25">
      <c r="A225" t="s">
        <v>189</v>
      </c>
      <c r="B225" t="s">
        <v>248</v>
      </c>
      <c r="C225" t="s">
        <v>743</v>
      </c>
      <c r="D225" t="s">
        <v>2007</v>
      </c>
      <c r="E225" s="138">
        <v>10.291481505472619</v>
      </c>
    </row>
    <row r="226" spans="1:5" x14ac:dyDescent="0.25">
      <c r="A226" t="s">
        <v>189</v>
      </c>
      <c r="B226" t="s">
        <v>248</v>
      </c>
      <c r="C226" t="s">
        <v>744</v>
      </c>
      <c r="D226" t="s">
        <v>2007</v>
      </c>
      <c r="E226" s="138">
        <v>10.72092459830313</v>
      </c>
    </row>
    <row r="227" spans="1:5" x14ac:dyDescent="0.25">
      <c r="A227" t="s">
        <v>189</v>
      </c>
      <c r="B227" t="s">
        <v>248</v>
      </c>
      <c r="C227" t="s">
        <v>745</v>
      </c>
      <c r="D227" t="s">
        <v>2007</v>
      </c>
      <c r="E227" s="138">
        <v>7.0406949553781164</v>
      </c>
    </row>
    <row r="228" spans="1:5" x14ac:dyDescent="0.25">
      <c r="A228" t="s">
        <v>189</v>
      </c>
      <c r="B228" t="s">
        <v>248</v>
      </c>
      <c r="C228" t="s">
        <v>746</v>
      </c>
      <c r="D228" t="s">
        <v>2007</v>
      </c>
      <c r="E228" s="138">
        <v>7.9537625860827266</v>
      </c>
    </row>
    <row r="229" spans="1:5" x14ac:dyDescent="0.25">
      <c r="A229" t="s">
        <v>189</v>
      </c>
      <c r="B229" t="s">
        <v>249</v>
      </c>
      <c r="C229" t="s">
        <v>747</v>
      </c>
      <c r="D229" t="s">
        <v>2007</v>
      </c>
      <c r="E229" s="138">
        <v>12.1663171145706</v>
      </c>
    </row>
    <row r="230" spans="1:5" x14ac:dyDescent="0.25">
      <c r="A230" t="s">
        <v>189</v>
      </c>
      <c r="B230" t="s">
        <v>249</v>
      </c>
      <c r="C230" t="s">
        <v>748</v>
      </c>
      <c r="D230" t="s">
        <v>2007</v>
      </c>
      <c r="E230" s="138">
        <v>9.4628256042761496</v>
      </c>
    </row>
    <row r="231" spans="1:5" x14ac:dyDescent="0.25">
      <c r="A231" t="s">
        <v>189</v>
      </c>
      <c r="B231" t="s">
        <v>249</v>
      </c>
      <c r="C231" t="s">
        <v>749</v>
      </c>
      <c r="D231" t="s">
        <v>2007</v>
      </c>
      <c r="E231" s="138">
        <v>7.9113571180187803</v>
      </c>
    </row>
    <row r="232" spans="1:5" x14ac:dyDescent="0.25">
      <c r="A232" t="s">
        <v>189</v>
      </c>
      <c r="B232" t="s">
        <v>249</v>
      </c>
      <c r="C232" t="s">
        <v>750</v>
      </c>
      <c r="D232" t="s">
        <v>2007</v>
      </c>
      <c r="E232" s="138">
        <v>8.3652453825325122</v>
      </c>
    </row>
    <row r="233" spans="1:5" x14ac:dyDescent="0.25">
      <c r="A233" t="s">
        <v>189</v>
      </c>
      <c r="B233" t="s">
        <v>250</v>
      </c>
      <c r="C233" t="s">
        <v>751</v>
      </c>
      <c r="D233" t="s">
        <v>2007</v>
      </c>
      <c r="E233" s="138">
        <v>9.4876465043655234</v>
      </c>
    </row>
    <row r="234" spans="1:5" x14ac:dyDescent="0.25">
      <c r="A234" t="s">
        <v>189</v>
      </c>
      <c r="B234" t="s">
        <v>250</v>
      </c>
      <c r="C234" t="s">
        <v>752</v>
      </c>
      <c r="D234" t="s">
        <v>2007</v>
      </c>
      <c r="E234" s="138">
        <v>9.5723696787128052</v>
      </c>
    </row>
    <row r="235" spans="1:5" x14ac:dyDescent="0.25">
      <c r="A235" t="s">
        <v>189</v>
      </c>
      <c r="B235" t="s">
        <v>251</v>
      </c>
      <c r="C235" t="s">
        <v>753</v>
      </c>
      <c r="D235" t="s">
        <v>2007</v>
      </c>
      <c r="E235" s="138">
        <v>9.9215149540909362</v>
      </c>
    </row>
    <row r="236" spans="1:5" x14ac:dyDescent="0.25">
      <c r="A236" t="s">
        <v>189</v>
      </c>
      <c r="B236" t="s">
        <v>251</v>
      </c>
      <c r="C236" t="s">
        <v>754</v>
      </c>
      <c r="D236" t="s">
        <v>2007</v>
      </c>
      <c r="E236" s="138">
        <v>9.1846111784030082</v>
      </c>
    </row>
    <row r="237" spans="1:5" x14ac:dyDescent="0.25">
      <c r="A237" t="s">
        <v>189</v>
      </c>
      <c r="B237" t="s">
        <v>252</v>
      </c>
      <c r="C237" t="s">
        <v>755</v>
      </c>
      <c r="D237" t="s">
        <v>2007</v>
      </c>
      <c r="E237" s="138">
        <v>10.735314007175459</v>
      </c>
    </row>
    <row r="238" spans="1:5" x14ac:dyDescent="0.25">
      <c r="A238" t="s">
        <v>189</v>
      </c>
      <c r="B238" t="s">
        <v>252</v>
      </c>
      <c r="C238" t="s">
        <v>756</v>
      </c>
      <c r="D238" t="s">
        <v>2007</v>
      </c>
      <c r="E238" s="138">
        <v>9.1805356483038185</v>
      </c>
    </row>
    <row r="239" spans="1:5" x14ac:dyDescent="0.25">
      <c r="A239" t="s">
        <v>189</v>
      </c>
      <c r="B239" t="s">
        <v>253</v>
      </c>
      <c r="C239" t="s">
        <v>757</v>
      </c>
      <c r="D239" t="s">
        <v>2007</v>
      </c>
      <c r="E239" s="138">
        <v>11.270976866649139</v>
      </c>
    </row>
    <row r="240" spans="1:5" x14ac:dyDescent="0.25">
      <c r="A240" t="s">
        <v>189</v>
      </c>
      <c r="B240" t="s">
        <v>253</v>
      </c>
      <c r="C240" t="s">
        <v>758</v>
      </c>
      <c r="D240" t="s">
        <v>2007</v>
      </c>
      <c r="E240" s="138">
        <v>9.4142327712487681</v>
      </c>
    </row>
    <row r="241" spans="1:5" x14ac:dyDescent="0.25">
      <c r="A241" t="s">
        <v>189</v>
      </c>
      <c r="B241" t="s">
        <v>253</v>
      </c>
      <c r="C241" t="s">
        <v>759</v>
      </c>
      <c r="D241" t="s">
        <v>2007</v>
      </c>
      <c r="E241" s="138">
        <v>9.6286326955352752</v>
      </c>
    </row>
    <row r="242" spans="1:5" x14ac:dyDescent="0.25">
      <c r="A242" t="s">
        <v>189</v>
      </c>
      <c r="B242" t="s">
        <v>253</v>
      </c>
      <c r="C242" t="s">
        <v>760</v>
      </c>
      <c r="D242" t="s">
        <v>2007</v>
      </c>
      <c r="E242" s="138">
        <v>7.9091447546007307</v>
      </c>
    </row>
    <row r="243" spans="1:5" x14ac:dyDescent="0.25">
      <c r="A243" t="s">
        <v>189</v>
      </c>
      <c r="B243" t="s">
        <v>254</v>
      </c>
      <c r="C243" t="s">
        <v>761</v>
      </c>
      <c r="D243" t="s">
        <v>2007</v>
      </c>
      <c r="E243" s="138">
        <v>2.1169007820990031</v>
      </c>
    </row>
    <row r="244" spans="1:5" x14ac:dyDescent="0.25">
      <c r="A244" t="s">
        <v>189</v>
      </c>
      <c r="B244" t="s">
        <v>254</v>
      </c>
      <c r="C244" t="s">
        <v>762</v>
      </c>
      <c r="D244" t="s">
        <v>2007</v>
      </c>
      <c r="E244" s="138">
        <v>5.7710501419110676</v>
      </c>
    </row>
    <row r="245" spans="1:5" x14ac:dyDescent="0.25">
      <c r="A245" t="s">
        <v>189</v>
      </c>
      <c r="B245" t="s">
        <v>254</v>
      </c>
      <c r="C245" t="s">
        <v>763</v>
      </c>
      <c r="D245" t="s">
        <v>2007</v>
      </c>
      <c r="E245" s="138">
        <v>12.777191129883841</v>
      </c>
    </row>
    <row r="246" spans="1:5" x14ac:dyDescent="0.25">
      <c r="A246" t="s">
        <v>189</v>
      </c>
      <c r="B246" t="s">
        <v>254</v>
      </c>
      <c r="C246" t="s">
        <v>764</v>
      </c>
      <c r="D246" t="s">
        <v>2007</v>
      </c>
      <c r="E246" s="138">
        <v>8.4135073060365162</v>
      </c>
    </row>
    <row r="247" spans="1:5" x14ac:dyDescent="0.25">
      <c r="A247" t="s">
        <v>189</v>
      </c>
      <c r="B247" t="s">
        <v>254</v>
      </c>
      <c r="C247" t="s">
        <v>765</v>
      </c>
      <c r="D247" t="s">
        <v>2007</v>
      </c>
      <c r="E247" s="138">
        <v>3.5919355372857722</v>
      </c>
    </row>
    <row r="248" spans="1:5" x14ac:dyDescent="0.25">
      <c r="A248" t="s">
        <v>189</v>
      </c>
      <c r="B248" t="s">
        <v>254</v>
      </c>
      <c r="C248" t="s">
        <v>766</v>
      </c>
      <c r="D248" t="s">
        <v>2007</v>
      </c>
      <c r="E248" s="138">
        <v>14.20996818663839</v>
      </c>
    </row>
    <row r="249" spans="1:5" x14ac:dyDescent="0.25">
      <c r="A249" t="s">
        <v>189</v>
      </c>
      <c r="B249" t="s">
        <v>254</v>
      </c>
      <c r="C249" t="s">
        <v>767</v>
      </c>
      <c r="D249" t="s">
        <v>2007</v>
      </c>
      <c r="E249" s="138"/>
    </row>
    <row r="250" spans="1:5" x14ac:dyDescent="0.25">
      <c r="A250" t="s">
        <v>189</v>
      </c>
      <c r="B250" t="s">
        <v>254</v>
      </c>
      <c r="C250" t="s">
        <v>768</v>
      </c>
      <c r="D250" t="s">
        <v>2007</v>
      </c>
      <c r="E250" s="138">
        <v>6.5365004095016417</v>
      </c>
    </row>
    <row r="251" spans="1:5" x14ac:dyDescent="0.25">
      <c r="A251" t="s">
        <v>189</v>
      </c>
      <c r="B251" t="s">
        <v>254</v>
      </c>
      <c r="C251" t="s">
        <v>769</v>
      </c>
      <c r="D251" t="s">
        <v>2007</v>
      </c>
      <c r="E251" s="138">
        <v>14.09508167946862</v>
      </c>
    </row>
    <row r="252" spans="1:5" x14ac:dyDescent="0.25">
      <c r="A252" t="s">
        <v>189</v>
      </c>
      <c r="B252" t="s">
        <v>254</v>
      </c>
      <c r="C252" t="s">
        <v>770</v>
      </c>
      <c r="D252" t="s">
        <v>2007</v>
      </c>
      <c r="E252" s="138">
        <v>6.6625512688564124</v>
      </c>
    </row>
    <row r="253" spans="1:5" x14ac:dyDescent="0.25">
      <c r="A253" t="s">
        <v>189</v>
      </c>
      <c r="B253" t="s">
        <v>254</v>
      </c>
      <c r="C253" t="s">
        <v>771</v>
      </c>
      <c r="D253" t="s">
        <v>2007</v>
      </c>
      <c r="E253" s="138">
        <v>16.438845236666801</v>
      </c>
    </row>
    <row r="254" spans="1:5" x14ac:dyDescent="0.25">
      <c r="A254" t="s">
        <v>189</v>
      </c>
      <c r="B254" t="s">
        <v>254</v>
      </c>
      <c r="C254" t="s">
        <v>772</v>
      </c>
      <c r="D254" t="s">
        <v>2007</v>
      </c>
      <c r="E254" s="138">
        <v>13.34022750775595</v>
      </c>
    </row>
    <row r="255" spans="1:5" x14ac:dyDescent="0.25">
      <c r="A255" t="s">
        <v>189</v>
      </c>
      <c r="B255" t="s">
        <v>254</v>
      </c>
      <c r="C255" t="s">
        <v>773</v>
      </c>
      <c r="D255" t="s">
        <v>2007</v>
      </c>
      <c r="E255" s="138">
        <v>4.6875</v>
      </c>
    </row>
    <row r="256" spans="1:5" x14ac:dyDescent="0.25">
      <c r="A256" t="s">
        <v>189</v>
      </c>
      <c r="B256" t="s">
        <v>254</v>
      </c>
      <c r="C256" t="s">
        <v>774</v>
      </c>
      <c r="D256" t="s">
        <v>2007</v>
      </c>
      <c r="E256" s="138">
        <v>4.0526849037487338</v>
      </c>
    </row>
    <row r="257" spans="1:5" x14ac:dyDescent="0.25">
      <c r="A257" t="s">
        <v>189</v>
      </c>
      <c r="B257" t="s">
        <v>254</v>
      </c>
      <c r="C257" t="s">
        <v>775</v>
      </c>
      <c r="D257" t="s">
        <v>2007</v>
      </c>
      <c r="E257" s="138">
        <v>4.4560995137849559</v>
      </c>
    </row>
    <row r="258" spans="1:5" x14ac:dyDescent="0.25">
      <c r="A258" t="s">
        <v>189</v>
      </c>
      <c r="B258" t="s">
        <v>254</v>
      </c>
      <c r="C258" t="s">
        <v>776</v>
      </c>
      <c r="D258" t="s">
        <v>2007</v>
      </c>
      <c r="E258" s="138">
        <v>14.78889007263804</v>
      </c>
    </row>
    <row r="259" spans="1:5" x14ac:dyDescent="0.25">
      <c r="A259" t="s">
        <v>189</v>
      </c>
      <c r="B259" t="s">
        <v>254</v>
      </c>
      <c r="C259" t="s">
        <v>777</v>
      </c>
      <c r="D259" t="s">
        <v>2007</v>
      </c>
      <c r="E259" s="138">
        <v>7.1526694973494456</v>
      </c>
    </row>
    <row r="260" spans="1:5" x14ac:dyDescent="0.25">
      <c r="A260" t="s">
        <v>189</v>
      </c>
      <c r="B260" t="s">
        <v>254</v>
      </c>
      <c r="C260" t="s">
        <v>778</v>
      </c>
      <c r="D260" t="s">
        <v>2007</v>
      </c>
      <c r="E260" s="138">
        <v>21.507131406593579</v>
      </c>
    </row>
    <row r="261" spans="1:5" x14ac:dyDescent="0.25">
      <c r="A261" t="s">
        <v>189</v>
      </c>
      <c r="B261" t="s">
        <v>255</v>
      </c>
      <c r="C261" t="s">
        <v>779</v>
      </c>
      <c r="D261" t="s">
        <v>2008</v>
      </c>
      <c r="E261" s="138">
        <v>1.7358431626277659</v>
      </c>
    </row>
    <row r="262" spans="1:5" x14ac:dyDescent="0.25">
      <c r="A262" t="s">
        <v>189</v>
      </c>
      <c r="B262" t="s">
        <v>256</v>
      </c>
      <c r="C262" t="s">
        <v>780</v>
      </c>
      <c r="D262" t="s">
        <v>2008</v>
      </c>
      <c r="E262" s="138">
        <v>1.7352929727220849</v>
      </c>
    </row>
    <row r="263" spans="1:5" x14ac:dyDescent="0.25">
      <c r="A263" t="s">
        <v>189</v>
      </c>
      <c r="B263" t="s">
        <v>256</v>
      </c>
      <c r="C263" t="s">
        <v>781</v>
      </c>
      <c r="D263" t="s">
        <v>2008</v>
      </c>
      <c r="E263" s="138">
        <v>1.636234207501194</v>
      </c>
    </row>
    <row r="264" spans="1:5" x14ac:dyDescent="0.25">
      <c r="A264" t="s">
        <v>189</v>
      </c>
      <c r="B264" t="s">
        <v>256</v>
      </c>
      <c r="C264" t="s">
        <v>782</v>
      </c>
      <c r="D264" t="s">
        <v>2008</v>
      </c>
      <c r="E264" s="138">
        <v>1.7858924462927821</v>
      </c>
    </row>
    <row r="265" spans="1:5" x14ac:dyDescent="0.25">
      <c r="A265" t="s">
        <v>189</v>
      </c>
      <c r="B265" t="s">
        <v>256</v>
      </c>
      <c r="C265" t="s">
        <v>783</v>
      </c>
      <c r="D265" t="s">
        <v>2008</v>
      </c>
      <c r="E265" s="138">
        <v>2.081615199469506</v>
      </c>
    </row>
    <row r="266" spans="1:5" x14ac:dyDescent="0.25">
      <c r="A266" t="s">
        <v>189</v>
      </c>
      <c r="B266" t="s">
        <v>257</v>
      </c>
      <c r="C266" t="s">
        <v>784</v>
      </c>
      <c r="D266" t="s">
        <v>2008</v>
      </c>
      <c r="E266" s="138">
        <v>1.843955991656816</v>
      </c>
    </row>
    <row r="267" spans="1:5" x14ac:dyDescent="0.25">
      <c r="A267" t="s">
        <v>189</v>
      </c>
      <c r="B267" t="s">
        <v>257</v>
      </c>
      <c r="C267" t="s">
        <v>785</v>
      </c>
      <c r="D267" t="s">
        <v>2008</v>
      </c>
      <c r="E267" s="138">
        <v>1.6225983920928939</v>
      </c>
    </row>
    <row r="268" spans="1:5" x14ac:dyDescent="0.25">
      <c r="A268" t="s">
        <v>189</v>
      </c>
      <c r="B268" t="s">
        <v>257</v>
      </c>
      <c r="C268" t="s">
        <v>786</v>
      </c>
      <c r="D268" t="s">
        <v>2008</v>
      </c>
      <c r="E268" s="138">
        <v>1.8825023499532001</v>
      </c>
    </row>
    <row r="269" spans="1:5" x14ac:dyDescent="0.25">
      <c r="A269" t="s">
        <v>189</v>
      </c>
      <c r="B269" t="s">
        <v>257</v>
      </c>
      <c r="C269" t="s">
        <v>787</v>
      </c>
      <c r="D269" t="s">
        <v>2008</v>
      </c>
      <c r="E269" s="138">
        <v>1.400054705687253</v>
      </c>
    </row>
    <row r="270" spans="1:5" x14ac:dyDescent="0.25">
      <c r="A270" t="s">
        <v>189</v>
      </c>
      <c r="B270" t="s">
        <v>258</v>
      </c>
      <c r="C270" t="s">
        <v>788</v>
      </c>
      <c r="D270" t="s">
        <v>2008</v>
      </c>
      <c r="E270" s="138">
        <v>1.610142767787812</v>
      </c>
    </row>
    <row r="271" spans="1:5" x14ac:dyDescent="0.25">
      <c r="A271" t="s">
        <v>189</v>
      </c>
      <c r="B271" t="s">
        <v>258</v>
      </c>
      <c r="C271" t="s">
        <v>789</v>
      </c>
      <c r="D271" t="s">
        <v>2008</v>
      </c>
      <c r="E271" s="138">
        <v>1.863548275838637</v>
      </c>
    </row>
    <row r="272" spans="1:5" x14ac:dyDescent="0.25">
      <c r="A272" t="s">
        <v>189</v>
      </c>
      <c r="B272" t="s">
        <v>259</v>
      </c>
      <c r="C272" t="s">
        <v>790</v>
      </c>
      <c r="D272" t="s">
        <v>2008</v>
      </c>
      <c r="E272" s="138">
        <v>1.613384289019387</v>
      </c>
    </row>
    <row r="273" spans="1:5" x14ac:dyDescent="0.25">
      <c r="A273" t="s">
        <v>189</v>
      </c>
      <c r="B273" t="s">
        <v>259</v>
      </c>
      <c r="C273" t="s">
        <v>791</v>
      </c>
      <c r="D273" t="s">
        <v>2008</v>
      </c>
      <c r="E273" s="138">
        <v>1.834294348486915</v>
      </c>
    </row>
    <row r="274" spans="1:5" x14ac:dyDescent="0.25">
      <c r="A274" t="s">
        <v>189</v>
      </c>
      <c r="B274" t="s">
        <v>260</v>
      </c>
      <c r="C274" t="s">
        <v>792</v>
      </c>
      <c r="D274" t="s">
        <v>2008</v>
      </c>
      <c r="E274" s="138">
        <v>1.3721413011401979</v>
      </c>
    </row>
    <row r="275" spans="1:5" x14ac:dyDescent="0.25">
      <c r="A275" t="s">
        <v>189</v>
      </c>
      <c r="B275" t="s">
        <v>260</v>
      </c>
      <c r="C275" t="s">
        <v>793</v>
      </c>
      <c r="D275" t="s">
        <v>2008</v>
      </c>
      <c r="E275" s="138">
        <v>1.866503662724347</v>
      </c>
    </row>
    <row r="276" spans="1:5" x14ac:dyDescent="0.25">
      <c r="A276" t="s">
        <v>189</v>
      </c>
      <c r="B276" t="s">
        <v>261</v>
      </c>
      <c r="C276" t="s">
        <v>794</v>
      </c>
      <c r="D276" t="s">
        <v>2008</v>
      </c>
      <c r="E276" s="138">
        <v>0.72090130000057384</v>
      </c>
    </row>
    <row r="277" spans="1:5" x14ac:dyDescent="0.25">
      <c r="A277" t="s">
        <v>189</v>
      </c>
      <c r="B277" t="s">
        <v>261</v>
      </c>
      <c r="C277" t="s">
        <v>795</v>
      </c>
      <c r="D277" t="s">
        <v>2008</v>
      </c>
      <c r="E277" s="138">
        <v>1.498040122643258</v>
      </c>
    </row>
    <row r="278" spans="1:5" x14ac:dyDescent="0.25">
      <c r="A278" t="s">
        <v>189</v>
      </c>
      <c r="B278" t="s">
        <v>261</v>
      </c>
      <c r="C278" t="s">
        <v>796</v>
      </c>
      <c r="D278" t="s">
        <v>2008</v>
      </c>
      <c r="E278" s="138">
        <v>2.023116617398701</v>
      </c>
    </row>
    <row r="279" spans="1:5" x14ac:dyDescent="0.25">
      <c r="A279" t="s">
        <v>189</v>
      </c>
      <c r="B279" t="s">
        <v>261</v>
      </c>
      <c r="C279" t="s">
        <v>797</v>
      </c>
      <c r="D279" t="s">
        <v>2008</v>
      </c>
      <c r="E279" s="138">
        <v>2.34377694553184</v>
      </c>
    </row>
    <row r="280" spans="1:5" x14ac:dyDescent="0.25">
      <c r="A280" t="s">
        <v>189</v>
      </c>
      <c r="B280" t="s">
        <v>262</v>
      </c>
      <c r="C280" t="s">
        <v>798</v>
      </c>
      <c r="D280" t="s">
        <v>2008</v>
      </c>
      <c r="E280" s="138">
        <v>0.99990983294004609</v>
      </c>
    </row>
    <row r="281" spans="1:5" x14ac:dyDescent="0.25">
      <c r="A281" t="s">
        <v>189</v>
      </c>
      <c r="B281" t="s">
        <v>262</v>
      </c>
      <c r="C281" t="s">
        <v>799</v>
      </c>
      <c r="D281" t="s">
        <v>2008</v>
      </c>
      <c r="E281" s="138">
        <v>2.838221381267739</v>
      </c>
    </row>
    <row r="282" spans="1:5" x14ac:dyDescent="0.25">
      <c r="A282" t="s">
        <v>189</v>
      </c>
      <c r="B282" t="s">
        <v>262</v>
      </c>
      <c r="C282" t="s">
        <v>800</v>
      </c>
      <c r="D282" t="s">
        <v>2008</v>
      </c>
      <c r="E282" s="138">
        <v>0.84477296726504747</v>
      </c>
    </row>
    <row r="283" spans="1:5" x14ac:dyDescent="0.25">
      <c r="A283" t="s">
        <v>189</v>
      </c>
      <c r="B283" t="s">
        <v>262</v>
      </c>
      <c r="C283" t="s">
        <v>801</v>
      </c>
      <c r="D283" t="s">
        <v>2008</v>
      </c>
      <c r="E283" s="138">
        <v>1.3820189181777629</v>
      </c>
    </row>
    <row r="284" spans="1:5" x14ac:dyDescent="0.25">
      <c r="A284" t="s">
        <v>189</v>
      </c>
      <c r="B284" t="s">
        <v>262</v>
      </c>
      <c r="C284" t="s">
        <v>802</v>
      </c>
      <c r="D284" t="s">
        <v>2008</v>
      </c>
      <c r="E284" s="138">
        <v>0.59565191030422171</v>
      </c>
    </row>
    <row r="285" spans="1:5" x14ac:dyDescent="0.25">
      <c r="A285" t="s">
        <v>189</v>
      </c>
      <c r="B285" t="s">
        <v>262</v>
      </c>
      <c r="C285" t="s">
        <v>803</v>
      </c>
      <c r="D285" t="s">
        <v>2008</v>
      </c>
      <c r="E285" s="138">
        <v>1.27253446447508</v>
      </c>
    </row>
    <row r="286" spans="1:5" x14ac:dyDescent="0.25">
      <c r="A286" t="s">
        <v>189</v>
      </c>
      <c r="B286" t="s">
        <v>262</v>
      </c>
      <c r="C286" t="s">
        <v>804</v>
      </c>
      <c r="D286" t="s">
        <v>2008</v>
      </c>
      <c r="E286" s="138"/>
    </row>
    <row r="287" spans="1:5" x14ac:dyDescent="0.25">
      <c r="A287" t="s">
        <v>189</v>
      </c>
      <c r="B287" t="s">
        <v>262</v>
      </c>
      <c r="C287" t="s">
        <v>805</v>
      </c>
      <c r="D287" t="s">
        <v>2008</v>
      </c>
      <c r="E287" s="138">
        <v>3.4818277113949621</v>
      </c>
    </row>
    <row r="288" spans="1:5" x14ac:dyDescent="0.25">
      <c r="A288" t="s">
        <v>189</v>
      </c>
      <c r="B288" t="s">
        <v>262</v>
      </c>
      <c r="C288" t="s">
        <v>806</v>
      </c>
      <c r="D288" t="s">
        <v>2008</v>
      </c>
      <c r="E288" s="138">
        <v>0.8689481819833863</v>
      </c>
    </row>
    <row r="289" spans="1:5" x14ac:dyDescent="0.25">
      <c r="A289" t="s">
        <v>189</v>
      </c>
      <c r="B289" t="s">
        <v>262</v>
      </c>
      <c r="C289" t="s">
        <v>807</v>
      </c>
      <c r="D289" t="s">
        <v>2008</v>
      </c>
      <c r="E289" s="138">
        <v>1.6134503838548839</v>
      </c>
    </row>
    <row r="290" spans="1:5" x14ac:dyDescent="0.25">
      <c r="A290" t="s">
        <v>189</v>
      </c>
      <c r="B290" t="s">
        <v>262</v>
      </c>
      <c r="C290" t="s">
        <v>808</v>
      </c>
      <c r="D290" t="s">
        <v>2008</v>
      </c>
      <c r="E290" s="138">
        <v>0.9355462567405276</v>
      </c>
    </row>
    <row r="291" spans="1:5" x14ac:dyDescent="0.25">
      <c r="A291" t="s">
        <v>189</v>
      </c>
      <c r="B291" t="s">
        <v>262</v>
      </c>
      <c r="C291" t="s">
        <v>809</v>
      </c>
      <c r="D291" t="s">
        <v>2008</v>
      </c>
      <c r="E291" s="138">
        <v>2.0682523267838682</v>
      </c>
    </row>
    <row r="292" spans="1:5" x14ac:dyDescent="0.25">
      <c r="A292" t="s">
        <v>189</v>
      </c>
      <c r="B292" t="s">
        <v>262</v>
      </c>
      <c r="C292" t="s">
        <v>810</v>
      </c>
      <c r="D292" t="s">
        <v>2008</v>
      </c>
      <c r="E292" s="138">
        <v>0.4464285714285714</v>
      </c>
    </row>
    <row r="293" spans="1:5" x14ac:dyDescent="0.25">
      <c r="A293" t="s">
        <v>189</v>
      </c>
      <c r="B293" t="s">
        <v>262</v>
      </c>
      <c r="C293" t="s">
        <v>811</v>
      </c>
      <c r="D293" t="s">
        <v>2008</v>
      </c>
      <c r="E293" s="138">
        <v>1.317122593718338</v>
      </c>
    </row>
    <row r="294" spans="1:5" x14ac:dyDescent="0.25">
      <c r="A294" t="s">
        <v>189</v>
      </c>
      <c r="B294" t="s">
        <v>262</v>
      </c>
      <c r="C294" t="s">
        <v>812</v>
      </c>
      <c r="D294" t="s">
        <v>2008</v>
      </c>
      <c r="E294" s="138">
        <v>1.0792047437263099</v>
      </c>
    </row>
    <row r="295" spans="1:5" x14ac:dyDescent="0.25">
      <c r="A295" t="s">
        <v>189</v>
      </c>
      <c r="B295" t="s">
        <v>262</v>
      </c>
      <c r="C295" t="s">
        <v>813</v>
      </c>
      <c r="D295" t="s">
        <v>2008</v>
      </c>
      <c r="E295" s="138">
        <v>1.584004123945457</v>
      </c>
    </row>
    <row r="296" spans="1:5" x14ac:dyDescent="0.25">
      <c r="A296" t="s">
        <v>189</v>
      </c>
      <c r="B296" t="s">
        <v>262</v>
      </c>
      <c r="C296" t="s">
        <v>814</v>
      </c>
      <c r="D296" t="s">
        <v>2008</v>
      </c>
      <c r="E296" s="138">
        <v>0.98407157265489076</v>
      </c>
    </row>
    <row r="297" spans="1:5" x14ac:dyDescent="0.25">
      <c r="A297" t="s">
        <v>189</v>
      </c>
      <c r="B297" t="s">
        <v>262</v>
      </c>
      <c r="C297" t="s">
        <v>815</v>
      </c>
      <c r="D297" t="s">
        <v>2008</v>
      </c>
      <c r="E297" s="138">
        <v>6.3043332112642254</v>
      </c>
    </row>
    <row r="298" spans="1:5" x14ac:dyDescent="0.25">
      <c r="A298" t="s">
        <v>190</v>
      </c>
      <c r="B298" t="s">
        <v>263</v>
      </c>
      <c r="C298" t="s">
        <v>816</v>
      </c>
      <c r="D298" t="s">
        <v>2009</v>
      </c>
      <c r="E298" s="138">
        <v>33.586094071306</v>
      </c>
    </row>
    <row r="299" spans="1:5" x14ac:dyDescent="0.25">
      <c r="A299" t="s">
        <v>190</v>
      </c>
      <c r="B299" t="s">
        <v>264</v>
      </c>
      <c r="C299" t="s">
        <v>817</v>
      </c>
      <c r="D299" t="s">
        <v>2009</v>
      </c>
      <c r="E299" s="138">
        <v>32.11526993336237</v>
      </c>
    </row>
    <row r="300" spans="1:5" x14ac:dyDescent="0.25">
      <c r="A300" t="s">
        <v>190</v>
      </c>
      <c r="B300" t="s">
        <v>264</v>
      </c>
      <c r="C300" t="s">
        <v>818</v>
      </c>
      <c r="D300" t="s">
        <v>2009</v>
      </c>
      <c r="E300" s="138">
        <v>33.06288344065225</v>
      </c>
    </row>
    <row r="301" spans="1:5" x14ac:dyDescent="0.25">
      <c r="A301" t="s">
        <v>190</v>
      </c>
      <c r="B301" t="s">
        <v>264</v>
      </c>
      <c r="C301" t="s">
        <v>819</v>
      </c>
      <c r="D301" t="s">
        <v>2009</v>
      </c>
      <c r="E301" s="138">
        <v>35.910001572046269</v>
      </c>
    </row>
    <row r="302" spans="1:5" x14ac:dyDescent="0.25">
      <c r="A302" t="s">
        <v>190</v>
      </c>
      <c r="B302" t="s">
        <v>264</v>
      </c>
      <c r="C302" t="s">
        <v>820</v>
      </c>
      <c r="D302" t="s">
        <v>2009</v>
      </c>
      <c r="E302" s="138">
        <v>36.13714394100208</v>
      </c>
    </row>
    <row r="303" spans="1:5" x14ac:dyDescent="0.25">
      <c r="A303" t="s">
        <v>190</v>
      </c>
      <c r="B303" t="s">
        <v>265</v>
      </c>
      <c r="C303" t="s">
        <v>821</v>
      </c>
      <c r="D303" t="s">
        <v>2009</v>
      </c>
      <c r="E303" s="138">
        <v>31.1736204735051</v>
      </c>
    </row>
    <row r="304" spans="1:5" x14ac:dyDescent="0.25">
      <c r="A304" t="s">
        <v>190</v>
      </c>
      <c r="B304" t="s">
        <v>265</v>
      </c>
      <c r="C304" t="s">
        <v>822</v>
      </c>
      <c r="D304" t="s">
        <v>2009</v>
      </c>
      <c r="E304" s="138">
        <v>33.385099451301663</v>
      </c>
    </row>
    <row r="305" spans="1:5" x14ac:dyDescent="0.25">
      <c r="A305" t="s">
        <v>190</v>
      </c>
      <c r="B305" t="s">
        <v>265</v>
      </c>
      <c r="C305" t="s">
        <v>823</v>
      </c>
      <c r="D305" t="s">
        <v>2009</v>
      </c>
      <c r="E305" s="138">
        <v>35.289531809604277</v>
      </c>
    </row>
    <row r="306" spans="1:5" x14ac:dyDescent="0.25">
      <c r="A306" t="s">
        <v>190</v>
      </c>
      <c r="B306" t="s">
        <v>265</v>
      </c>
      <c r="C306" t="s">
        <v>824</v>
      </c>
      <c r="D306" t="s">
        <v>2009</v>
      </c>
      <c r="E306" s="138">
        <v>34.90499896104005</v>
      </c>
    </row>
    <row r="307" spans="1:5" x14ac:dyDescent="0.25">
      <c r="A307" t="s">
        <v>190</v>
      </c>
      <c r="B307" t="s">
        <v>266</v>
      </c>
      <c r="C307" t="s">
        <v>825</v>
      </c>
      <c r="D307" t="s">
        <v>2009</v>
      </c>
      <c r="E307" s="138">
        <v>33.555298570473227</v>
      </c>
    </row>
    <row r="308" spans="1:5" x14ac:dyDescent="0.25">
      <c r="A308" t="s">
        <v>190</v>
      </c>
      <c r="B308" t="s">
        <v>266</v>
      </c>
      <c r="C308" t="s">
        <v>826</v>
      </c>
      <c r="D308" t="s">
        <v>2009</v>
      </c>
      <c r="E308" s="138">
        <v>33.618661821602117</v>
      </c>
    </row>
    <row r="309" spans="1:5" x14ac:dyDescent="0.25">
      <c r="A309" t="s">
        <v>190</v>
      </c>
      <c r="B309" t="s">
        <v>267</v>
      </c>
      <c r="C309" t="s">
        <v>827</v>
      </c>
      <c r="D309" t="s">
        <v>2009</v>
      </c>
      <c r="E309" s="138">
        <v>33.445346774884342</v>
      </c>
    </row>
    <row r="310" spans="1:5" x14ac:dyDescent="0.25">
      <c r="A310" t="s">
        <v>190</v>
      </c>
      <c r="B310" t="s">
        <v>267</v>
      </c>
      <c r="C310" t="s">
        <v>828</v>
      </c>
      <c r="D310" t="s">
        <v>2009</v>
      </c>
      <c r="E310" s="138">
        <v>33.482136924104793</v>
      </c>
    </row>
    <row r="311" spans="1:5" x14ac:dyDescent="0.25">
      <c r="A311" t="s">
        <v>190</v>
      </c>
      <c r="B311" t="s">
        <v>268</v>
      </c>
      <c r="C311" t="s">
        <v>829</v>
      </c>
      <c r="D311" t="s">
        <v>2009</v>
      </c>
      <c r="E311" s="138">
        <v>32.671991975530887</v>
      </c>
    </row>
    <row r="312" spans="1:5" x14ac:dyDescent="0.25">
      <c r="A312" t="s">
        <v>190</v>
      </c>
      <c r="B312" t="s">
        <v>268</v>
      </c>
      <c r="C312" t="s">
        <v>830</v>
      </c>
      <c r="D312" t="s">
        <v>2009</v>
      </c>
      <c r="E312" s="138">
        <v>33.795029765218999</v>
      </c>
    </row>
    <row r="313" spans="1:5" x14ac:dyDescent="0.25">
      <c r="A313" t="s">
        <v>190</v>
      </c>
      <c r="B313" t="s">
        <v>269</v>
      </c>
      <c r="C313" t="s">
        <v>831</v>
      </c>
      <c r="D313" t="s">
        <v>2009</v>
      </c>
      <c r="E313" s="138">
        <v>26.339430233694731</v>
      </c>
    </row>
    <row r="314" spans="1:5" x14ac:dyDescent="0.25">
      <c r="A314" t="s">
        <v>190</v>
      </c>
      <c r="B314" t="s">
        <v>269</v>
      </c>
      <c r="C314" t="s">
        <v>832</v>
      </c>
      <c r="D314" t="s">
        <v>2009</v>
      </c>
      <c r="E314" s="138">
        <v>35.821506815676358</v>
      </c>
    </row>
    <row r="315" spans="1:5" x14ac:dyDescent="0.25">
      <c r="A315" t="s">
        <v>190</v>
      </c>
      <c r="B315" t="s">
        <v>269</v>
      </c>
      <c r="C315" t="s">
        <v>833</v>
      </c>
      <c r="D315" t="s">
        <v>2009</v>
      </c>
      <c r="E315" s="138">
        <v>32.56049525765247</v>
      </c>
    </row>
    <row r="316" spans="1:5" x14ac:dyDescent="0.25">
      <c r="A316" t="s">
        <v>190</v>
      </c>
      <c r="B316" t="s">
        <v>269</v>
      </c>
      <c r="C316" t="s">
        <v>834</v>
      </c>
      <c r="D316" t="s">
        <v>2009</v>
      </c>
      <c r="E316" s="138">
        <v>35.727767838038048</v>
      </c>
    </row>
    <row r="317" spans="1:5" x14ac:dyDescent="0.25">
      <c r="A317" t="s">
        <v>190</v>
      </c>
      <c r="B317" t="s">
        <v>270</v>
      </c>
      <c r="C317" t="s">
        <v>835</v>
      </c>
      <c r="D317" t="s">
        <v>2009</v>
      </c>
      <c r="E317" s="138">
        <v>63.688573989759632</v>
      </c>
    </row>
    <row r="318" spans="1:5" x14ac:dyDescent="0.25">
      <c r="A318" t="s">
        <v>190</v>
      </c>
      <c r="B318" t="s">
        <v>270</v>
      </c>
      <c r="C318" t="s">
        <v>836</v>
      </c>
      <c r="D318" t="s">
        <v>2009</v>
      </c>
      <c r="E318" s="138">
        <v>23.647570828919161</v>
      </c>
    </row>
    <row r="319" spans="1:5" x14ac:dyDescent="0.25">
      <c r="A319" t="s">
        <v>190</v>
      </c>
      <c r="B319" t="s">
        <v>270</v>
      </c>
      <c r="C319" t="s">
        <v>837</v>
      </c>
      <c r="D319" t="s">
        <v>2009</v>
      </c>
      <c r="E319" s="138">
        <v>32.920536635706917</v>
      </c>
    </row>
    <row r="320" spans="1:5" x14ac:dyDescent="0.25">
      <c r="A320" t="s">
        <v>190</v>
      </c>
      <c r="B320" t="s">
        <v>270</v>
      </c>
      <c r="C320" t="s">
        <v>838</v>
      </c>
      <c r="D320" t="s">
        <v>2009</v>
      </c>
      <c r="E320" s="138">
        <v>30.460539344371711</v>
      </c>
    </row>
    <row r="321" spans="1:5" x14ac:dyDescent="0.25">
      <c r="A321" t="s">
        <v>190</v>
      </c>
      <c r="B321" t="s">
        <v>270</v>
      </c>
      <c r="C321" t="s">
        <v>839</v>
      </c>
      <c r="D321" t="s">
        <v>2009</v>
      </c>
      <c r="E321" s="138">
        <v>41.498090806361333</v>
      </c>
    </row>
    <row r="322" spans="1:5" x14ac:dyDescent="0.25">
      <c r="A322" t="s">
        <v>190</v>
      </c>
      <c r="B322" t="s">
        <v>270</v>
      </c>
      <c r="C322" t="s">
        <v>840</v>
      </c>
      <c r="D322" t="s">
        <v>2009</v>
      </c>
      <c r="E322" s="138">
        <v>16.111111111111111</v>
      </c>
    </row>
    <row r="323" spans="1:5" x14ac:dyDescent="0.25">
      <c r="A323" t="s">
        <v>190</v>
      </c>
      <c r="B323" t="s">
        <v>270</v>
      </c>
      <c r="C323" t="s">
        <v>841</v>
      </c>
      <c r="D323" t="s">
        <v>2009</v>
      </c>
      <c r="E323" s="138"/>
    </row>
    <row r="324" spans="1:5" x14ac:dyDescent="0.25">
      <c r="A324" t="s">
        <v>190</v>
      </c>
      <c r="B324" t="s">
        <v>270</v>
      </c>
      <c r="C324" t="s">
        <v>842</v>
      </c>
      <c r="D324" t="s">
        <v>2009</v>
      </c>
      <c r="E324" s="138">
        <v>36.331733813118348</v>
      </c>
    </row>
    <row r="325" spans="1:5" x14ac:dyDescent="0.25">
      <c r="A325" t="s">
        <v>190</v>
      </c>
      <c r="B325" t="s">
        <v>270</v>
      </c>
      <c r="C325" t="s">
        <v>843</v>
      </c>
      <c r="D325" t="s">
        <v>2009</v>
      </c>
      <c r="E325" s="138">
        <v>33.817751788014142</v>
      </c>
    </row>
    <row r="326" spans="1:5" x14ac:dyDescent="0.25">
      <c r="A326" t="s">
        <v>190</v>
      </c>
      <c r="B326" t="s">
        <v>270</v>
      </c>
      <c r="C326" t="s">
        <v>844</v>
      </c>
      <c r="D326" t="s">
        <v>2009</v>
      </c>
      <c r="E326" s="138">
        <v>19.116954392149282</v>
      </c>
    </row>
    <row r="327" spans="1:5" x14ac:dyDescent="0.25">
      <c r="A327" t="s">
        <v>190</v>
      </c>
      <c r="B327" t="s">
        <v>270</v>
      </c>
      <c r="C327" t="s">
        <v>845</v>
      </c>
      <c r="D327" t="s">
        <v>2009</v>
      </c>
      <c r="E327" s="138">
        <v>47.921509797128138</v>
      </c>
    </row>
    <row r="328" spans="1:5" x14ac:dyDescent="0.25">
      <c r="A328" t="s">
        <v>190</v>
      </c>
      <c r="B328" t="s">
        <v>270</v>
      </c>
      <c r="C328" t="s">
        <v>846</v>
      </c>
      <c r="D328" t="s">
        <v>2009</v>
      </c>
      <c r="E328" s="138">
        <v>24.035281146637271</v>
      </c>
    </row>
    <row r="329" spans="1:5" x14ac:dyDescent="0.25">
      <c r="A329" t="s">
        <v>190</v>
      </c>
      <c r="B329" t="s">
        <v>270</v>
      </c>
      <c r="C329" t="s">
        <v>847</v>
      </c>
      <c r="D329" t="s">
        <v>2009</v>
      </c>
      <c r="E329" s="138">
        <v>46.764961967574237</v>
      </c>
    </row>
    <row r="330" spans="1:5" x14ac:dyDescent="0.25">
      <c r="A330" t="s">
        <v>190</v>
      </c>
      <c r="B330" t="s">
        <v>270</v>
      </c>
      <c r="C330" t="s">
        <v>848</v>
      </c>
      <c r="D330" t="s">
        <v>2009</v>
      </c>
      <c r="E330" s="138">
        <v>29.156211456363021</v>
      </c>
    </row>
    <row r="331" spans="1:5" x14ac:dyDescent="0.25">
      <c r="A331" t="s">
        <v>190</v>
      </c>
      <c r="B331" t="s">
        <v>270</v>
      </c>
      <c r="C331" t="s">
        <v>849</v>
      </c>
      <c r="D331" t="s">
        <v>2009</v>
      </c>
      <c r="E331" s="138">
        <v>40.033727491073613</v>
      </c>
    </row>
    <row r="332" spans="1:5" x14ac:dyDescent="0.25">
      <c r="A332" t="s">
        <v>190</v>
      </c>
      <c r="B332" t="s">
        <v>270</v>
      </c>
      <c r="C332" t="s">
        <v>850</v>
      </c>
      <c r="D332" t="s">
        <v>2009</v>
      </c>
      <c r="E332" s="138">
        <v>22.207868333073709</v>
      </c>
    </row>
    <row r="333" spans="1:5" x14ac:dyDescent="0.25">
      <c r="A333" t="s">
        <v>190</v>
      </c>
      <c r="B333" t="s">
        <v>270</v>
      </c>
      <c r="C333" t="s">
        <v>851</v>
      </c>
      <c r="D333" t="s">
        <v>2009</v>
      </c>
      <c r="E333" s="138">
        <v>30.414158075809929</v>
      </c>
    </row>
    <row r="334" spans="1:5" x14ac:dyDescent="0.25">
      <c r="A334" t="s">
        <v>190</v>
      </c>
      <c r="B334" t="s">
        <v>270</v>
      </c>
      <c r="C334" t="s">
        <v>852</v>
      </c>
      <c r="D334" t="s">
        <v>2009</v>
      </c>
      <c r="E334" s="138">
        <v>24.287787004647761</v>
      </c>
    </row>
    <row r="335" spans="1:5" x14ac:dyDescent="0.25">
      <c r="A335" t="s">
        <v>190</v>
      </c>
      <c r="B335" t="s">
        <v>271</v>
      </c>
      <c r="C335" t="s">
        <v>853</v>
      </c>
      <c r="D335" t="s">
        <v>2010</v>
      </c>
      <c r="E335" s="138">
        <v>53.297753843337183</v>
      </c>
    </row>
    <row r="336" spans="1:5" x14ac:dyDescent="0.25">
      <c r="A336" t="s">
        <v>190</v>
      </c>
      <c r="B336" t="s">
        <v>272</v>
      </c>
      <c r="C336" t="s">
        <v>854</v>
      </c>
      <c r="D336" t="s">
        <v>2010</v>
      </c>
      <c r="E336" s="138">
        <v>53.929653044556012</v>
      </c>
    </row>
    <row r="337" spans="1:5" x14ac:dyDescent="0.25">
      <c r="A337" t="s">
        <v>190</v>
      </c>
      <c r="B337" t="s">
        <v>272</v>
      </c>
      <c r="C337" t="s">
        <v>855</v>
      </c>
      <c r="D337" t="s">
        <v>2010</v>
      </c>
      <c r="E337" s="138">
        <v>52.967360173815301</v>
      </c>
    </row>
    <row r="338" spans="1:5" x14ac:dyDescent="0.25">
      <c r="A338" t="s">
        <v>190</v>
      </c>
      <c r="B338" t="s">
        <v>272</v>
      </c>
      <c r="C338" t="s">
        <v>856</v>
      </c>
      <c r="D338" t="s">
        <v>2010</v>
      </c>
      <c r="E338" s="138">
        <v>53.243030541721502</v>
      </c>
    </row>
    <row r="339" spans="1:5" x14ac:dyDescent="0.25">
      <c r="A339" t="s">
        <v>190</v>
      </c>
      <c r="B339" t="s">
        <v>272</v>
      </c>
      <c r="C339" t="s">
        <v>857</v>
      </c>
      <c r="D339" t="s">
        <v>2010</v>
      </c>
      <c r="E339" s="138">
        <v>53.273224480326107</v>
      </c>
    </row>
    <row r="340" spans="1:5" x14ac:dyDescent="0.25">
      <c r="A340" t="s">
        <v>190</v>
      </c>
      <c r="B340" t="s">
        <v>273</v>
      </c>
      <c r="C340" t="s">
        <v>858</v>
      </c>
      <c r="D340" t="s">
        <v>2010</v>
      </c>
      <c r="E340" s="138">
        <v>52.625145652657949</v>
      </c>
    </row>
    <row r="341" spans="1:5" x14ac:dyDescent="0.25">
      <c r="A341" t="s">
        <v>190</v>
      </c>
      <c r="B341" t="s">
        <v>273</v>
      </c>
      <c r="C341" t="s">
        <v>859</v>
      </c>
      <c r="D341" t="s">
        <v>2010</v>
      </c>
      <c r="E341" s="138">
        <v>53.559456549015508</v>
      </c>
    </row>
    <row r="342" spans="1:5" x14ac:dyDescent="0.25">
      <c r="A342" t="s">
        <v>190</v>
      </c>
      <c r="B342" t="s">
        <v>273</v>
      </c>
      <c r="C342" t="s">
        <v>860</v>
      </c>
      <c r="D342" t="s">
        <v>2010</v>
      </c>
      <c r="E342" s="138">
        <v>53.504757351993938</v>
      </c>
    </row>
    <row r="343" spans="1:5" x14ac:dyDescent="0.25">
      <c r="A343" t="s">
        <v>190</v>
      </c>
      <c r="B343" t="s">
        <v>273</v>
      </c>
      <c r="C343" t="s">
        <v>861</v>
      </c>
      <c r="D343" t="s">
        <v>2010</v>
      </c>
      <c r="E343" s="138">
        <v>53.188975960734957</v>
      </c>
    </row>
    <row r="344" spans="1:5" x14ac:dyDescent="0.25">
      <c r="A344" t="s">
        <v>190</v>
      </c>
      <c r="B344" t="s">
        <v>274</v>
      </c>
      <c r="C344" t="s">
        <v>862</v>
      </c>
      <c r="D344" t="s">
        <v>2010</v>
      </c>
      <c r="E344" s="138">
        <v>53.346357410793729</v>
      </c>
    </row>
    <row r="345" spans="1:5" x14ac:dyDescent="0.25">
      <c r="A345" t="s">
        <v>190</v>
      </c>
      <c r="B345" t="s">
        <v>274</v>
      </c>
      <c r="C345" t="s">
        <v>863</v>
      </c>
      <c r="D345" t="s">
        <v>2010</v>
      </c>
      <c r="E345" s="138">
        <v>53.246353190461953</v>
      </c>
    </row>
    <row r="346" spans="1:5" x14ac:dyDescent="0.25">
      <c r="A346" t="s">
        <v>190</v>
      </c>
      <c r="B346" t="s">
        <v>275</v>
      </c>
      <c r="C346" t="s">
        <v>864</v>
      </c>
      <c r="D346" t="s">
        <v>2010</v>
      </c>
      <c r="E346" s="138">
        <v>52.200938144125637</v>
      </c>
    </row>
    <row r="347" spans="1:5" x14ac:dyDescent="0.25">
      <c r="A347" t="s">
        <v>190</v>
      </c>
      <c r="B347" t="s">
        <v>275</v>
      </c>
      <c r="C347" t="s">
        <v>865</v>
      </c>
      <c r="D347" t="s">
        <v>2010</v>
      </c>
      <c r="E347" s="138">
        <v>54.290155443381103</v>
      </c>
    </row>
    <row r="348" spans="1:5" x14ac:dyDescent="0.25">
      <c r="A348" t="s">
        <v>190</v>
      </c>
      <c r="B348" t="s">
        <v>276</v>
      </c>
      <c r="C348" t="s">
        <v>866</v>
      </c>
      <c r="D348" t="s">
        <v>2010</v>
      </c>
      <c r="E348" s="138">
        <v>53.722435831868673</v>
      </c>
    </row>
    <row r="349" spans="1:5" x14ac:dyDescent="0.25">
      <c r="A349" t="s">
        <v>190</v>
      </c>
      <c r="B349" t="s">
        <v>276</v>
      </c>
      <c r="C349" t="s">
        <v>867</v>
      </c>
      <c r="D349" t="s">
        <v>2010</v>
      </c>
      <c r="E349" s="138">
        <v>53.244045048119823</v>
      </c>
    </row>
    <row r="350" spans="1:5" x14ac:dyDescent="0.25">
      <c r="A350" t="s">
        <v>190</v>
      </c>
      <c r="B350" t="s">
        <v>277</v>
      </c>
      <c r="C350" t="s">
        <v>868</v>
      </c>
      <c r="D350" t="s">
        <v>2010</v>
      </c>
      <c r="E350" s="138">
        <v>62.459292714014957</v>
      </c>
    </row>
    <row r="351" spans="1:5" x14ac:dyDescent="0.25">
      <c r="A351" t="s">
        <v>190</v>
      </c>
      <c r="B351" t="s">
        <v>277</v>
      </c>
      <c r="C351" t="s">
        <v>869</v>
      </c>
      <c r="D351" t="s">
        <v>2010</v>
      </c>
      <c r="E351" s="138">
        <v>52.114855970474927</v>
      </c>
    </row>
    <row r="352" spans="1:5" x14ac:dyDescent="0.25">
      <c r="A352" t="s">
        <v>190</v>
      </c>
      <c r="B352" t="s">
        <v>277</v>
      </c>
      <c r="C352" t="s">
        <v>870</v>
      </c>
      <c r="D352" t="s">
        <v>2010</v>
      </c>
      <c r="E352" s="138">
        <v>54.173638068171407</v>
      </c>
    </row>
    <row r="353" spans="1:5" x14ac:dyDescent="0.25">
      <c r="A353" t="s">
        <v>190</v>
      </c>
      <c r="B353" t="s">
        <v>277</v>
      </c>
      <c r="C353" t="s">
        <v>871</v>
      </c>
      <c r="D353" t="s">
        <v>2010</v>
      </c>
      <c r="E353" s="138">
        <v>51.423955740888474</v>
      </c>
    </row>
    <row r="354" spans="1:5" x14ac:dyDescent="0.25">
      <c r="A354" t="s">
        <v>190</v>
      </c>
      <c r="B354" t="s">
        <v>278</v>
      </c>
      <c r="C354" t="s">
        <v>872</v>
      </c>
      <c r="D354" t="s">
        <v>2010</v>
      </c>
      <c r="E354" s="138">
        <v>33.837419537814078</v>
      </c>
    </row>
    <row r="355" spans="1:5" x14ac:dyDescent="0.25">
      <c r="A355" t="s">
        <v>190</v>
      </c>
      <c r="B355" t="s">
        <v>278</v>
      </c>
      <c r="C355" t="s">
        <v>873</v>
      </c>
      <c r="D355" t="s">
        <v>2010</v>
      </c>
      <c r="E355" s="138">
        <v>63.166447647879437</v>
      </c>
    </row>
    <row r="356" spans="1:5" x14ac:dyDescent="0.25">
      <c r="A356" t="s">
        <v>190</v>
      </c>
      <c r="B356" t="s">
        <v>278</v>
      </c>
      <c r="C356" t="s">
        <v>874</v>
      </c>
      <c r="D356" t="s">
        <v>2010</v>
      </c>
      <c r="E356" s="138">
        <v>53.044375644994837</v>
      </c>
    </row>
    <row r="357" spans="1:5" x14ac:dyDescent="0.25">
      <c r="A357" t="s">
        <v>190</v>
      </c>
      <c r="B357" t="s">
        <v>278</v>
      </c>
      <c r="C357" t="s">
        <v>875</v>
      </c>
      <c r="D357" t="s">
        <v>2010</v>
      </c>
      <c r="E357" s="138">
        <v>60.406550171028996</v>
      </c>
    </row>
    <row r="358" spans="1:5" x14ac:dyDescent="0.25">
      <c r="A358" t="s">
        <v>190</v>
      </c>
      <c r="B358" t="s">
        <v>278</v>
      </c>
      <c r="C358" t="s">
        <v>876</v>
      </c>
      <c r="D358" t="s">
        <v>2010</v>
      </c>
      <c r="E358" s="138">
        <v>49.21158753447186</v>
      </c>
    </row>
    <row r="359" spans="1:5" x14ac:dyDescent="0.25">
      <c r="A359" t="s">
        <v>190</v>
      </c>
      <c r="B359" t="s">
        <v>278</v>
      </c>
      <c r="C359" t="s">
        <v>877</v>
      </c>
      <c r="D359" t="s">
        <v>2010</v>
      </c>
      <c r="E359" s="138">
        <v>58.888888888888893</v>
      </c>
    </row>
    <row r="360" spans="1:5" x14ac:dyDescent="0.25">
      <c r="A360" t="s">
        <v>190</v>
      </c>
      <c r="B360" t="s">
        <v>278</v>
      </c>
      <c r="C360" t="s">
        <v>878</v>
      </c>
      <c r="D360" t="s">
        <v>2010</v>
      </c>
      <c r="E360" s="138"/>
    </row>
    <row r="361" spans="1:5" x14ac:dyDescent="0.25">
      <c r="A361" t="s">
        <v>190</v>
      </c>
      <c r="B361" t="s">
        <v>278</v>
      </c>
      <c r="C361" t="s">
        <v>879</v>
      </c>
      <c r="D361" t="s">
        <v>2010</v>
      </c>
      <c r="E361" s="138">
        <v>51.988659110337053</v>
      </c>
    </row>
    <row r="362" spans="1:5" x14ac:dyDescent="0.25">
      <c r="A362" t="s">
        <v>190</v>
      </c>
      <c r="B362" t="s">
        <v>278</v>
      </c>
      <c r="C362" t="s">
        <v>880</v>
      </c>
      <c r="D362" t="s">
        <v>2010</v>
      </c>
      <c r="E362" s="138">
        <v>53.320346984979622</v>
      </c>
    </row>
    <row r="363" spans="1:5" x14ac:dyDescent="0.25">
      <c r="A363" t="s">
        <v>190</v>
      </c>
      <c r="B363" t="s">
        <v>278</v>
      </c>
      <c r="C363" t="s">
        <v>881</v>
      </c>
      <c r="D363" t="s">
        <v>2010</v>
      </c>
      <c r="E363" s="138">
        <v>62.49702118981282</v>
      </c>
    </row>
    <row r="364" spans="1:5" x14ac:dyDescent="0.25">
      <c r="A364" t="s">
        <v>190</v>
      </c>
      <c r="B364" t="s">
        <v>278</v>
      </c>
      <c r="C364" t="s">
        <v>882</v>
      </c>
      <c r="D364" t="s">
        <v>2010</v>
      </c>
      <c r="E364" s="138">
        <v>44.352191947010859</v>
      </c>
    </row>
    <row r="365" spans="1:5" x14ac:dyDescent="0.25">
      <c r="A365" t="s">
        <v>190</v>
      </c>
      <c r="B365" t="s">
        <v>278</v>
      </c>
      <c r="C365" t="s">
        <v>883</v>
      </c>
      <c r="D365" t="s">
        <v>2010</v>
      </c>
      <c r="E365" s="138">
        <v>54.355016538037482</v>
      </c>
    </row>
    <row r="366" spans="1:5" x14ac:dyDescent="0.25">
      <c r="A366" t="s">
        <v>190</v>
      </c>
      <c r="B366" t="s">
        <v>278</v>
      </c>
      <c r="C366" t="s">
        <v>884</v>
      </c>
      <c r="D366" t="s">
        <v>2010</v>
      </c>
      <c r="E366" s="138">
        <v>45.030658739868883</v>
      </c>
    </row>
    <row r="367" spans="1:5" x14ac:dyDescent="0.25">
      <c r="A367" t="s">
        <v>190</v>
      </c>
      <c r="B367" t="s">
        <v>278</v>
      </c>
      <c r="C367" t="s">
        <v>885</v>
      </c>
      <c r="D367" t="s">
        <v>2010</v>
      </c>
      <c r="E367" s="138">
        <v>56.904711107148373</v>
      </c>
    </row>
    <row r="368" spans="1:5" x14ac:dyDescent="0.25">
      <c r="A368" t="s">
        <v>190</v>
      </c>
      <c r="B368" t="s">
        <v>278</v>
      </c>
      <c r="C368" t="s">
        <v>886</v>
      </c>
      <c r="D368" t="s">
        <v>2010</v>
      </c>
      <c r="E368" s="138">
        <v>52.241447794743983</v>
      </c>
    </row>
    <row r="369" spans="1:5" x14ac:dyDescent="0.25">
      <c r="A369" t="s">
        <v>190</v>
      </c>
      <c r="B369" t="s">
        <v>278</v>
      </c>
      <c r="C369" t="s">
        <v>887</v>
      </c>
      <c r="D369" t="s">
        <v>2010</v>
      </c>
      <c r="E369" s="138">
        <v>59.146824733322667</v>
      </c>
    </row>
    <row r="370" spans="1:5" x14ac:dyDescent="0.25">
      <c r="A370" t="s">
        <v>190</v>
      </c>
      <c r="B370" t="s">
        <v>278</v>
      </c>
      <c r="C370" t="s">
        <v>888</v>
      </c>
      <c r="D370" t="s">
        <v>2010</v>
      </c>
      <c r="E370" s="138">
        <v>61.196389327013122</v>
      </c>
    </row>
    <row r="371" spans="1:5" x14ac:dyDescent="0.25">
      <c r="A371" t="s">
        <v>190</v>
      </c>
      <c r="B371" t="s">
        <v>278</v>
      </c>
      <c r="C371" t="s">
        <v>889</v>
      </c>
      <c r="D371" t="s">
        <v>2010</v>
      </c>
      <c r="E371" s="138">
        <v>50.312580306208389</v>
      </c>
    </row>
    <row r="372" spans="1:5" x14ac:dyDescent="0.25">
      <c r="A372" t="s">
        <v>190</v>
      </c>
      <c r="B372" t="s">
        <v>279</v>
      </c>
      <c r="C372" t="s">
        <v>890</v>
      </c>
      <c r="D372" t="s">
        <v>2011</v>
      </c>
      <c r="E372" s="138">
        <v>10.937457294447031</v>
      </c>
    </row>
    <row r="373" spans="1:5" x14ac:dyDescent="0.25">
      <c r="A373" t="s">
        <v>190</v>
      </c>
      <c r="B373" t="s">
        <v>280</v>
      </c>
      <c r="C373" t="s">
        <v>891</v>
      </c>
      <c r="D373" t="s">
        <v>2011</v>
      </c>
      <c r="E373" s="138">
        <v>12.4225445128184</v>
      </c>
    </row>
    <row r="374" spans="1:5" x14ac:dyDescent="0.25">
      <c r="A374" t="s">
        <v>190</v>
      </c>
      <c r="B374" t="s">
        <v>280</v>
      </c>
      <c r="C374" t="s">
        <v>892</v>
      </c>
      <c r="D374" t="s">
        <v>2011</v>
      </c>
      <c r="E374" s="138">
        <v>11.322238982805059</v>
      </c>
    </row>
    <row r="375" spans="1:5" x14ac:dyDescent="0.25">
      <c r="A375" t="s">
        <v>190</v>
      </c>
      <c r="B375" t="s">
        <v>280</v>
      </c>
      <c r="C375" t="s">
        <v>893</v>
      </c>
      <c r="D375" t="s">
        <v>2011</v>
      </c>
      <c r="E375" s="138">
        <v>8.9054635997903038</v>
      </c>
    </row>
    <row r="376" spans="1:5" x14ac:dyDescent="0.25">
      <c r="A376" t="s">
        <v>190</v>
      </c>
      <c r="B376" t="s">
        <v>280</v>
      </c>
      <c r="C376" t="s">
        <v>894</v>
      </c>
      <c r="D376" t="s">
        <v>2011</v>
      </c>
      <c r="E376" s="138">
        <v>8.4590731313274858</v>
      </c>
    </row>
    <row r="377" spans="1:5" x14ac:dyDescent="0.25">
      <c r="A377" t="s">
        <v>190</v>
      </c>
      <c r="B377" t="s">
        <v>281</v>
      </c>
      <c r="C377" t="s">
        <v>895</v>
      </c>
      <c r="D377" t="s">
        <v>2011</v>
      </c>
      <c r="E377" s="138">
        <v>13.34179707858393</v>
      </c>
    </row>
    <row r="378" spans="1:5" x14ac:dyDescent="0.25">
      <c r="A378" t="s">
        <v>190</v>
      </c>
      <c r="B378" t="s">
        <v>281</v>
      </c>
      <c r="C378" t="s">
        <v>896</v>
      </c>
      <c r="D378" t="s">
        <v>2011</v>
      </c>
      <c r="E378" s="138">
        <v>10.749253891635931</v>
      </c>
    </row>
    <row r="379" spans="1:5" x14ac:dyDescent="0.25">
      <c r="A379" t="s">
        <v>190</v>
      </c>
      <c r="B379" t="s">
        <v>281</v>
      </c>
      <c r="C379" t="s">
        <v>897</v>
      </c>
      <c r="D379" t="s">
        <v>2011</v>
      </c>
      <c r="E379" s="138">
        <v>9.412472211365543</v>
      </c>
    </row>
    <row r="380" spans="1:5" x14ac:dyDescent="0.25">
      <c r="A380" t="s">
        <v>190</v>
      </c>
      <c r="B380" t="s">
        <v>281</v>
      </c>
      <c r="C380" t="s">
        <v>898</v>
      </c>
      <c r="D380" t="s">
        <v>2011</v>
      </c>
      <c r="E380" s="138">
        <v>10.73677294205933</v>
      </c>
    </row>
    <row r="381" spans="1:5" x14ac:dyDescent="0.25">
      <c r="A381" t="s">
        <v>190</v>
      </c>
      <c r="B381" t="s">
        <v>282</v>
      </c>
      <c r="C381" t="s">
        <v>899</v>
      </c>
      <c r="D381" t="s">
        <v>2011</v>
      </c>
      <c r="E381" s="138">
        <v>10.8491154174719</v>
      </c>
    </row>
    <row r="382" spans="1:5" x14ac:dyDescent="0.25">
      <c r="A382" t="s">
        <v>190</v>
      </c>
      <c r="B382" t="s">
        <v>282</v>
      </c>
      <c r="C382" t="s">
        <v>900</v>
      </c>
      <c r="D382" t="s">
        <v>2011</v>
      </c>
      <c r="E382" s="138">
        <v>11.03088315576484</v>
      </c>
    </row>
    <row r="383" spans="1:5" x14ac:dyDescent="0.25">
      <c r="A383" t="s">
        <v>190</v>
      </c>
      <c r="B383" t="s">
        <v>283</v>
      </c>
      <c r="C383" t="s">
        <v>901</v>
      </c>
      <c r="D383" t="s">
        <v>2011</v>
      </c>
      <c r="E383" s="138">
        <v>11.68487699642904</v>
      </c>
    </row>
    <row r="384" spans="1:5" x14ac:dyDescent="0.25">
      <c r="A384" t="s">
        <v>190</v>
      </c>
      <c r="B384" t="s">
        <v>283</v>
      </c>
      <c r="C384" t="s">
        <v>902</v>
      </c>
      <c r="D384" t="s">
        <v>2011</v>
      </c>
      <c r="E384" s="138">
        <v>10.43732587177726</v>
      </c>
    </row>
    <row r="385" spans="1:5" x14ac:dyDescent="0.25">
      <c r="A385" t="s">
        <v>190</v>
      </c>
      <c r="B385" t="s">
        <v>284</v>
      </c>
      <c r="C385" t="s">
        <v>903</v>
      </c>
      <c r="D385" t="s">
        <v>2011</v>
      </c>
      <c r="E385" s="138">
        <v>11.602127246516799</v>
      </c>
    </row>
    <row r="386" spans="1:5" x14ac:dyDescent="0.25">
      <c r="A386" t="s">
        <v>190</v>
      </c>
      <c r="B386" t="s">
        <v>284</v>
      </c>
      <c r="C386" t="s">
        <v>904</v>
      </c>
      <c r="D386" t="s">
        <v>2011</v>
      </c>
      <c r="E386" s="138">
        <v>10.718869660113519</v>
      </c>
    </row>
    <row r="387" spans="1:5" x14ac:dyDescent="0.25">
      <c r="A387" t="s">
        <v>190</v>
      </c>
      <c r="B387" t="s">
        <v>285</v>
      </c>
      <c r="C387" t="s">
        <v>905</v>
      </c>
      <c r="D387" t="s">
        <v>2011</v>
      </c>
      <c r="E387" s="138">
        <v>9.2071226210965591</v>
      </c>
    </row>
    <row r="388" spans="1:5" x14ac:dyDescent="0.25">
      <c r="A388" t="s">
        <v>190</v>
      </c>
      <c r="B388" t="s">
        <v>285</v>
      </c>
      <c r="C388" t="s">
        <v>906</v>
      </c>
      <c r="D388" t="s">
        <v>2011</v>
      </c>
      <c r="E388" s="138">
        <v>9.626996828155896</v>
      </c>
    </row>
    <row r="389" spans="1:5" x14ac:dyDescent="0.25">
      <c r="A389" t="s">
        <v>190</v>
      </c>
      <c r="B389" t="s">
        <v>285</v>
      </c>
      <c r="C389" t="s">
        <v>907</v>
      </c>
      <c r="D389" t="s">
        <v>2011</v>
      </c>
      <c r="E389" s="138">
        <v>11.32466513654672</v>
      </c>
    </row>
    <row r="390" spans="1:5" x14ac:dyDescent="0.25">
      <c r="A390" t="s">
        <v>190</v>
      </c>
      <c r="B390" t="s">
        <v>285</v>
      </c>
      <c r="C390" t="s">
        <v>908</v>
      </c>
      <c r="D390" t="s">
        <v>2011</v>
      </c>
      <c r="E390" s="138">
        <v>10.70858506147137</v>
      </c>
    </row>
    <row r="391" spans="1:5" x14ac:dyDescent="0.25">
      <c r="A391" t="s">
        <v>190</v>
      </c>
      <c r="B391" t="s">
        <v>286</v>
      </c>
      <c r="C391" t="s">
        <v>909</v>
      </c>
      <c r="D391" t="s">
        <v>2011</v>
      </c>
      <c r="E391" s="138">
        <v>1.513271512714419</v>
      </c>
    </row>
    <row r="392" spans="1:5" x14ac:dyDescent="0.25">
      <c r="A392" t="s">
        <v>190</v>
      </c>
      <c r="B392" t="s">
        <v>286</v>
      </c>
      <c r="C392" t="s">
        <v>910</v>
      </c>
      <c r="D392" t="s">
        <v>2011</v>
      </c>
      <c r="E392" s="138">
        <v>11.094741749424079</v>
      </c>
    </row>
    <row r="393" spans="1:5" x14ac:dyDescent="0.25">
      <c r="A393" t="s">
        <v>190</v>
      </c>
      <c r="B393" t="s">
        <v>286</v>
      </c>
      <c r="C393" t="s">
        <v>911</v>
      </c>
      <c r="D393" t="s">
        <v>2011</v>
      </c>
      <c r="E393" s="138">
        <v>13.003095975232201</v>
      </c>
    </row>
    <row r="394" spans="1:5" x14ac:dyDescent="0.25">
      <c r="A394" t="s">
        <v>190</v>
      </c>
      <c r="B394" t="s">
        <v>286</v>
      </c>
      <c r="C394" t="s">
        <v>912</v>
      </c>
      <c r="D394" t="s">
        <v>2011</v>
      </c>
      <c r="E394" s="138">
        <v>6.354525557919807</v>
      </c>
    </row>
    <row r="395" spans="1:5" x14ac:dyDescent="0.25">
      <c r="A395" t="s">
        <v>190</v>
      </c>
      <c r="B395" t="s">
        <v>286</v>
      </c>
      <c r="C395" t="s">
        <v>913</v>
      </c>
      <c r="D395" t="s">
        <v>2011</v>
      </c>
      <c r="E395" s="138">
        <v>6.7983057642227633</v>
      </c>
    </row>
    <row r="396" spans="1:5" x14ac:dyDescent="0.25">
      <c r="A396" t="s">
        <v>190</v>
      </c>
      <c r="B396" t="s">
        <v>286</v>
      </c>
      <c r="C396" t="s">
        <v>914</v>
      </c>
      <c r="D396" t="s">
        <v>2011</v>
      </c>
      <c r="E396" s="138">
        <v>23.666666666666671</v>
      </c>
    </row>
    <row r="397" spans="1:5" x14ac:dyDescent="0.25">
      <c r="A397" t="s">
        <v>190</v>
      </c>
      <c r="B397" t="s">
        <v>286</v>
      </c>
      <c r="C397" t="s">
        <v>915</v>
      </c>
      <c r="D397" t="s">
        <v>2011</v>
      </c>
      <c r="E397" s="138"/>
    </row>
    <row r="398" spans="1:5" x14ac:dyDescent="0.25">
      <c r="A398" t="s">
        <v>190</v>
      </c>
      <c r="B398" t="s">
        <v>286</v>
      </c>
      <c r="C398" t="s">
        <v>916</v>
      </c>
      <c r="D398" t="s">
        <v>2011</v>
      </c>
      <c r="E398" s="138">
        <v>9.8052308787697271</v>
      </c>
    </row>
    <row r="399" spans="1:5" x14ac:dyDescent="0.25">
      <c r="A399" t="s">
        <v>190</v>
      </c>
      <c r="B399" t="s">
        <v>286</v>
      </c>
      <c r="C399" t="s">
        <v>917</v>
      </c>
      <c r="D399" t="s">
        <v>2011</v>
      </c>
      <c r="E399" s="138">
        <v>11.83365582784897</v>
      </c>
    </row>
    <row r="400" spans="1:5" x14ac:dyDescent="0.25">
      <c r="A400" t="s">
        <v>190</v>
      </c>
      <c r="B400" t="s">
        <v>286</v>
      </c>
      <c r="C400" t="s">
        <v>918</v>
      </c>
      <c r="D400" t="s">
        <v>2011</v>
      </c>
      <c r="E400" s="138">
        <v>16.967968191039589</v>
      </c>
    </row>
    <row r="401" spans="1:5" x14ac:dyDescent="0.25">
      <c r="A401" t="s">
        <v>190</v>
      </c>
      <c r="B401" t="s">
        <v>286</v>
      </c>
      <c r="C401" t="s">
        <v>919</v>
      </c>
      <c r="D401" t="s">
        <v>2011</v>
      </c>
      <c r="E401" s="138">
        <v>4.5328085226904342</v>
      </c>
    </row>
    <row r="402" spans="1:5" x14ac:dyDescent="0.25">
      <c r="A402" t="s">
        <v>190</v>
      </c>
      <c r="B402" t="s">
        <v>286</v>
      </c>
      <c r="C402" t="s">
        <v>920</v>
      </c>
      <c r="D402" t="s">
        <v>2011</v>
      </c>
      <c r="E402" s="138">
        <v>19.5148842337376</v>
      </c>
    </row>
    <row r="403" spans="1:5" x14ac:dyDescent="0.25">
      <c r="A403" t="s">
        <v>190</v>
      </c>
      <c r="B403" t="s">
        <v>286</v>
      </c>
      <c r="C403" t="s">
        <v>921</v>
      </c>
      <c r="D403" t="s">
        <v>2011</v>
      </c>
      <c r="E403" s="138">
        <v>6.3583939517315864</v>
      </c>
    </row>
    <row r="404" spans="1:5" x14ac:dyDescent="0.25">
      <c r="A404" t="s">
        <v>190</v>
      </c>
      <c r="B404" t="s">
        <v>286</v>
      </c>
      <c r="C404" t="s">
        <v>922</v>
      </c>
      <c r="D404" t="s">
        <v>2011</v>
      </c>
      <c r="E404" s="138">
        <v>9.9268595237235946</v>
      </c>
    </row>
    <row r="405" spans="1:5" x14ac:dyDescent="0.25">
      <c r="A405" t="s">
        <v>190</v>
      </c>
      <c r="B405" t="s">
        <v>286</v>
      </c>
      <c r="C405" t="s">
        <v>923</v>
      </c>
      <c r="D405" t="s">
        <v>2011</v>
      </c>
      <c r="E405" s="138">
        <v>7.0043466501982437</v>
      </c>
    </row>
    <row r="406" spans="1:5" x14ac:dyDescent="0.25">
      <c r="A406" t="s">
        <v>190</v>
      </c>
      <c r="B406" t="s">
        <v>286</v>
      </c>
      <c r="C406" t="s">
        <v>924</v>
      </c>
      <c r="D406" t="s">
        <v>2011</v>
      </c>
      <c r="E406" s="138">
        <v>15.48960713942618</v>
      </c>
    </row>
    <row r="407" spans="1:5" x14ac:dyDescent="0.25">
      <c r="A407" t="s">
        <v>190</v>
      </c>
      <c r="B407" t="s">
        <v>286</v>
      </c>
      <c r="C407" t="s">
        <v>925</v>
      </c>
      <c r="D407" t="s">
        <v>2011</v>
      </c>
      <c r="E407" s="138">
        <v>7.5445980878127994</v>
      </c>
    </row>
    <row r="408" spans="1:5" x14ac:dyDescent="0.25">
      <c r="A408" t="s">
        <v>190</v>
      </c>
      <c r="B408" t="s">
        <v>286</v>
      </c>
      <c r="C408" t="s">
        <v>926</v>
      </c>
      <c r="D408" t="s">
        <v>2011</v>
      </c>
      <c r="E408" s="138">
        <v>20.41654297924843</v>
      </c>
    </row>
    <row r="409" spans="1:5" x14ac:dyDescent="0.25">
      <c r="A409" t="s">
        <v>190</v>
      </c>
      <c r="B409" t="s">
        <v>287</v>
      </c>
      <c r="C409" t="s">
        <v>927</v>
      </c>
      <c r="D409" t="s">
        <v>2012</v>
      </c>
      <c r="E409" s="138">
        <v>2.1786947909097698</v>
      </c>
    </row>
    <row r="410" spans="1:5" x14ac:dyDescent="0.25">
      <c r="A410" t="s">
        <v>190</v>
      </c>
      <c r="B410" t="s">
        <v>288</v>
      </c>
      <c r="C410" t="s">
        <v>928</v>
      </c>
      <c r="D410" t="s">
        <v>2012</v>
      </c>
      <c r="E410" s="138">
        <v>1.53253250926322</v>
      </c>
    </row>
    <row r="411" spans="1:5" x14ac:dyDescent="0.25">
      <c r="A411" t="s">
        <v>190</v>
      </c>
      <c r="B411" t="s">
        <v>288</v>
      </c>
      <c r="C411" t="s">
        <v>929</v>
      </c>
      <c r="D411" t="s">
        <v>2012</v>
      </c>
      <c r="E411" s="138">
        <v>2.6475174027273929</v>
      </c>
    </row>
    <row r="412" spans="1:5" x14ac:dyDescent="0.25">
      <c r="A412" t="s">
        <v>190</v>
      </c>
      <c r="B412" t="s">
        <v>288</v>
      </c>
      <c r="C412" t="s">
        <v>930</v>
      </c>
      <c r="D412" t="s">
        <v>2012</v>
      </c>
      <c r="E412" s="138">
        <v>1.9415042864419341</v>
      </c>
    </row>
    <row r="413" spans="1:5" x14ac:dyDescent="0.25">
      <c r="A413" t="s">
        <v>190</v>
      </c>
      <c r="B413" t="s">
        <v>288</v>
      </c>
      <c r="C413" t="s">
        <v>931</v>
      </c>
      <c r="D413" t="s">
        <v>2012</v>
      </c>
      <c r="E413" s="138">
        <v>2.1305584473443591</v>
      </c>
    </row>
    <row r="414" spans="1:5" x14ac:dyDescent="0.25">
      <c r="A414" t="s">
        <v>190</v>
      </c>
      <c r="B414" t="s">
        <v>289</v>
      </c>
      <c r="C414" t="s">
        <v>932</v>
      </c>
      <c r="D414" t="s">
        <v>2012</v>
      </c>
      <c r="E414" s="138">
        <v>2.859436795253016</v>
      </c>
    </row>
    <row r="415" spans="1:5" x14ac:dyDescent="0.25">
      <c r="A415" t="s">
        <v>190</v>
      </c>
      <c r="B415" t="s">
        <v>289</v>
      </c>
      <c r="C415" t="s">
        <v>933</v>
      </c>
      <c r="D415" t="s">
        <v>2012</v>
      </c>
      <c r="E415" s="138">
        <v>2.306190108046918</v>
      </c>
    </row>
    <row r="416" spans="1:5" x14ac:dyDescent="0.25">
      <c r="A416" t="s">
        <v>190</v>
      </c>
      <c r="B416" t="s">
        <v>289</v>
      </c>
      <c r="C416" t="s">
        <v>934</v>
      </c>
      <c r="D416" t="s">
        <v>2012</v>
      </c>
      <c r="E416" s="138">
        <v>1.793238627036251</v>
      </c>
    </row>
    <row r="417" spans="1:5" x14ac:dyDescent="0.25">
      <c r="A417" t="s">
        <v>190</v>
      </c>
      <c r="B417" t="s">
        <v>289</v>
      </c>
      <c r="C417" t="s">
        <v>935</v>
      </c>
      <c r="D417" t="s">
        <v>2012</v>
      </c>
      <c r="E417" s="138">
        <v>1.1692521361656361</v>
      </c>
    </row>
    <row r="418" spans="1:5" x14ac:dyDescent="0.25">
      <c r="A418" t="s">
        <v>190</v>
      </c>
      <c r="B418" t="s">
        <v>290</v>
      </c>
      <c r="C418" t="s">
        <v>936</v>
      </c>
      <c r="D418" t="s">
        <v>2012</v>
      </c>
      <c r="E418" s="138">
        <v>2.2492286012611311</v>
      </c>
    </row>
    <row r="419" spans="1:5" x14ac:dyDescent="0.25">
      <c r="A419" t="s">
        <v>190</v>
      </c>
      <c r="B419" t="s">
        <v>290</v>
      </c>
      <c r="C419" t="s">
        <v>937</v>
      </c>
      <c r="D419" t="s">
        <v>2012</v>
      </c>
      <c r="E419" s="138">
        <v>2.104101832171104</v>
      </c>
    </row>
    <row r="420" spans="1:5" x14ac:dyDescent="0.25">
      <c r="A420" t="s">
        <v>190</v>
      </c>
      <c r="B420" t="s">
        <v>291</v>
      </c>
      <c r="C420" t="s">
        <v>938</v>
      </c>
      <c r="D420" t="s">
        <v>2012</v>
      </c>
      <c r="E420" s="138">
        <v>2.6688380845609769</v>
      </c>
    </row>
    <row r="421" spans="1:5" x14ac:dyDescent="0.25">
      <c r="A421" t="s">
        <v>190</v>
      </c>
      <c r="B421" t="s">
        <v>291</v>
      </c>
      <c r="C421" t="s">
        <v>939</v>
      </c>
      <c r="D421" t="s">
        <v>2012</v>
      </c>
      <c r="E421" s="138">
        <v>1.790381760736852</v>
      </c>
    </row>
    <row r="422" spans="1:5" x14ac:dyDescent="0.25">
      <c r="A422" t="s">
        <v>190</v>
      </c>
      <c r="B422" t="s">
        <v>292</v>
      </c>
      <c r="C422" t="s">
        <v>940</v>
      </c>
      <c r="D422" t="s">
        <v>2012</v>
      </c>
      <c r="E422" s="138">
        <v>2.003444946083639</v>
      </c>
    </row>
    <row r="423" spans="1:5" x14ac:dyDescent="0.25">
      <c r="A423" t="s">
        <v>190</v>
      </c>
      <c r="B423" t="s">
        <v>292</v>
      </c>
      <c r="C423" t="s">
        <v>941</v>
      </c>
      <c r="D423" t="s">
        <v>2012</v>
      </c>
      <c r="E423" s="138">
        <v>2.2420555265476678</v>
      </c>
    </row>
    <row r="424" spans="1:5" x14ac:dyDescent="0.25">
      <c r="A424" t="s">
        <v>190</v>
      </c>
      <c r="B424" t="s">
        <v>293</v>
      </c>
      <c r="C424" t="s">
        <v>942</v>
      </c>
      <c r="D424" t="s">
        <v>2012</v>
      </c>
      <c r="E424" s="138">
        <v>1.9941544311937349</v>
      </c>
    </row>
    <row r="425" spans="1:5" x14ac:dyDescent="0.25">
      <c r="A425" t="s">
        <v>190</v>
      </c>
      <c r="B425" t="s">
        <v>293</v>
      </c>
      <c r="C425" t="s">
        <v>943</v>
      </c>
      <c r="D425" t="s">
        <v>2012</v>
      </c>
      <c r="E425" s="138">
        <v>2.4366403856928049</v>
      </c>
    </row>
    <row r="426" spans="1:5" x14ac:dyDescent="0.25">
      <c r="A426" t="s">
        <v>190</v>
      </c>
      <c r="B426" t="s">
        <v>293</v>
      </c>
      <c r="C426" t="s">
        <v>944</v>
      </c>
      <c r="D426" t="s">
        <v>2012</v>
      </c>
      <c r="E426" s="138">
        <v>1.941201537629385</v>
      </c>
    </row>
    <row r="427" spans="1:5" x14ac:dyDescent="0.25">
      <c r="A427" t="s">
        <v>190</v>
      </c>
      <c r="B427" t="s">
        <v>293</v>
      </c>
      <c r="C427" t="s">
        <v>945</v>
      </c>
      <c r="D427" t="s">
        <v>2012</v>
      </c>
      <c r="E427" s="138">
        <v>2.139691359602089</v>
      </c>
    </row>
    <row r="428" spans="1:5" x14ac:dyDescent="0.25">
      <c r="A428" t="s">
        <v>190</v>
      </c>
      <c r="B428" t="s">
        <v>294</v>
      </c>
      <c r="C428" t="s">
        <v>946</v>
      </c>
      <c r="D428" t="s">
        <v>2012</v>
      </c>
      <c r="E428" s="138">
        <v>0.9607349597119319</v>
      </c>
    </row>
    <row r="429" spans="1:5" x14ac:dyDescent="0.25">
      <c r="A429" t="s">
        <v>190</v>
      </c>
      <c r="B429" t="s">
        <v>294</v>
      </c>
      <c r="C429" t="s">
        <v>947</v>
      </c>
      <c r="D429" t="s">
        <v>2012</v>
      </c>
      <c r="E429" s="138">
        <v>2.0912397737773158</v>
      </c>
    </row>
    <row r="430" spans="1:5" x14ac:dyDescent="0.25">
      <c r="A430" t="s">
        <v>190</v>
      </c>
      <c r="B430" t="s">
        <v>294</v>
      </c>
      <c r="C430" t="s">
        <v>948</v>
      </c>
      <c r="D430" t="s">
        <v>2012</v>
      </c>
      <c r="E430" s="138">
        <v>1.031991744066048</v>
      </c>
    </row>
    <row r="431" spans="1:5" x14ac:dyDescent="0.25">
      <c r="A431" t="s">
        <v>190</v>
      </c>
      <c r="B431" t="s">
        <v>294</v>
      </c>
      <c r="C431" t="s">
        <v>949</v>
      </c>
      <c r="D431" t="s">
        <v>2012</v>
      </c>
      <c r="E431" s="138">
        <v>2.7783849266795149</v>
      </c>
    </row>
    <row r="432" spans="1:5" x14ac:dyDescent="0.25">
      <c r="A432" t="s">
        <v>190</v>
      </c>
      <c r="B432" t="s">
        <v>294</v>
      </c>
      <c r="C432" t="s">
        <v>950</v>
      </c>
      <c r="D432" t="s">
        <v>2012</v>
      </c>
      <c r="E432" s="138">
        <v>2.4920158949440512</v>
      </c>
    </row>
    <row r="433" spans="1:5" x14ac:dyDescent="0.25">
      <c r="A433" t="s">
        <v>190</v>
      </c>
      <c r="B433" t="s">
        <v>294</v>
      </c>
      <c r="C433" t="s">
        <v>951</v>
      </c>
      <c r="D433" t="s">
        <v>2012</v>
      </c>
      <c r="E433" s="138">
        <v>1.333333333333333</v>
      </c>
    </row>
    <row r="434" spans="1:5" x14ac:dyDescent="0.25">
      <c r="A434" t="s">
        <v>190</v>
      </c>
      <c r="B434" t="s">
        <v>294</v>
      </c>
      <c r="C434" t="s">
        <v>952</v>
      </c>
      <c r="D434" t="s">
        <v>2012</v>
      </c>
      <c r="E434" s="138"/>
    </row>
    <row r="435" spans="1:5" x14ac:dyDescent="0.25">
      <c r="A435" t="s">
        <v>190</v>
      </c>
      <c r="B435" t="s">
        <v>294</v>
      </c>
      <c r="C435" t="s">
        <v>953</v>
      </c>
      <c r="D435" t="s">
        <v>2012</v>
      </c>
      <c r="E435" s="138">
        <v>1.8743761977748841</v>
      </c>
    </row>
    <row r="436" spans="1:5" x14ac:dyDescent="0.25">
      <c r="A436" t="s">
        <v>190</v>
      </c>
      <c r="B436" t="s">
        <v>294</v>
      </c>
      <c r="C436" t="s">
        <v>954</v>
      </c>
      <c r="D436" t="s">
        <v>2012</v>
      </c>
      <c r="E436" s="138">
        <v>1.02824539915727</v>
      </c>
    </row>
    <row r="437" spans="1:5" x14ac:dyDescent="0.25">
      <c r="A437" t="s">
        <v>190</v>
      </c>
      <c r="B437" t="s">
        <v>294</v>
      </c>
      <c r="C437" t="s">
        <v>955</v>
      </c>
      <c r="D437" t="s">
        <v>2012</v>
      </c>
      <c r="E437" s="138">
        <v>1.418056226998301</v>
      </c>
    </row>
    <row r="438" spans="1:5" x14ac:dyDescent="0.25">
      <c r="A438" t="s">
        <v>190</v>
      </c>
      <c r="B438" t="s">
        <v>294</v>
      </c>
      <c r="C438" t="s">
        <v>956</v>
      </c>
      <c r="D438" t="s">
        <v>2012</v>
      </c>
      <c r="E438" s="138">
        <v>3.1934897331705661</v>
      </c>
    </row>
    <row r="439" spans="1:5" x14ac:dyDescent="0.25">
      <c r="A439" t="s">
        <v>190</v>
      </c>
      <c r="B439" t="s">
        <v>294</v>
      </c>
      <c r="C439" t="s">
        <v>957</v>
      </c>
      <c r="D439" t="s">
        <v>2012</v>
      </c>
      <c r="E439" s="138">
        <v>2.0948180815876509</v>
      </c>
    </row>
    <row r="440" spans="1:5" x14ac:dyDescent="0.25">
      <c r="A440" t="s">
        <v>190</v>
      </c>
      <c r="B440" t="s">
        <v>294</v>
      </c>
      <c r="C440" t="s">
        <v>958</v>
      </c>
      <c r="D440" t="s">
        <v>2012</v>
      </c>
      <c r="E440" s="138">
        <v>1.8459853408252991</v>
      </c>
    </row>
    <row r="441" spans="1:5" x14ac:dyDescent="0.25">
      <c r="A441" t="s">
        <v>190</v>
      </c>
      <c r="B441" t="s">
        <v>294</v>
      </c>
      <c r="C441" t="s">
        <v>959</v>
      </c>
      <c r="D441" t="s">
        <v>2012</v>
      </c>
      <c r="E441" s="138">
        <v>4.0122179127649789</v>
      </c>
    </row>
    <row r="442" spans="1:5" x14ac:dyDescent="0.25">
      <c r="A442" t="s">
        <v>190</v>
      </c>
      <c r="B442" t="s">
        <v>294</v>
      </c>
      <c r="C442" t="s">
        <v>960</v>
      </c>
      <c r="D442" t="s">
        <v>2012</v>
      </c>
      <c r="E442" s="138">
        <v>0.72047806398416037</v>
      </c>
    </row>
    <row r="443" spans="1:5" x14ac:dyDescent="0.25">
      <c r="A443" t="s">
        <v>190</v>
      </c>
      <c r="B443" t="s">
        <v>294</v>
      </c>
      <c r="C443" t="s">
        <v>961</v>
      </c>
      <c r="D443" t="s">
        <v>2012</v>
      </c>
      <c r="E443" s="138">
        <v>3.1556997941774432</v>
      </c>
    </row>
    <row r="444" spans="1:5" x14ac:dyDescent="0.25">
      <c r="A444" t="s">
        <v>190</v>
      </c>
      <c r="B444" t="s">
        <v>294</v>
      </c>
      <c r="C444" t="s">
        <v>962</v>
      </c>
      <c r="D444" t="s">
        <v>2012</v>
      </c>
      <c r="E444" s="138">
        <v>0.84485450936415651</v>
      </c>
    </row>
    <row r="445" spans="1:5" x14ac:dyDescent="0.25">
      <c r="A445" t="s">
        <v>190</v>
      </c>
      <c r="B445" t="s">
        <v>294</v>
      </c>
      <c r="C445" t="s">
        <v>963</v>
      </c>
      <c r="D445" t="s">
        <v>2012</v>
      </c>
      <c r="E445" s="138">
        <v>4.9830897098954656</v>
      </c>
    </row>
    <row r="446" spans="1:5" x14ac:dyDescent="0.25">
      <c r="A446" t="s">
        <v>191</v>
      </c>
      <c r="B446" t="s">
        <v>295</v>
      </c>
      <c r="C446" t="s">
        <v>964</v>
      </c>
      <c r="D446" t="s">
        <v>2013</v>
      </c>
      <c r="E446" s="138">
        <v>27.686924654698359</v>
      </c>
    </row>
    <row r="447" spans="1:5" x14ac:dyDescent="0.25">
      <c r="A447" t="s">
        <v>191</v>
      </c>
      <c r="B447" t="s">
        <v>296</v>
      </c>
      <c r="C447" t="s">
        <v>965</v>
      </c>
      <c r="D447" t="s">
        <v>2013</v>
      </c>
      <c r="E447" s="138">
        <v>27.813069970139669</v>
      </c>
    </row>
    <row r="448" spans="1:5" x14ac:dyDescent="0.25">
      <c r="A448" t="s">
        <v>191</v>
      </c>
      <c r="B448" t="s">
        <v>296</v>
      </c>
      <c r="C448" t="s">
        <v>966</v>
      </c>
      <c r="D448" t="s">
        <v>2013</v>
      </c>
      <c r="E448" s="138">
        <v>26.9607195724194</v>
      </c>
    </row>
    <row r="449" spans="1:5" x14ac:dyDescent="0.25">
      <c r="A449" t="s">
        <v>191</v>
      </c>
      <c r="B449" t="s">
        <v>296</v>
      </c>
      <c r="C449" t="s">
        <v>967</v>
      </c>
      <c r="D449" t="s">
        <v>2013</v>
      </c>
      <c r="E449" s="138">
        <v>28.65187440813024</v>
      </c>
    </row>
    <row r="450" spans="1:5" x14ac:dyDescent="0.25">
      <c r="A450" t="s">
        <v>191</v>
      </c>
      <c r="B450" t="s">
        <v>296</v>
      </c>
      <c r="C450" t="s">
        <v>968</v>
      </c>
      <c r="D450" t="s">
        <v>2013</v>
      </c>
      <c r="E450" s="138">
        <v>28.636679162134079</v>
      </c>
    </row>
    <row r="451" spans="1:5" x14ac:dyDescent="0.25">
      <c r="A451" t="s">
        <v>191</v>
      </c>
      <c r="B451" t="s">
        <v>297</v>
      </c>
      <c r="C451" t="s">
        <v>969</v>
      </c>
      <c r="D451" t="s">
        <v>2013</v>
      </c>
      <c r="E451" s="138">
        <v>23.795838117881729</v>
      </c>
    </row>
    <row r="452" spans="1:5" x14ac:dyDescent="0.25">
      <c r="A452" t="s">
        <v>191</v>
      </c>
      <c r="B452" t="s">
        <v>297</v>
      </c>
      <c r="C452" t="s">
        <v>970</v>
      </c>
      <c r="D452" t="s">
        <v>2013</v>
      </c>
      <c r="E452" s="138">
        <v>28.626412477768039</v>
      </c>
    </row>
    <row r="453" spans="1:5" x14ac:dyDescent="0.25">
      <c r="A453" t="s">
        <v>191</v>
      </c>
      <c r="B453" t="s">
        <v>297</v>
      </c>
      <c r="C453" t="s">
        <v>971</v>
      </c>
      <c r="D453" t="s">
        <v>2013</v>
      </c>
      <c r="E453" s="138">
        <v>28.956671763088</v>
      </c>
    </row>
    <row r="454" spans="1:5" x14ac:dyDescent="0.25">
      <c r="A454" t="s">
        <v>191</v>
      </c>
      <c r="B454" t="s">
        <v>297</v>
      </c>
      <c r="C454" t="s">
        <v>972</v>
      </c>
      <c r="D454" t="s">
        <v>2013</v>
      </c>
      <c r="E454" s="138">
        <v>28.132685602163949</v>
      </c>
    </row>
    <row r="455" spans="1:5" x14ac:dyDescent="0.25">
      <c r="A455" t="s">
        <v>191</v>
      </c>
      <c r="B455" t="s">
        <v>298</v>
      </c>
      <c r="C455" t="s">
        <v>973</v>
      </c>
      <c r="D455" t="s">
        <v>2013</v>
      </c>
      <c r="E455" s="138">
        <v>27.732637978584162</v>
      </c>
    </row>
    <row r="456" spans="1:5" x14ac:dyDescent="0.25">
      <c r="A456" t="s">
        <v>191</v>
      </c>
      <c r="B456" t="s">
        <v>298</v>
      </c>
      <c r="C456" t="s">
        <v>974</v>
      </c>
      <c r="D456" t="s">
        <v>2013</v>
      </c>
      <c r="E456" s="138">
        <v>27.640554161142269</v>
      </c>
    </row>
    <row r="457" spans="1:5" x14ac:dyDescent="0.25">
      <c r="A457" t="s">
        <v>191</v>
      </c>
      <c r="B457" t="s">
        <v>299</v>
      </c>
      <c r="C457" t="s">
        <v>975</v>
      </c>
      <c r="D457" t="s">
        <v>2013</v>
      </c>
      <c r="E457" s="138">
        <v>26.921710747410732</v>
      </c>
    </row>
    <row r="458" spans="1:5" x14ac:dyDescent="0.25">
      <c r="A458" t="s">
        <v>191</v>
      </c>
      <c r="B458" t="s">
        <v>299</v>
      </c>
      <c r="C458" t="s">
        <v>976</v>
      </c>
      <c r="D458" t="s">
        <v>2013</v>
      </c>
      <c r="E458" s="138">
        <v>28.155923693413978</v>
      </c>
    </row>
    <row r="459" spans="1:5" x14ac:dyDescent="0.25">
      <c r="A459" t="s">
        <v>191</v>
      </c>
      <c r="B459" t="s">
        <v>300</v>
      </c>
      <c r="C459" t="s">
        <v>977</v>
      </c>
      <c r="D459" t="s">
        <v>2013</v>
      </c>
      <c r="E459" s="138">
        <v>27.371361529296411</v>
      </c>
    </row>
    <row r="460" spans="1:5" x14ac:dyDescent="0.25">
      <c r="A460" t="s">
        <v>191</v>
      </c>
      <c r="B460" t="s">
        <v>300</v>
      </c>
      <c r="C460" t="s">
        <v>978</v>
      </c>
      <c r="D460" t="s">
        <v>2013</v>
      </c>
      <c r="E460" s="138">
        <v>27.90086662304137</v>
      </c>
    </row>
    <row r="461" spans="1:5" x14ac:dyDescent="0.25">
      <c r="A461" t="s">
        <v>191</v>
      </c>
      <c r="B461" t="s">
        <v>301</v>
      </c>
      <c r="C461" t="s">
        <v>979</v>
      </c>
      <c r="D461" t="s">
        <v>2013</v>
      </c>
      <c r="E461" s="138">
        <v>22.538491806038689</v>
      </c>
    </row>
    <row r="462" spans="1:5" x14ac:dyDescent="0.25">
      <c r="A462" t="s">
        <v>191</v>
      </c>
      <c r="B462" t="s">
        <v>301</v>
      </c>
      <c r="C462" t="s">
        <v>980</v>
      </c>
      <c r="D462" t="s">
        <v>2013</v>
      </c>
      <c r="E462" s="138">
        <v>28.228064620393909</v>
      </c>
    </row>
    <row r="463" spans="1:5" x14ac:dyDescent="0.25">
      <c r="A463" t="s">
        <v>191</v>
      </c>
      <c r="B463" t="s">
        <v>301</v>
      </c>
      <c r="C463" t="s">
        <v>981</v>
      </c>
      <c r="D463" t="s">
        <v>2013</v>
      </c>
      <c r="E463" s="138">
        <v>27.909975538825929</v>
      </c>
    </row>
    <row r="464" spans="1:5" x14ac:dyDescent="0.25">
      <c r="A464" t="s">
        <v>191</v>
      </c>
      <c r="B464" t="s">
        <v>301</v>
      </c>
      <c r="C464" t="s">
        <v>982</v>
      </c>
      <c r="D464" t="s">
        <v>2013</v>
      </c>
      <c r="E464" s="138">
        <v>27.339261274967559</v>
      </c>
    </row>
    <row r="465" spans="1:5" x14ac:dyDescent="0.25">
      <c r="A465" t="s">
        <v>191</v>
      </c>
      <c r="B465" t="s">
        <v>302</v>
      </c>
      <c r="C465" t="s">
        <v>983</v>
      </c>
      <c r="D465" t="s">
        <v>2013</v>
      </c>
      <c r="E465" s="138">
        <v>31.476543520119289</v>
      </c>
    </row>
    <row r="466" spans="1:5" x14ac:dyDescent="0.25">
      <c r="A466" t="s">
        <v>191</v>
      </c>
      <c r="B466" t="s">
        <v>302</v>
      </c>
      <c r="C466" t="s">
        <v>984</v>
      </c>
      <c r="D466" t="s">
        <v>2013</v>
      </c>
      <c r="E466" s="138">
        <v>14.446366782006921</v>
      </c>
    </row>
    <row r="467" spans="1:5" x14ac:dyDescent="0.25">
      <c r="A467" t="s">
        <v>191</v>
      </c>
      <c r="B467" t="s">
        <v>302</v>
      </c>
      <c r="C467" t="s">
        <v>985</v>
      </c>
      <c r="D467" t="s">
        <v>2013</v>
      </c>
      <c r="E467" s="138">
        <v>33.104631217838772</v>
      </c>
    </row>
    <row r="468" spans="1:5" x14ac:dyDescent="0.25">
      <c r="A468" t="s">
        <v>191</v>
      </c>
      <c r="B468" t="s">
        <v>302</v>
      </c>
      <c r="C468" t="s">
        <v>986</v>
      </c>
      <c r="D468" t="s">
        <v>2013</v>
      </c>
      <c r="E468" s="138">
        <v>44.836937760045323</v>
      </c>
    </row>
    <row r="469" spans="1:5" x14ac:dyDescent="0.25">
      <c r="A469" t="s">
        <v>191</v>
      </c>
      <c r="B469" t="s">
        <v>302</v>
      </c>
      <c r="C469" t="s">
        <v>987</v>
      </c>
      <c r="D469" t="s">
        <v>2013</v>
      </c>
      <c r="E469" s="138">
        <v>28.792231783750751</v>
      </c>
    </row>
    <row r="470" spans="1:5" x14ac:dyDescent="0.25">
      <c r="A470" t="s">
        <v>191</v>
      </c>
      <c r="B470" t="s">
        <v>302</v>
      </c>
      <c r="C470" t="s">
        <v>988</v>
      </c>
      <c r="D470" t="s">
        <v>2013</v>
      </c>
      <c r="E470" s="138">
        <v>16.922350410369209</v>
      </c>
    </row>
    <row r="471" spans="1:5" x14ac:dyDescent="0.25">
      <c r="A471" t="s">
        <v>191</v>
      </c>
      <c r="B471" t="s">
        <v>302</v>
      </c>
      <c r="C471" t="s">
        <v>989</v>
      </c>
      <c r="D471" t="s">
        <v>2013</v>
      </c>
      <c r="E471" s="138">
        <v>27.712746027192299</v>
      </c>
    </row>
    <row r="472" spans="1:5" x14ac:dyDescent="0.25">
      <c r="A472" t="s">
        <v>191</v>
      </c>
      <c r="B472" t="s">
        <v>302</v>
      </c>
      <c r="C472" t="s">
        <v>990</v>
      </c>
      <c r="D472" t="s">
        <v>2013</v>
      </c>
      <c r="E472" s="138">
        <v>23.962743437764601</v>
      </c>
    </row>
    <row r="473" spans="1:5" x14ac:dyDescent="0.25">
      <c r="A473" t="s">
        <v>191</v>
      </c>
      <c r="B473" t="s">
        <v>302</v>
      </c>
      <c r="C473" t="s">
        <v>991</v>
      </c>
      <c r="D473" t="s">
        <v>2013</v>
      </c>
      <c r="E473" s="138">
        <v>28.321519642867852</v>
      </c>
    </row>
    <row r="474" spans="1:5" x14ac:dyDescent="0.25">
      <c r="A474" t="s">
        <v>191</v>
      </c>
      <c r="B474" t="s">
        <v>302</v>
      </c>
      <c r="C474" t="s">
        <v>992</v>
      </c>
      <c r="D474" t="s">
        <v>2013</v>
      </c>
      <c r="E474" s="138">
        <v>28.410593663148461</v>
      </c>
    </row>
    <row r="475" spans="1:5" x14ac:dyDescent="0.25">
      <c r="A475" t="s">
        <v>191</v>
      </c>
      <c r="B475" t="s">
        <v>302</v>
      </c>
      <c r="C475" t="s">
        <v>993</v>
      </c>
      <c r="D475" t="s">
        <v>2013</v>
      </c>
      <c r="E475" s="138">
        <v>24.442538593481991</v>
      </c>
    </row>
    <row r="476" spans="1:5" x14ac:dyDescent="0.25">
      <c r="A476" t="s">
        <v>191</v>
      </c>
      <c r="B476" t="s">
        <v>302</v>
      </c>
      <c r="C476" t="s">
        <v>994</v>
      </c>
      <c r="D476" t="s">
        <v>2013</v>
      </c>
      <c r="E476" s="138">
        <v>23.190125213052369</v>
      </c>
    </row>
    <row r="477" spans="1:5" x14ac:dyDescent="0.25">
      <c r="A477" t="s">
        <v>191</v>
      </c>
      <c r="B477" t="s">
        <v>302</v>
      </c>
      <c r="C477" t="s">
        <v>995</v>
      </c>
      <c r="D477" t="s">
        <v>2013</v>
      </c>
      <c r="E477" s="138">
        <v>32.391826908856373</v>
      </c>
    </row>
    <row r="478" spans="1:5" x14ac:dyDescent="0.25">
      <c r="A478" t="s">
        <v>191</v>
      </c>
      <c r="B478" t="s">
        <v>302</v>
      </c>
      <c r="C478" t="s">
        <v>996</v>
      </c>
      <c r="D478" t="s">
        <v>2013</v>
      </c>
      <c r="E478" s="138">
        <v>25.865051903114189</v>
      </c>
    </row>
    <row r="479" spans="1:5" x14ac:dyDescent="0.25">
      <c r="A479" t="s">
        <v>191</v>
      </c>
      <c r="B479" t="s">
        <v>302</v>
      </c>
      <c r="C479" t="s">
        <v>997</v>
      </c>
      <c r="D479" t="s">
        <v>2013</v>
      </c>
      <c r="E479" s="138">
        <v>54.696499778466993</v>
      </c>
    </row>
    <row r="480" spans="1:5" x14ac:dyDescent="0.25">
      <c r="A480" t="s">
        <v>191</v>
      </c>
      <c r="B480" t="s">
        <v>302</v>
      </c>
      <c r="C480" t="s">
        <v>998</v>
      </c>
      <c r="D480" t="s">
        <v>2013</v>
      </c>
      <c r="E480" s="138">
        <v>26.57187364466391</v>
      </c>
    </row>
    <row r="481" spans="1:5" x14ac:dyDescent="0.25">
      <c r="A481" t="s">
        <v>191</v>
      </c>
      <c r="B481" t="s">
        <v>302</v>
      </c>
      <c r="C481" t="s">
        <v>999</v>
      </c>
      <c r="D481" t="s">
        <v>2013</v>
      </c>
      <c r="E481" s="138">
        <v>20.759717314487631</v>
      </c>
    </row>
    <row r="482" spans="1:5" x14ac:dyDescent="0.25">
      <c r="A482" t="s">
        <v>191</v>
      </c>
      <c r="B482" t="s">
        <v>302</v>
      </c>
      <c r="C482" t="s">
        <v>1000</v>
      </c>
      <c r="D482" t="s">
        <v>2013</v>
      </c>
      <c r="E482" s="138">
        <v>10.742757992131571</v>
      </c>
    </row>
    <row r="483" spans="1:5" x14ac:dyDescent="0.25">
      <c r="A483" t="s">
        <v>191</v>
      </c>
      <c r="B483" t="s">
        <v>303</v>
      </c>
      <c r="C483" t="s">
        <v>1001</v>
      </c>
      <c r="D483" t="s">
        <v>2014</v>
      </c>
      <c r="E483" s="138">
        <v>50.313056106908348</v>
      </c>
    </row>
    <row r="484" spans="1:5" x14ac:dyDescent="0.25">
      <c r="A484" t="s">
        <v>191</v>
      </c>
      <c r="B484" t="s">
        <v>304</v>
      </c>
      <c r="C484" t="s">
        <v>1002</v>
      </c>
      <c r="D484" t="s">
        <v>2014</v>
      </c>
      <c r="E484" s="138">
        <v>48.450417187004177</v>
      </c>
    </row>
    <row r="485" spans="1:5" x14ac:dyDescent="0.25">
      <c r="A485" t="s">
        <v>191</v>
      </c>
      <c r="B485" t="s">
        <v>304</v>
      </c>
      <c r="C485" t="s">
        <v>1003</v>
      </c>
      <c r="D485" t="s">
        <v>2014</v>
      </c>
      <c r="E485" s="138">
        <v>50.217264931327037</v>
      </c>
    </row>
    <row r="486" spans="1:5" x14ac:dyDescent="0.25">
      <c r="A486" t="s">
        <v>191</v>
      </c>
      <c r="B486" t="s">
        <v>304</v>
      </c>
      <c r="C486" t="s">
        <v>1004</v>
      </c>
      <c r="D486" t="s">
        <v>2014</v>
      </c>
      <c r="E486" s="138">
        <v>52.035291994445537</v>
      </c>
    </row>
    <row r="487" spans="1:5" x14ac:dyDescent="0.25">
      <c r="A487" t="s">
        <v>191</v>
      </c>
      <c r="B487" t="s">
        <v>304</v>
      </c>
      <c r="C487" t="s">
        <v>1005</v>
      </c>
      <c r="D487" t="s">
        <v>2014</v>
      </c>
      <c r="E487" s="138">
        <v>53.147433644089404</v>
      </c>
    </row>
    <row r="488" spans="1:5" x14ac:dyDescent="0.25">
      <c r="A488" t="s">
        <v>191</v>
      </c>
      <c r="B488" t="s">
        <v>305</v>
      </c>
      <c r="C488" t="s">
        <v>1006</v>
      </c>
      <c r="D488" t="s">
        <v>2014</v>
      </c>
      <c r="E488" s="138">
        <v>51.71822870476683</v>
      </c>
    </row>
    <row r="489" spans="1:5" x14ac:dyDescent="0.25">
      <c r="A489" t="s">
        <v>191</v>
      </c>
      <c r="B489" t="s">
        <v>305</v>
      </c>
      <c r="C489" t="s">
        <v>1007</v>
      </c>
      <c r="D489" t="s">
        <v>2014</v>
      </c>
      <c r="E489" s="138">
        <v>49.388370568344783</v>
      </c>
    </row>
    <row r="490" spans="1:5" x14ac:dyDescent="0.25">
      <c r="A490" t="s">
        <v>191</v>
      </c>
      <c r="B490" t="s">
        <v>305</v>
      </c>
      <c r="C490" t="s">
        <v>1008</v>
      </c>
      <c r="D490" t="s">
        <v>2014</v>
      </c>
      <c r="E490" s="138">
        <v>50.391451142649743</v>
      </c>
    </row>
    <row r="491" spans="1:5" x14ac:dyDescent="0.25">
      <c r="A491" t="s">
        <v>191</v>
      </c>
      <c r="B491" t="s">
        <v>305</v>
      </c>
      <c r="C491" t="s">
        <v>1009</v>
      </c>
      <c r="D491" t="s">
        <v>2014</v>
      </c>
      <c r="E491" s="138">
        <v>50.782641610840507</v>
      </c>
    </row>
    <row r="492" spans="1:5" x14ac:dyDescent="0.25">
      <c r="A492" t="s">
        <v>191</v>
      </c>
      <c r="B492" t="s">
        <v>306</v>
      </c>
      <c r="C492" t="s">
        <v>1010</v>
      </c>
      <c r="D492" t="s">
        <v>2014</v>
      </c>
      <c r="E492" s="138">
        <v>50.633770744998444</v>
      </c>
    </row>
    <row r="493" spans="1:5" x14ac:dyDescent="0.25">
      <c r="A493" t="s">
        <v>191</v>
      </c>
      <c r="B493" t="s">
        <v>306</v>
      </c>
      <c r="C493" t="s">
        <v>1011</v>
      </c>
      <c r="D493" t="s">
        <v>2014</v>
      </c>
      <c r="E493" s="138">
        <v>49.987730910778382</v>
      </c>
    </row>
    <row r="494" spans="1:5" x14ac:dyDescent="0.25">
      <c r="A494" t="s">
        <v>191</v>
      </c>
      <c r="B494" t="s">
        <v>307</v>
      </c>
      <c r="C494" t="s">
        <v>1012</v>
      </c>
      <c r="D494" t="s">
        <v>2014</v>
      </c>
      <c r="E494" s="138">
        <v>50.923006174565813</v>
      </c>
    </row>
    <row r="495" spans="1:5" x14ac:dyDescent="0.25">
      <c r="A495" t="s">
        <v>191</v>
      </c>
      <c r="B495" t="s">
        <v>307</v>
      </c>
      <c r="C495" t="s">
        <v>1013</v>
      </c>
      <c r="D495" t="s">
        <v>2014</v>
      </c>
      <c r="E495" s="138">
        <v>49.97212894015847</v>
      </c>
    </row>
    <row r="496" spans="1:5" x14ac:dyDescent="0.25">
      <c r="A496" t="s">
        <v>191</v>
      </c>
      <c r="B496" t="s">
        <v>308</v>
      </c>
      <c r="C496" t="s">
        <v>1014</v>
      </c>
      <c r="D496" t="s">
        <v>2014</v>
      </c>
      <c r="E496" s="138">
        <v>50.657755014928703</v>
      </c>
    </row>
    <row r="497" spans="1:5" x14ac:dyDescent="0.25">
      <c r="A497" t="s">
        <v>191</v>
      </c>
      <c r="B497" t="s">
        <v>308</v>
      </c>
      <c r="C497" t="s">
        <v>1015</v>
      </c>
      <c r="D497" t="s">
        <v>2014</v>
      </c>
      <c r="E497" s="138">
        <v>50.182649573283634</v>
      </c>
    </row>
    <row r="498" spans="1:5" x14ac:dyDescent="0.25">
      <c r="A498" t="s">
        <v>191</v>
      </c>
      <c r="B498" t="s">
        <v>309</v>
      </c>
      <c r="C498" t="s">
        <v>1016</v>
      </c>
      <c r="D498" t="s">
        <v>2014</v>
      </c>
      <c r="E498" s="138">
        <v>55.445384965691026</v>
      </c>
    </row>
    <row r="499" spans="1:5" x14ac:dyDescent="0.25">
      <c r="A499" t="s">
        <v>191</v>
      </c>
      <c r="B499" t="s">
        <v>309</v>
      </c>
      <c r="C499" t="s">
        <v>1017</v>
      </c>
      <c r="D499" t="s">
        <v>2014</v>
      </c>
      <c r="E499" s="138">
        <v>50.06247632591392</v>
      </c>
    </row>
    <row r="500" spans="1:5" x14ac:dyDescent="0.25">
      <c r="A500" t="s">
        <v>191</v>
      </c>
      <c r="B500" t="s">
        <v>309</v>
      </c>
      <c r="C500" t="s">
        <v>1018</v>
      </c>
      <c r="D500" t="s">
        <v>2014</v>
      </c>
      <c r="E500" s="138">
        <v>49.107438128357749</v>
      </c>
    </row>
    <row r="501" spans="1:5" x14ac:dyDescent="0.25">
      <c r="A501" t="s">
        <v>191</v>
      </c>
      <c r="B501" t="s">
        <v>309</v>
      </c>
      <c r="C501" t="s">
        <v>1019</v>
      </c>
      <c r="D501" t="s">
        <v>2014</v>
      </c>
      <c r="E501" s="138">
        <v>54.868244222906867</v>
      </c>
    </row>
    <row r="502" spans="1:5" x14ac:dyDescent="0.25">
      <c r="A502" t="s">
        <v>191</v>
      </c>
      <c r="B502" t="s">
        <v>310</v>
      </c>
      <c r="C502" t="s">
        <v>1020</v>
      </c>
      <c r="D502" t="s">
        <v>2014</v>
      </c>
      <c r="E502" s="138">
        <v>58.186275437231707</v>
      </c>
    </row>
    <row r="503" spans="1:5" x14ac:dyDescent="0.25">
      <c r="A503" t="s">
        <v>191</v>
      </c>
      <c r="B503" t="s">
        <v>310</v>
      </c>
      <c r="C503" t="s">
        <v>1021</v>
      </c>
      <c r="D503" t="s">
        <v>2014</v>
      </c>
      <c r="E503" s="138">
        <v>54.152249134948093</v>
      </c>
    </row>
    <row r="504" spans="1:5" x14ac:dyDescent="0.25">
      <c r="A504" t="s">
        <v>191</v>
      </c>
      <c r="B504" t="s">
        <v>310</v>
      </c>
      <c r="C504" t="s">
        <v>1022</v>
      </c>
      <c r="D504" t="s">
        <v>2014</v>
      </c>
      <c r="E504" s="138">
        <v>53.173241852487138</v>
      </c>
    </row>
    <row r="505" spans="1:5" x14ac:dyDescent="0.25">
      <c r="A505" t="s">
        <v>191</v>
      </c>
      <c r="B505" t="s">
        <v>310</v>
      </c>
      <c r="C505" t="s">
        <v>1023</v>
      </c>
      <c r="D505" t="s">
        <v>2014</v>
      </c>
      <c r="E505" s="138">
        <v>45.393373175806552</v>
      </c>
    </row>
    <row r="506" spans="1:5" x14ac:dyDescent="0.25">
      <c r="A506" t="s">
        <v>191</v>
      </c>
      <c r="B506" t="s">
        <v>310</v>
      </c>
      <c r="C506" t="s">
        <v>1024</v>
      </c>
      <c r="D506" t="s">
        <v>2014</v>
      </c>
      <c r="E506" s="138">
        <v>52.586258669014981</v>
      </c>
    </row>
    <row r="507" spans="1:5" x14ac:dyDescent="0.25">
      <c r="A507" t="s">
        <v>191</v>
      </c>
      <c r="B507" t="s">
        <v>310</v>
      </c>
      <c r="C507" t="s">
        <v>1025</v>
      </c>
      <c r="D507" t="s">
        <v>2014</v>
      </c>
      <c r="E507" s="138">
        <v>53.505351118442213</v>
      </c>
    </row>
    <row r="508" spans="1:5" x14ac:dyDescent="0.25">
      <c r="A508" t="s">
        <v>191</v>
      </c>
      <c r="B508" t="s">
        <v>310</v>
      </c>
      <c r="C508" t="s">
        <v>1026</v>
      </c>
      <c r="D508" t="s">
        <v>2014</v>
      </c>
      <c r="E508" s="138">
        <v>46.617032826978132</v>
      </c>
    </row>
    <row r="509" spans="1:5" x14ac:dyDescent="0.25">
      <c r="A509" t="s">
        <v>191</v>
      </c>
      <c r="B509" t="s">
        <v>310</v>
      </c>
      <c r="C509" t="s">
        <v>1027</v>
      </c>
      <c r="D509" t="s">
        <v>2014</v>
      </c>
      <c r="E509" s="138">
        <v>53.429297205757827</v>
      </c>
    </row>
    <row r="510" spans="1:5" x14ac:dyDescent="0.25">
      <c r="A510" t="s">
        <v>191</v>
      </c>
      <c r="B510" t="s">
        <v>310</v>
      </c>
      <c r="C510" t="s">
        <v>1028</v>
      </c>
      <c r="D510" t="s">
        <v>2014</v>
      </c>
      <c r="E510" s="138">
        <v>47.240492268915823</v>
      </c>
    </row>
    <row r="511" spans="1:5" x14ac:dyDescent="0.25">
      <c r="A511" t="s">
        <v>191</v>
      </c>
      <c r="B511" t="s">
        <v>310</v>
      </c>
      <c r="C511" t="s">
        <v>1029</v>
      </c>
      <c r="D511" t="s">
        <v>2014</v>
      </c>
      <c r="E511" s="138">
        <v>50.442065070170251</v>
      </c>
    </row>
    <row r="512" spans="1:5" x14ac:dyDescent="0.25">
      <c r="A512" t="s">
        <v>191</v>
      </c>
      <c r="B512" t="s">
        <v>310</v>
      </c>
      <c r="C512" t="s">
        <v>1030</v>
      </c>
      <c r="D512" t="s">
        <v>2014</v>
      </c>
      <c r="E512" s="138">
        <v>50.514579759862777</v>
      </c>
    </row>
    <row r="513" spans="1:5" x14ac:dyDescent="0.25">
      <c r="A513" t="s">
        <v>191</v>
      </c>
      <c r="B513" t="s">
        <v>310</v>
      </c>
      <c r="C513" t="s">
        <v>1031</v>
      </c>
      <c r="D513" t="s">
        <v>2014</v>
      </c>
      <c r="E513" s="138">
        <v>46.386929138987739</v>
      </c>
    </row>
    <row r="514" spans="1:5" x14ac:dyDescent="0.25">
      <c r="A514" t="s">
        <v>191</v>
      </c>
      <c r="B514" t="s">
        <v>310</v>
      </c>
      <c r="C514" t="s">
        <v>1032</v>
      </c>
      <c r="D514" t="s">
        <v>2014</v>
      </c>
      <c r="E514" s="138">
        <v>49.321428838555981</v>
      </c>
    </row>
    <row r="515" spans="1:5" x14ac:dyDescent="0.25">
      <c r="A515" t="s">
        <v>191</v>
      </c>
      <c r="B515" t="s">
        <v>310</v>
      </c>
      <c r="C515" t="s">
        <v>1033</v>
      </c>
      <c r="D515" t="s">
        <v>2014</v>
      </c>
      <c r="E515" s="138">
        <v>65.397923875432525</v>
      </c>
    </row>
    <row r="516" spans="1:5" x14ac:dyDescent="0.25">
      <c r="A516" t="s">
        <v>191</v>
      </c>
      <c r="B516" t="s">
        <v>310</v>
      </c>
      <c r="C516" t="s">
        <v>1034</v>
      </c>
      <c r="D516" t="s">
        <v>2014</v>
      </c>
      <c r="E516" s="138">
        <v>39.078422684980062</v>
      </c>
    </row>
    <row r="517" spans="1:5" x14ac:dyDescent="0.25">
      <c r="A517" t="s">
        <v>191</v>
      </c>
      <c r="B517" t="s">
        <v>310</v>
      </c>
      <c r="C517" t="s">
        <v>1035</v>
      </c>
      <c r="D517" t="s">
        <v>2014</v>
      </c>
      <c r="E517" s="138">
        <v>46.386566229342698</v>
      </c>
    </row>
    <row r="518" spans="1:5" x14ac:dyDescent="0.25">
      <c r="A518" t="s">
        <v>191</v>
      </c>
      <c r="B518" t="s">
        <v>310</v>
      </c>
      <c r="C518" t="s">
        <v>1036</v>
      </c>
      <c r="D518" t="s">
        <v>2014</v>
      </c>
      <c r="E518" s="138">
        <v>58.745583038869263</v>
      </c>
    </row>
    <row r="519" spans="1:5" x14ac:dyDescent="0.25">
      <c r="A519" t="s">
        <v>191</v>
      </c>
      <c r="B519" t="s">
        <v>310</v>
      </c>
      <c r="C519" t="s">
        <v>1037</v>
      </c>
      <c r="D519" t="s">
        <v>2014</v>
      </c>
      <c r="E519" s="138">
        <v>32.354129855202132</v>
      </c>
    </row>
    <row r="520" spans="1:5" x14ac:dyDescent="0.25">
      <c r="A520" t="s">
        <v>191</v>
      </c>
      <c r="B520" t="s">
        <v>311</v>
      </c>
      <c r="C520" t="s">
        <v>1038</v>
      </c>
      <c r="D520" t="s">
        <v>2015</v>
      </c>
      <c r="E520" s="138">
        <v>17.775446213782601</v>
      </c>
    </row>
    <row r="521" spans="1:5" x14ac:dyDescent="0.25">
      <c r="A521" t="s">
        <v>191</v>
      </c>
      <c r="B521" t="s">
        <v>312</v>
      </c>
      <c r="C521" t="s">
        <v>1039</v>
      </c>
      <c r="D521" t="s">
        <v>2015</v>
      </c>
      <c r="E521" s="138">
        <v>18.584268062841851</v>
      </c>
    </row>
    <row r="522" spans="1:5" x14ac:dyDescent="0.25">
      <c r="A522" t="s">
        <v>191</v>
      </c>
      <c r="B522" t="s">
        <v>312</v>
      </c>
      <c r="C522" t="s">
        <v>1040</v>
      </c>
      <c r="D522" t="s">
        <v>2015</v>
      </c>
      <c r="E522" s="138">
        <v>18.39851991193353</v>
      </c>
    </row>
    <row r="523" spans="1:5" x14ac:dyDescent="0.25">
      <c r="A523" t="s">
        <v>191</v>
      </c>
      <c r="B523" t="s">
        <v>312</v>
      </c>
      <c r="C523" t="s">
        <v>1041</v>
      </c>
      <c r="D523" t="s">
        <v>2015</v>
      </c>
      <c r="E523" s="138">
        <v>16.349273784360172</v>
      </c>
    </row>
    <row r="524" spans="1:5" x14ac:dyDescent="0.25">
      <c r="A524" t="s">
        <v>191</v>
      </c>
      <c r="B524" t="s">
        <v>312</v>
      </c>
      <c r="C524" t="s">
        <v>1042</v>
      </c>
      <c r="D524" t="s">
        <v>2015</v>
      </c>
      <c r="E524" s="138">
        <v>15.25149915657877</v>
      </c>
    </row>
    <row r="525" spans="1:5" x14ac:dyDescent="0.25">
      <c r="A525" t="s">
        <v>191</v>
      </c>
      <c r="B525" t="s">
        <v>313</v>
      </c>
      <c r="C525" t="s">
        <v>1043</v>
      </c>
      <c r="D525" t="s">
        <v>2015</v>
      </c>
      <c r="E525" s="138">
        <v>20.04536108421992</v>
      </c>
    </row>
    <row r="526" spans="1:5" x14ac:dyDescent="0.25">
      <c r="A526" t="s">
        <v>191</v>
      </c>
      <c r="B526" t="s">
        <v>313</v>
      </c>
      <c r="C526" t="s">
        <v>1044</v>
      </c>
      <c r="D526" t="s">
        <v>2015</v>
      </c>
      <c r="E526" s="138">
        <v>17.59937710752552</v>
      </c>
    </row>
    <row r="527" spans="1:5" x14ac:dyDescent="0.25">
      <c r="A527" t="s">
        <v>191</v>
      </c>
      <c r="B527" t="s">
        <v>313</v>
      </c>
      <c r="C527" t="s">
        <v>1045</v>
      </c>
      <c r="D527" t="s">
        <v>2015</v>
      </c>
      <c r="E527" s="138">
        <v>16.72170484925973</v>
      </c>
    </row>
    <row r="528" spans="1:5" x14ac:dyDescent="0.25">
      <c r="A528" t="s">
        <v>191</v>
      </c>
      <c r="B528" t="s">
        <v>313</v>
      </c>
      <c r="C528" t="s">
        <v>1046</v>
      </c>
      <c r="D528" t="s">
        <v>2015</v>
      </c>
      <c r="E528" s="138">
        <v>17.01562768479171</v>
      </c>
    </row>
    <row r="529" spans="1:5" x14ac:dyDescent="0.25">
      <c r="A529" t="s">
        <v>191</v>
      </c>
      <c r="B529" t="s">
        <v>314</v>
      </c>
      <c r="C529" t="s">
        <v>1047</v>
      </c>
      <c r="D529" t="s">
        <v>2015</v>
      </c>
      <c r="E529" s="138">
        <v>17.609238219169601</v>
      </c>
    </row>
    <row r="530" spans="1:5" x14ac:dyDescent="0.25">
      <c r="A530" t="s">
        <v>191</v>
      </c>
      <c r="B530" t="s">
        <v>314</v>
      </c>
      <c r="C530" t="s">
        <v>1048</v>
      </c>
      <c r="D530" t="s">
        <v>2015</v>
      </c>
      <c r="E530" s="138">
        <v>17.944043596078131</v>
      </c>
    </row>
    <row r="531" spans="1:5" x14ac:dyDescent="0.25">
      <c r="A531" t="s">
        <v>191</v>
      </c>
      <c r="B531" t="s">
        <v>315</v>
      </c>
      <c r="C531" t="s">
        <v>1049</v>
      </c>
      <c r="D531" t="s">
        <v>2015</v>
      </c>
      <c r="E531" s="138">
        <v>17.469247957686079</v>
      </c>
    </row>
    <row r="532" spans="1:5" x14ac:dyDescent="0.25">
      <c r="A532" t="s">
        <v>191</v>
      </c>
      <c r="B532" t="s">
        <v>315</v>
      </c>
      <c r="C532" t="s">
        <v>1050</v>
      </c>
      <c r="D532" t="s">
        <v>2015</v>
      </c>
      <c r="E532" s="138">
        <v>18.015766164738562</v>
      </c>
    </row>
    <row r="533" spans="1:5" x14ac:dyDescent="0.25">
      <c r="A533" t="s">
        <v>191</v>
      </c>
      <c r="B533" t="s">
        <v>316</v>
      </c>
      <c r="C533" t="s">
        <v>1051</v>
      </c>
      <c r="D533" t="s">
        <v>2015</v>
      </c>
      <c r="E533" s="138">
        <v>17.47688858770243</v>
      </c>
    </row>
    <row r="534" spans="1:5" x14ac:dyDescent="0.25">
      <c r="A534" t="s">
        <v>191</v>
      </c>
      <c r="B534" t="s">
        <v>316</v>
      </c>
      <c r="C534" t="s">
        <v>1052</v>
      </c>
      <c r="D534" t="s">
        <v>2015</v>
      </c>
      <c r="E534" s="138">
        <v>17.856183302758961</v>
      </c>
    </row>
    <row r="535" spans="1:5" x14ac:dyDescent="0.25">
      <c r="A535" t="s">
        <v>191</v>
      </c>
      <c r="B535" t="s">
        <v>317</v>
      </c>
      <c r="C535" t="s">
        <v>1053</v>
      </c>
      <c r="D535" t="s">
        <v>2015</v>
      </c>
      <c r="E535" s="138">
        <v>17.683813962923701</v>
      </c>
    </row>
    <row r="536" spans="1:5" x14ac:dyDescent="0.25">
      <c r="A536" t="s">
        <v>191</v>
      </c>
      <c r="B536" t="s">
        <v>317</v>
      </c>
      <c r="C536" t="s">
        <v>1054</v>
      </c>
      <c r="D536" t="s">
        <v>2015</v>
      </c>
      <c r="E536" s="138">
        <v>17.267240555194562</v>
      </c>
    </row>
    <row r="537" spans="1:5" x14ac:dyDescent="0.25">
      <c r="A537" t="s">
        <v>191</v>
      </c>
      <c r="B537" t="s">
        <v>317</v>
      </c>
      <c r="C537" t="s">
        <v>1055</v>
      </c>
      <c r="D537" t="s">
        <v>2015</v>
      </c>
      <c r="E537" s="138">
        <v>18.575896370257649</v>
      </c>
    </row>
    <row r="538" spans="1:5" x14ac:dyDescent="0.25">
      <c r="A538" t="s">
        <v>191</v>
      </c>
      <c r="B538" t="s">
        <v>317</v>
      </c>
      <c r="C538" t="s">
        <v>1056</v>
      </c>
      <c r="D538" t="s">
        <v>2015</v>
      </c>
      <c r="E538" s="138">
        <v>13.97357621812373</v>
      </c>
    </row>
    <row r="539" spans="1:5" x14ac:dyDescent="0.25">
      <c r="A539" t="s">
        <v>191</v>
      </c>
      <c r="B539" t="s">
        <v>318</v>
      </c>
      <c r="C539" t="s">
        <v>1057</v>
      </c>
      <c r="D539" t="s">
        <v>2015</v>
      </c>
      <c r="E539" s="138">
        <v>9.1341168484877713</v>
      </c>
    </row>
    <row r="540" spans="1:5" x14ac:dyDescent="0.25">
      <c r="A540" t="s">
        <v>191</v>
      </c>
      <c r="B540" t="s">
        <v>318</v>
      </c>
      <c r="C540" t="s">
        <v>1058</v>
      </c>
      <c r="D540" t="s">
        <v>2015</v>
      </c>
      <c r="E540" s="138">
        <v>28.287197231833911</v>
      </c>
    </row>
    <row r="541" spans="1:5" x14ac:dyDescent="0.25">
      <c r="A541" t="s">
        <v>191</v>
      </c>
      <c r="B541" t="s">
        <v>318</v>
      </c>
      <c r="C541" t="s">
        <v>1059</v>
      </c>
      <c r="D541" t="s">
        <v>2015</v>
      </c>
      <c r="E541" s="138">
        <v>10.806174957118349</v>
      </c>
    </row>
    <row r="542" spans="1:5" x14ac:dyDescent="0.25">
      <c r="A542" t="s">
        <v>191</v>
      </c>
      <c r="B542" t="s">
        <v>318</v>
      </c>
      <c r="C542" t="s">
        <v>1060</v>
      </c>
      <c r="D542" t="s">
        <v>2015</v>
      </c>
      <c r="E542" s="138">
        <v>8.3791157899883277</v>
      </c>
    </row>
    <row r="543" spans="1:5" x14ac:dyDescent="0.25">
      <c r="A543" t="s">
        <v>191</v>
      </c>
      <c r="B543" t="s">
        <v>318</v>
      </c>
      <c r="C543" t="s">
        <v>1061</v>
      </c>
      <c r="D543" t="s">
        <v>2015</v>
      </c>
      <c r="E543" s="138">
        <v>16.704449425367311</v>
      </c>
    </row>
    <row r="544" spans="1:5" x14ac:dyDescent="0.25">
      <c r="A544" t="s">
        <v>191</v>
      </c>
      <c r="B544" t="s">
        <v>318</v>
      </c>
      <c r="C544" t="s">
        <v>1062</v>
      </c>
      <c r="D544" t="s">
        <v>2015</v>
      </c>
      <c r="E544" s="138">
        <v>26.243099438332148</v>
      </c>
    </row>
    <row r="545" spans="1:5" x14ac:dyDescent="0.25">
      <c r="A545" t="s">
        <v>191</v>
      </c>
      <c r="B545" t="s">
        <v>318</v>
      </c>
      <c r="C545" t="s">
        <v>1063</v>
      </c>
      <c r="D545" t="s">
        <v>2015</v>
      </c>
      <c r="E545" s="138">
        <v>20.288159045097149</v>
      </c>
    </row>
    <row r="546" spans="1:5" x14ac:dyDescent="0.25">
      <c r="A546" t="s">
        <v>191</v>
      </c>
      <c r="B546" t="s">
        <v>318</v>
      </c>
      <c r="C546" t="s">
        <v>1064</v>
      </c>
      <c r="D546" t="s">
        <v>2015</v>
      </c>
      <c r="E546" s="138">
        <v>20.745131244707871</v>
      </c>
    </row>
    <row r="547" spans="1:5" x14ac:dyDescent="0.25">
      <c r="A547" t="s">
        <v>191</v>
      </c>
      <c r="B547" t="s">
        <v>318</v>
      </c>
      <c r="C547" t="s">
        <v>1065</v>
      </c>
      <c r="D547" t="s">
        <v>2015</v>
      </c>
      <c r="E547" s="138">
        <v>16.112587734319639</v>
      </c>
    </row>
    <row r="548" spans="1:5" x14ac:dyDescent="0.25">
      <c r="A548" t="s">
        <v>191</v>
      </c>
      <c r="B548" t="s">
        <v>318</v>
      </c>
      <c r="C548" t="s">
        <v>1066</v>
      </c>
      <c r="D548" t="s">
        <v>2015</v>
      </c>
      <c r="E548" s="138">
        <v>17.468364711256541</v>
      </c>
    </row>
    <row r="549" spans="1:5" x14ac:dyDescent="0.25">
      <c r="A549" t="s">
        <v>191</v>
      </c>
      <c r="B549" t="s">
        <v>318</v>
      </c>
      <c r="C549" t="s">
        <v>1067</v>
      </c>
      <c r="D549" t="s">
        <v>2015</v>
      </c>
      <c r="E549" s="138">
        <v>20.154373927958829</v>
      </c>
    </row>
    <row r="550" spans="1:5" x14ac:dyDescent="0.25">
      <c r="A550" t="s">
        <v>191</v>
      </c>
      <c r="B550" t="s">
        <v>318</v>
      </c>
      <c r="C550" t="s">
        <v>1068</v>
      </c>
      <c r="D550" t="s">
        <v>2015</v>
      </c>
      <c r="E550" s="138">
        <v>24.63714535382929</v>
      </c>
    </row>
    <row r="551" spans="1:5" x14ac:dyDescent="0.25">
      <c r="A551" t="s">
        <v>191</v>
      </c>
      <c r="B551" t="s">
        <v>318</v>
      </c>
      <c r="C551" t="s">
        <v>1069</v>
      </c>
      <c r="D551" t="s">
        <v>2015</v>
      </c>
      <c r="E551" s="138">
        <v>11.647138325177499</v>
      </c>
    </row>
    <row r="552" spans="1:5" x14ac:dyDescent="0.25">
      <c r="A552" t="s">
        <v>191</v>
      </c>
      <c r="B552" t="s">
        <v>318</v>
      </c>
      <c r="C552" t="s">
        <v>1070</v>
      </c>
      <c r="D552" t="s">
        <v>2015</v>
      </c>
      <c r="E552" s="138">
        <v>8.0449826989619382</v>
      </c>
    </row>
    <row r="553" spans="1:5" x14ac:dyDescent="0.25">
      <c r="A553" t="s">
        <v>191</v>
      </c>
      <c r="B553" t="s">
        <v>318</v>
      </c>
      <c r="C553" t="s">
        <v>1071</v>
      </c>
      <c r="D553" t="s">
        <v>2015</v>
      </c>
      <c r="E553" s="138">
        <v>5.516171909614533</v>
      </c>
    </row>
    <row r="554" spans="1:5" x14ac:dyDescent="0.25">
      <c r="A554" t="s">
        <v>191</v>
      </c>
      <c r="B554" t="s">
        <v>318</v>
      </c>
      <c r="C554" t="s">
        <v>1072</v>
      </c>
      <c r="D554" t="s">
        <v>2015</v>
      </c>
      <c r="E554" s="138">
        <v>20.592894178289029</v>
      </c>
    </row>
    <row r="555" spans="1:5" x14ac:dyDescent="0.25">
      <c r="A555" t="s">
        <v>191</v>
      </c>
      <c r="B555" t="s">
        <v>318</v>
      </c>
      <c r="C555" t="s">
        <v>1073</v>
      </c>
      <c r="D555" t="s">
        <v>2015</v>
      </c>
      <c r="E555" s="138">
        <v>19.346289752650179</v>
      </c>
    </row>
    <row r="556" spans="1:5" x14ac:dyDescent="0.25">
      <c r="A556" t="s">
        <v>191</v>
      </c>
      <c r="B556" t="s">
        <v>318</v>
      </c>
      <c r="C556" t="s">
        <v>1074</v>
      </c>
      <c r="D556" t="s">
        <v>2015</v>
      </c>
      <c r="E556" s="138">
        <v>38.350282186486183</v>
      </c>
    </row>
    <row r="557" spans="1:5" x14ac:dyDescent="0.25">
      <c r="A557" t="s">
        <v>191</v>
      </c>
      <c r="B557" t="s">
        <v>319</v>
      </c>
      <c r="C557" t="s">
        <v>1075</v>
      </c>
      <c r="D557" t="s">
        <v>2016</v>
      </c>
      <c r="E557" s="138">
        <v>4.2245730246106854</v>
      </c>
    </row>
    <row r="558" spans="1:5" x14ac:dyDescent="0.25">
      <c r="A558" t="s">
        <v>191</v>
      </c>
      <c r="B558" t="s">
        <v>320</v>
      </c>
      <c r="C558" t="s">
        <v>1076</v>
      </c>
      <c r="D558" t="s">
        <v>2016</v>
      </c>
      <c r="E558" s="138">
        <v>5.1522447800143079</v>
      </c>
    </row>
    <row r="559" spans="1:5" x14ac:dyDescent="0.25">
      <c r="A559" t="s">
        <v>191</v>
      </c>
      <c r="B559" t="s">
        <v>320</v>
      </c>
      <c r="C559" t="s">
        <v>1077</v>
      </c>
      <c r="D559" t="s">
        <v>2016</v>
      </c>
      <c r="E559" s="138">
        <v>4.4234955843200341</v>
      </c>
    </row>
    <row r="560" spans="1:5" x14ac:dyDescent="0.25">
      <c r="A560" t="s">
        <v>191</v>
      </c>
      <c r="B560" t="s">
        <v>320</v>
      </c>
      <c r="C560" t="s">
        <v>1078</v>
      </c>
      <c r="D560" t="s">
        <v>2016</v>
      </c>
      <c r="E560" s="138">
        <v>2.963559813064041</v>
      </c>
    </row>
    <row r="561" spans="1:5" x14ac:dyDescent="0.25">
      <c r="A561" t="s">
        <v>191</v>
      </c>
      <c r="B561" t="s">
        <v>320</v>
      </c>
      <c r="C561" t="s">
        <v>1079</v>
      </c>
      <c r="D561" t="s">
        <v>2016</v>
      </c>
      <c r="E561" s="138">
        <v>2.9643880371977489</v>
      </c>
    </row>
    <row r="562" spans="1:5" x14ac:dyDescent="0.25">
      <c r="A562" t="s">
        <v>191</v>
      </c>
      <c r="B562" t="s">
        <v>321</v>
      </c>
      <c r="C562" t="s">
        <v>1080</v>
      </c>
      <c r="D562" t="s">
        <v>2016</v>
      </c>
      <c r="E562" s="138">
        <v>4.4405720931315127</v>
      </c>
    </row>
    <row r="563" spans="1:5" x14ac:dyDescent="0.25">
      <c r="A563" t="s">
        <v>191</v>
      </c>
      <c r="B563" t="s">
        <v>321</v>
      </c>
      <c r="C563" t="s">
        <v>1081</v>
      </c>
      <c r="D563" t="s">
        <v>2016</v>
      </c>
      <c r="E563" s="138">
        <v>4.3858398463616579</v>
      </c>
    </row>
    <row r="564" spans="1:5" x14ac:dyDescent="0.25">
      <c r="A564" t="s">
        <v>191</v>
      </c>
      <c r="B564" t="s">
        <v>321</v>
      </c>
      <c r="C564" t="s">
        <v>1082</v>
      </c>
      <c r="D564" t="s">
        <v>2016</v>
      </c>
      <c r="E564" s="138">
        <v>3.9301722450025278</v>
      </c>
    </row>
    <row r="565" spans="1:5" x14ac:dyDescent="0.25">
      <c r="A565" t="s">
        <v>191</v>
      </c>
      <c r="B565" t="s">
        <v>321</v>
      </c>
      <c r="C565" t="s">
        <v>1083</v>
      </c>
      <c r="D565" t="s">
        <v>2016</v>
      </c>
      <c r="E565" s="138">
        <v>4.0690451022038294</v>
      </c>
    </row>
    <row r="566" spans="1:5" x14ac:dyDescent="0.25">
      <c r="A566" t="s">
        <v>191</v>
      </c>
      <c r="B566" t="s">
        <v>322</v>
      </c>
      <c r="C566" t="s">
        <v>1084</v>
      </c>
      <c r="D566" t="s">
        <v>2016</v>
      </c>
      <c r="E566" s="138">
        <v>4.0243530572477964</v>
      </c>
    </row>
    <row r="567" spans="1:5" x14ac:dyDescent="0.25">
      <c r="A567" t="s">
        <v>191</v>
      </c>
      <c r="B567" t="s">
        <v>322</v>
      </c>
      <c r="C567" t="s">
        <v>1085</v>
      </c>
      <c r="D567" t="s">
        <v>2016</v>
      </c>
      <c r="E567" s="138">
        <v>4.4276713320012293</v>
      </c>
    </row>
    <row r="568" spans="1:5" x14ac:dyDescent="0.25">
      <c r="A568" t="s">
        <v>191</v>
      </c>
      <c r="B568" t="s">
        <v>323</v>
      </c>
      <c r="C568" t="s">
        <v>1086</v>
      </c>
      <c r="D568" t="s">
        <v>2016</v>
      </c>
      <c r="E568" s="138">
        <v>4.6860351203373813</v>
      </c>
    </row>
    <row r="569" spans="1:5" x14ac:dyDescent="0.25">
      <c r="A569" t="s">
        <v>191</v>
      </c>
      <c r="B569" t="s">
        <v>323</v>
      </c>
      <c r="C569" t="s">
        <v>1087</v>
      </c>
      <c r="D569" t="s">
        <v>2016</v>
      </c>
      <c r="E569" s="138">
        <v>3.8561812016890289</v>
      </c>
    </row>
    <row r="570" spans="1:5" x14ac:dyDescent="0.25">
      <c r="A570" t="s">
        <v>191</v>
      </c>
      <c r="B570" t="s">
        <v>324</v>
      </c>
      <c r="C570" t="s">
        <v>1088</v>
      </c>
      <c r="D570" t="s">
        <v>2016</v>
      </c>
      <c r="E570" s="138">
        <v>4.4939948680724564</v>
      </c>
    </row>
    <row r="571" spans="1:5" x14ac:dyDescent="0.25">
      <c r="A571" t="s">
        <v>191</v>
      </c>
      <c r="B571" t="s">
        <v>324</v>
      </c>
      <c r="C571" t="s">
        <v>1089</v>
      </c>
      <c r="D571" t="s">
        <v>2016</v>
      </c>
      <c r="E571" s="138">
        <v>4.06030050091604</v>
      </c>
    </row>
    <row r="572" spans="1:5" x14ac:dyDescent="0.25">
      <c r="A572" t="s">
        <v>191</v>
      </c>
      <c r="B572" t="s">
        <v>325</v>
      </c>
      <c r="C572" t="s">
        <v>1090</v>
      </c>
      <c r="D572" t="s">
        <v>2016</v>
      </c>
      <c r="E572" s="138">
        <v>4.3323092653466011</v>
      </c>
    </row>
    <row r="573" spans="1:5" x14ac:dyDescent="0.25">
      <c r="A573" t="s">
        <v>191</v>
      </c>
      <c r="B573" t="s">
        <v>325</v>
      </c>
      <c r="C573" t="s">
        <v>1091</v>
      </c>
      <c r="D573" t="s">
        <v>2016</v>
      </c>
      <c r="E573" s="138">
        <v>4.442218498497617</v>
      </c>
    </row>
    <row r="574" spans="1:5" x14ac:dyDescent="0.25">
      <c r="A574" t="s">
        <v>191</v>
      </c>
      <c r="B574" t="s">
        <v>325</v>
      </c>
      <c r="C574" t="s">
        <v>1092</v>
      </c>
      <c r="D574" t="s">
        <v>2016</v>
      </c>
      <c r="E574" s="138">
        <v>4.4066899625586728</v>
      </c>
    </row>
    <row r="575" spans="1:5" x14ac:dyDescent="0.25">
      <c r="A575" t="s">
        <v>191</v>
      </c>
      <c r="B575" t="s">
        <v>325</v>
      </c>
      <c r="C575" t="s">
        <v>1093</v>
      </c>
      <c r="D575" t="s">
        <v>2016</v>
      </c>
      <c r="E575" s="138">
        <v>3.8189182840018452</v>
      </c>
    </row>
    <row r="576" spans="1:5" x14ac:dyDescent="0.25">
      <c r="A576" t="s">
        <v>191</v>
      </c>
      <c r="B576" t="s">
        <v>326</v>
      </c>
      <c r="C576" t="s">
        <v>1094</v>
      </c>
      <c r="D576" t="s">
        <v>2016</v>
      </c>
      <c r="E576" s="138">
        <v>1.2030641941612359</v>
      </c>
    </row>
    <row r="577" spans="1:5" x14ac:dyDescent="0.25">
      <c r="A577" t="s">
        <v>191</v>
      </c>
      <c r="B577" t="s">
        <v>326</v>
      </c>
      <c r="C577" t="s">
        <v>1095</v>
      </c>
      <c r="D577" t="s">
        <v>2016</v>
      </c>
      <c r="E577" s="138">
        <v>3.114186851211072</v>
      </c>
    </row>
    <row r="578" spans="1:5" x14ac:dyDescent="0.25">
      <c r="A578" t="s">
        <v>191</v>
      </c>
      <c r="B578" t="s">
        <v>326</v>
      </c>
      <c r="C578" t="s">
        <v>1096</v>
      </c>
      <c r="D578" t="s">
        <v>2016</v>
      </c>
      <c r="E578" s="138">
        <v>2.9159519725557459</v>
      </c>
    </row>
    <row r="579" spans="1:5" x14ac:dyDescent="0.25">
      <c r="A579" t="s">
        <v>191</v>
      </c>
      <c r="B579" t="s">
        <v>326</v>
      </c>
      <c r="C579" t="s">
        <v>1097</v>
      </c>
      <c r="D579" t="s">
        <v>2016</v>
      </c>
      <c r="E579" s="138">
        <v>1.3905732741598129</v>
      </c>
    </row>
    <row r="580" spans="1:5" x14ac:dyDescent="0.25">
      <c r="A580" t="s">
        <v>191</v>
      </c>
      <c r="B580" t="s">
        <v>326</v>
      </c>
      <c r="C580" t="s">
        <v>1098</v>
      </c>
      <c r="D580" t="s">
        <v>2016</v>
      </c>
      <c r="E580" s="138">
        <v>1.9170601218669361</v>
      </c>
    </row>
    <row r="581" spans="1:5" x14ac:dyDescent="0.25">
      <c r="A581" t="s">
        <v>191</v>
      </c>
      <c r="B581" t="s">
        <v>326</v>
      </c>
      <c r="C581" t="s">
        <v>1099</v>
      </c>
      <c r="D581" t="s">
        <v>2016</v>
      </c>
      <c r="E581" s="138">
        <v>3.3291990328564198</v>
      </c>
    </row>
    <row r="582" spans="1:5" x14ac:dyDescent="0.25">
      <c r="A582" t="s">
        <v>191</v>
      </c>
      <c r="B582" t="s">
        <v>326</v>
      </c>
      <c r="C582" t="s">
        <v>1100</v>
      </c>
      <c r="D582" t="s">
        <v>2016</v>
      </c>
      <c r="E582" s="138">
        <v>5.3820621007324201</v>
      </c>
    </row>
    <row r="583" spans="1:5" x14ac:dyDescent="0.25">
      <c r="A583" t="s">
        <v>191</v>
      </c>
      <c r="B583" t="s">
        <v>326</v>
      </c>
      <c r="C583" t="s">
        <v>1101</v>
      </c>
      <c r="D583" t="s">
        <v>2016</v>
      </c>
      <c r="E583" s="138">
        <v>1.862828111769687</v>
      </c>
    </row>
    <row r="584" spans="1:5" x14ac:dyDescent="0.25">
      <c r="A584" t="s">
        <v>191</v>
      </c>
      <c r="B584" t="s">
        <v>326</v>
      </c>
      <c r="C584" t="s">
        <v>1102</v>
      </c>
      <c r="D584" t="s">
        <v>2016</v>
      </c>
      <c r="E584" s="138">
        <v>8.325400353896697</v>
      </c>
    </row>
    <row r="585" spans="1:5" x14ac:dyDescent="0.25">
      <c r="A585" t="s">
        <v>191</v>
      </c>
      <c r="B585" t="s">
        <v>326</v>
      </c>
      <c r="C585" t="s">
        <v>1103</v>
      </c>
      <c r="D585" t="s">
        <v>2016</v>
      </c>
      <c r="E585" s="138">
        <v>3.6789765554247622</v>
      </c>
    </row>
    <row r="586" spans="1:5" x14ac:dyDescent="0.25">
      <c r="A586" t="s">
        <v>191</v>
      </c>
      <c r="B586" t="s">
        <v>326</v>
      </c>
      <c r="C586" t="s">
        <v>1104</v>
      </c>
      <c r="D586" t="s">
        <v>2016</v>
      </c>
      <c r="E586" s="138">
        <v>4.8885077186963981</v>
      </c>
    </row>
    <row r="587" spans="1:5" x14ac:dyDescent="0.25">
      <c r="A587" t="s">
        <v>191</v>
      </c>
      <c r="B587" t="s">
        <v>326</v>
      </c>
      <c r="C587" t="s">
        <v>1105</v>
      </c>
      <c r="D587" t="s">
        <v>2016</v>
      </c>
      <c r="E587" s="138">
        <v>5.7858002941306026</v>
      </c>
    </row>
    <row r="588" spans="1:5" x14ac:dyDescent="0.25">
      <c r="A588" t="s">
        <v>191</v>
      </c>
      <c r="B588" t="s">
        <v>326</v>
      </c>
      <c r="C588" t="s">
        <v>1106</v>
      </c>
      <c r="D588" t="s">
        <v>2016</v>
      </c>
      <c r="E588" s="138">
        <v>6.6396059274101482</v>
      </c>
    </row>
    <row r="589" spans="1:5" x14ac:dyDescent="0.25">
      <c r="A589" t="s">
        <v>191</v>
      </c>
      <c r="B589" t="s">
        <v>326</v>
      </c>
      <c r="C589" t="s">
        <v>1107</v>
      </c>
      <c r="D589" t="s">
        <v>2016</v>
      </c>
      <c r="E589" s="138">
        <v>0.69204152249134954</v>
      </c>
    </row>
    <row r="590" spans="1:5" x14ac:dyDescent="0.25">
      <c r="A590" t="s">
        <v>191</v>
      </c>
      <c r="B590" t="s">
        <v>326</v>
      </c>
      <c r="C590" t="s">
        <v>1108</v>
      </c>
      <c r="D590" t="s">
        <v>2016</v>
      </c>
      <c r="E590" s="138">
        <v>0.70890562693841386</v>
      </c>
    </row>
    <row r="591" spans="1:5" x14ac:dyDescent="0.25">
      <c r="A591" t="s">
        <v>191</v>
      </c>
      <c r="B591" t="s">
        <v>326</v>
      </c>
      <c r="C591" t="s">
        <v>1109</v>
      </c>
      <c r="D591" t="s">
        <v>2016</v>
      </c>
      <c r="E591" s="138">
        <v>6.448665947704364</v>
      </c>
    </row>
    <row r="592" spans="1:5" x14ac:dyDescent="0.25">
      <c r="A592" t="s">
        <v>191</v>
      </c>
      <c r="B592" t="s">
        <v>326</v>
      </c>
      <c r="C592" t="s">
        <v>1110</v>
      </c>
      <c r="D592" t="s">
        <v>2016</v>
      </c>
      <c r="E592" s="138">
        <v>1.148409893992933</v>
      </c>
    </row>
    <row r="593" spans="1:5" x14ac:dyDescent="0.25">
      <c r="A593" t="s">
        <v>191</v>
      </c>
      <c r="B593" t="s">
        <v>326</v>
      </c>
      <c r="C593" t="s">
        <v>1111</v>
      </c>
      <c r="D593" t="s">
        <v>2016</v>
      </c>
      <c r="E593" s="138">
        <v>18.552829966180159</v>
      </c>
    </row>
    <row r="594" spans="1:5" x14ac:dyDescent="0.25">
      <c r="A594" t="s">
        <v>192</v>
      </c>
      <c r="B594" t="s">
        <v>327</v>
      </c>
      <c r="C594" t="s">
        <v>1112</v>
      </c>
      <c r="D594" t="s">
        <v>2017</v>
      </c>
      <c r="E594" s="138">
        <v>24.52594367386229</v>
      </c>
    </row>
    <row r="595" spans="1:5" x14ac:dyDescent="0.25">
      <c r="A595" t="s">
        <v>192</v>
      </c>
      <c r="B595" t="s">
        <v>328</v>
      </c>
      <c r="C595" t="s">
        <v>1113</v>
      </c>
      <c r="D595" t="s">
        <v>2017</v>
      </c>
      <c r="E595" s="138">
        <v>25.073559554773929</v>
      </c>
    </row>
    <row r="596" spans="1:5" x14ac:dyDescent="0.25">
      <c r="A596" t="s">
        <v>192</v>
      </c>
      <c r="B596" t="s">
        <v>328</v>
      </c>
      <c r="C596" t="s">
        <v>1114</v>
      </c>
      <c r="D596" t="s">
        <v>2017</v>
      </c>
      <c r="E596" s="138">
        <v>24.321455085582489</v>
      </c>
    </row>
    <row r="597" spans="1:5" x14ac:dyDescent="0.25">
      <c r="A597" t="s">
        <v>192</v>
      </c>
      <c r="B597" t="s">
        <v>328</v>
      </c>
      <c r="C597" t="s">
        <v>1115</v>
      </c>
      <c r="D597" t="s">
        <v>2017</v>
      </c>
      <c r="E597" s="138">
        <v>23.209347639963038</v>
      </c>
    </row>
    <row r="598" spans="1:5" x14ac:dyDescent="0.25">
      <c r="A598" t="s">
        <v>192</v>
      </c>
      <c r="B598" t="s">
        <v>328</v>
      </c>
      <c r="C598" t="s">
        <v>1116</v>
      </c>
      <c r="D598" t="s">
        <v>2017</v>
      </c>
      <c r="E598" s="138">
        <v>26.991612344687841</v>
      </c>
    </row>
    <row r="599" spans="1:5" x14ac:dyDescent="0.25">
      <c r="A599" t="s">
        <v>192</v>
      </c>
      <c r="B599" t="s">
        <v>329</v>
      </c>
      <c r="C599" t="s">
        <v>1117</v>
      </c>
      <c r="D599" t="s">
        <v>2017</v>
      </c>
      <c r="E599" s="138">
        <v>21.978388012816591</v>
      </c>
    </row>
    <row r="600" spans="1:5" x14ac:dyDescent="0.25">
      <c r="A600" t="s">
        <v>192</v>
      </c>
      <c r="B600" t="s">
        <v>329</v>
      </c>
      <c r="C600" t="s">
        <v>1118</v>
      </c>
      <c r="D600" t="s">
        <v>2017</v>
      </c>
      <c r="E600" s="138">
        <v>24.901425938699369</v>
      </c>
    </row>
    <row r="601" spans="1:5" x14ac:dyDescent="0.25">
      <c r="A601" t="s">
        <v>192</v>
      </c>
      <c r="B601" t="s">
        <v>329</v>
      </c>
      <c r="C601" t="s">
        <v>1119</v>
      </c>
      <c r="D601" t="s">
        <v>2017</v>
      </c>
      <c r="E601" s="138">
        <v>25.381871733233151</v>
      </c>
    </row>
    <row r="602" spans="1:5" x14ac:dyDescent="0.25">
      <c r="A602" t="s">
        <v>192</v>
      </c>
      <c r="B602" t="s">
        <v>329</v>
      </c>
      <c r="C602" t="s">
        <v>1120</v>
      </c>
      <c r="D602" t="s">
        <v>2017</v>
      </c>
      <c r="E602" s="138">
        <v>25.525049840357859</v>
      </c>
    </row>
    <row r="603" spans="1:5" x14ac:dyDescent="0.25">
      <c r="A603" t="s">
        <v>192</v>
      </c>
      <c r="B603" t="s">
        <v>330</v>
      </c>
      <c r="C603" t="s">
        <v>1121</v>
      </c>
      <c r="D603" t="s">
        <v>2017</v>
      </c>
      <c r="E603" s="138">
        <v>24.566329649774669</v>
      </c>
    </row>
    <row r="604" spans="1:5" x14ac:dyDescent="0.25">
      <c r="A604" t="s">
        <v>192</v>
      </c>
      <c r="B604" t="s">
        <v>330</v>
      </c>
      <c r="C604" t="s">
        <v>1122</v>
      </c>
      <c r="D604" t="s">
        <v>2017</v>
      </c>
      <c r="E604" s="138">
        <v>24.483931121113368</v>
      </c>
    </row>
    <row r="605" spans="1:5" x14ac:dyDescent="0.25">
      <c r="A605" t="s">
        <v>192</v>
      </c>
      <c r="B605" t="s">
        <v>331</v>
      </c>
      <c r="C605" t="s">
        <v>1123</v>
      </c>
      <c r="D605" t="s">
        <v>2017</v>
      </c>
      <c r="E605" s="138">
        <v>23.77593311792846</v>
      </c>
    </row>
    <row r="606" spans="1:5" x14ac:dyDescent="0.25">
      <c r="A606" t="s">
        <v>192</v>
      </c>
      <c r="B606" t="s">
        <v>331</v>
      </c>
      <c r="C606" t="s">
        <v>1124</v>
      </c>
      <c r="D606" t="s">
        <v>2017</v>
      </c>
      <c r="E606" s="138">
        <v>25.099564445548921</v>
      </c>
    </row>
    <row r="607" spans="1:5" x14ac:dyDescent="0.25">
      <c r="A607" t="s">
        <v>192</v>
      </c>
      <c r="B607" t="s">
        <v>332</v>
      </c>
      <c r="C607" t="s">
        <v>1125</v>
      </c>
      <c r="D607" t="s">
        <v>2017</v>
      </c>
      <c r="E607" s="138">
        <v>24.813906576773039</v>
      </c>
    </row>
    <row r="608" spans="1:5" x14ac:dyDescent="0.25">
      <c r="A608" t="s">
        <v>192</v>
      </c>
      <c r="B608" t="s">
        <v>332</v>
      </c>
      <c r="C608" t="s">
        <v>1126</v>
      </c>
      <c r="D608" t="s">
        <v>2017</v>
      </c>
      <c r="E608" s="138">
        <v>24.452242282587481</v>
      </c>
    </row>
    <row r="609" spans="1:5" x14ac:dyDescent="0.25">
      <c r="A609" t="s">
        <v>192</v>
      </c>
      <c r="B609" t="s">
        <v>333</v>
      </c>
      <c r="C609" t="s">
        <v>1127</v>
      </c>
      <c r="D609" t="s">
        <v>2017</v>
      </c>
      <c r="E609" s="138">
        <v>22.648374142826661</v>
      </c>
    </row>
    <row r="610" spans="1:5" x14ac:dyDescent="0.25">
      <c r="A610" t="s">
        <v>192</v>
      </c>
      <c r="B610" t="s">
        <v>333</v>
      </c>
      <c r="C610" t="s">
        <v>1128</v>
      </c>
      <c r="D610" t="s">
        <v>2017</v>
      </c>
      <c r="E610" s="138">
        <v>23.84825333715386</v>
      </c>
    </row>
    <row r="611" spans="1:5" x14ac:dyDescent="0.25">
      <c r="A611" t="s">
        <v>192</v>
      </c>
      <c r="B611" t="s">
        <v>333</v>
      </c>
      <c r="C611" t="s">
        <v>1129</v>
      </c>
      <c r="D611" t="s">
        <v>2017</v>
      </c>
      <c r="E611" s="138">
        <v>24.945752772304111</v>
      </c>
    </row>
    <row r="612" spans="1:5" x14ac:dyDescent="0.25">
      <c r="A612" t="s">
        <v>192</v>
      </c>
      <c r="B612" t="s">
        <v>333</v>
      </c>
      <c r="C612" t="s">
        <v>1130</v>
      </c>
      <c r="D612" t="s">
        <v>2017</v>
      </c>
      <c r="E612" s="138">
        <v>25.330368530558381</v>
      </c>
    </row>
    <row r="613" spans="1:5" x14ac:dyDescent="0.25">
      <c r="A613" t="s">
        <v>192</v>
      </c>
      <c r="B613" t="s">
        <v>334</v>
      </c>
      <c r="C613" t="s">
        <v>1131</v>
      </c>
      <c r="D613" t="s">
        <v>2017</v>
      </c>
      <c r="E613" s="138">
        <v>44.270186776704669</v>
      </c>
    </row>
    <row r="614" spans="1:5" x14ac:dyDescent="0.25">
      <c r="A614" t="s">
        <v>192</v>
      </c>
      <c r="B614" t="s">
        <v>334</v>
      </c>
      <c r="C614" t="s">
        <v>1132</v>
      </c>
      <c r="D614" t="s">
        <v>2017</v>
      </c>
      <c r="E614" s="138">
        <v>14.81481481481481</v>
      </c>
    </row>
    <row r="615" spans="1:5" x14ac:dyDescent="0.25">
      <c r="A615" t="s">
        <v>192</v>
      </c>
      <c r="B615" t="s">
        <v>334</v>
      </c>
      <c r="C615" t="s">
        <v>1133</v>
      </c>
      <c r="D615" t="s">
        <v>2017</v>
      </c>
      <c r="E615" s="138">
        <v>24.97868712702472</v>
      </c>
    </row>
    <row r="616" spans="1:5" x14ac:dyDescent="0.25">
      <c r="A616" t="s">
        <v>192</v>
      </c>
      <c r="B616" t="s">
        <v>334</v>
      </c>
      <c r="C616" t="s">
        <v>1134</v>
      </c>
      <c r="D616" t="s">
        <v>2017</v>
      </c>
      <c r="E616" s="138">
        <v>27.68609785537631</v>
      </c>
    </row>
    <row r="617" spans="1:5" x14ac:dyDescent="0.25">
      <c r="A617" t="s">
        <v>192</v>
      </c>
      <c r="B617" t="s">
        <v>334</v>
      </c>
      <c r="C617" t="s">
        <v>1135</v>
      </c>
      <c r="D617" t="s">
        <v>2017</v>
      </c>
      <c r="E617" s="138">
        <v>27.576450972044839</v>
      </c>
    </row>
    <row r="618" spans="1:5" x14ac:dyDescent="0.25">
      <c r="A618" t="s">
        <v>192</v>
      </c>
      <c r="B618" t="s">
        <v>334</v>
      </c>
      <c r="C618" t="s">
        <v>1136</v>
      </c>
      <c r="D618" t="s">
        <v>2017</v>
      </c>
      <c r="E618" s="138">
        <v>17.23044397463002</v>
      </c>
    </row>
    <row r="619" spans="1:5" x14ac:dyDescent="0.25">
      <c r="A619" t="s">
        <v>192</v>
      </c>
      <c r="B619" t="s">
        <v>334</v>
      </c>
      <c r="C619" t="s">
        <v>1137</v>
      </c>
      <c r="D619" t="s">
        <v>2017</v>
      </c>
      <c r="E619" s="138">
        <v>22.72379012155886</v>
      </c>
    </row>
    <row r="620" spans="1:5" x14ac:dyDescent="0.25">
      <c r="A620" t="s">
        <v>192</v>
      </c>
      <c r="B620" t="s">
        <v>334</v>
      </c>
      <c r="C620" t="s">
        <v>1138</v>
      </c>
      <c r="D620" t="s">
        <v>2017</v>
      </c>
      <c r="E620" s="138">
        <v>18.460192475940509</v>
      </c>
    </row>
    <row r="621" spans="1:5" x14ac:dyDescent="0.25">
      <c r="A621" t="s">
        <v>192</v>
      </c>
      <c r="B621" t="s">
        <v>334</v>
      </c>
      <c r="C621" t="s">
        <v>1139</v>
      </c>
      <c r="D621" t="s">
        <v>2017</v>
      </c>
      <c r="E621" s="138">
        <v>27.67926188768331</v>
      </c>
    </row>
    <row r="622" spans="1:5" x14ac:dyDescent="0.25">
      <c r="A622" t="s">
        <v>192</v>
      </c>
      <c r="B622" t="s">
        <v>334</v>
      </c>
      <c r="C622" t="s">
        <v>1140</v>
      </c>
      <c r="D622" t="s">
        <v>2017</v>
      </c>
      <c r="E622" s="138">
        <v>29.239230772154251</v>
      </c>
    </row>
    <row r="623" spans="1:5" x14ac:dyDescent="0.25">
      <c r="A623" t="s">
        <v>192</v>
      </c>
      <c r="B623" t="s">
        <v>334</v>
      </c>
      <c r="C623" t="s">
        <v>1141</v>
      </c>
      <c r="D623" t="s">
        <v>2017</v>
      </c>
      <c r="E623" s="138">
        <v>32.130584192439862</v>
      </c>
    </row>
    <row r="624" spans="1:5" x14ac:dyDescent="0.25">
      <c r="A624" t="s">
        <v>192</v>
      </c>
      <c r="B624" t="s">
        <v>334</v>
      </c>
      <c r="C624" t="s">
        <v>1142</v>
      </c>
      <c r="D624" t="s">
        <v>2017</v>
      </c>
      <c r="E624" s="138">
        <v>25.75282572215005</v>
      </c>
    </row>
    <row r="625" spans="1:5" x14ac:dyDescent="0.25">
      <c r="A625" t="s">
        <v>192</v>
      </c>
      <c r="B625" t="s">
        <v>334</v>
      </c>
      <c r="C625" t="s">
        <v>1143</v>
      </c>
      <c r="D625" t="s">
        <v>2017</v>
      </c>
      <c r="E625" s="138">
        <v>18.124341412012651</v>
      </c>
    </row>
    <row r="626" spans="1:5" x14ac:dyDescent="0.25">
      <c r="A626" t="s">
        <v>192</v>
      </c>
      <c r="B626" t="s">
        <v>334</v>
      </c>
      <c r="C626" t="s">
        <v>1144</v>
      </c>
      <c r="D626" t="s">
        <v>2017</v>
      </c>
      <c r="E626" s="138">
        <v>21.32743362831858</v>
      </c>
    </row>
    <row r="627" spans="1:5" x14ac:dyDescent="0.25">
      <c r="A627" t="s">
        <v>192</v>
      </c>
      <c r="B627" t="s">
        <v>334</v>
      </c>
      <c r="C627" t="s">
        <v>1145</v>
      </c>
      <c r="D627" t="s">
        <v>2017</v>
      </c>
      <c r="E627" s="138">
        <v>30.227518959913329</v>
      </c>
    </row>
    <row r="628" spans="1:5" x14ac:dyDescent="0.25">
      <c r="A628" t="s">
        <v>192</v>
      </c>
      <c r="B628" t="s">
        <v>334</v>
      </c>
      <c r="C628" t="s">
        <v>1146</v>
      </c>
      <c r="D628" t="s">
        <v>2017</v>
      </c>
      <c r="E628" s="138">
        <v>25.865209753906441</v>
      </c>
    </row>
    <row r="629" spans="1:5" x14ac:dyDescent="0.25">
      <c r="A629" t="s">
        <v>192</v>
      </c>
      <c r="B629" t="s">
        <v>334</v>
      </c>
      <c r="C629" t="s">
        <v>1147</v>
      </c>
      <c r="D629" t="s">
        <v>2017</v>
      </c>
      <c r="E629" s="138">
        <v>9.5067264573991039</v>
      </c>
    </row>
    <row r="630" spans="1:5" x14ac:dyDescent="0.25">
      <c r="A630" t="s">
        <v>192</v>
      </c>
      <c r="B630" t="s">
        <v>334</v>
      </c>
      <c r="C630" t="s">
        <v>1148</v>
      </c>
      <c r="D630" t="s">
        <v>2017</v>
      </c>
      <c r="E630" s="138">
        <v>22.067686316567869</v>
      </c>
    </row>
    <row r="631" spans="1:5" x14ac:dyDescent="0.25">
      <c r="A631" t="s">
        <v>192</v>
      </c>
      <c r="B631" t="s">
        <v>335</v>
      </c>
      <c r="C631" t="s">
        <v>1149</v>
      </c>
      <c r="D631" t="s">
        <v>2018</v>
      </c>
      <c r="E631" s="138">
        <v>53.515881939191701</v>
      </c>
    </row>
    <row r="632" spans="1:5" x14ac:dyDescent="0.25">
      <c r="A632" t="s">
        <v>192</v>
      </c>
      <c r="B632" t="s">
        <v>336</v>
      </c>
      <c r="C632" t="s">
        <v>1150</v>
      </c>
      <c r="D632" t="s">
        <v>2018</v>
      </c>
      <c r="E632" s="138">
        <v>51.700451928874081</v>
      </c>
    </row>
    <row r="633" spans="1:5" x14ac:dyDescent="0.25">
      <c r="A633" t="s">
        <v>192</v>
      </c>
      <c r="B633" t="s">
        <v>336</v>
      </c>
      <c r="C633" t="s">
        <v>1151</v>
      </c>
      <c r="D633" t="s">
        <v>2018</v>
      </c>
      <c r="E633" s="138">
        <v>53.729915950293687</v>
      </c>
    </row>
    <row r="634" spans="1:5" x14ac:dyDescent="0.25">
      <c r="A634" t="s">
        <v>192</v>
      </c>
      <c r="B634" t="s">
        <v>336</v>
      </c>
      <c r="C634" t="s">
        <v>1152</v>
      </c>
      <c r="D634" t="s">
        <v>2018</v>
      </c>
      <c r="E634" s="138">
        <v>54.901621400602643</v>
      </c>
    </row>
    <row r="635" spans="1:5" x14ac:dyDescent="0.25">
      <c r="A635" t="s">
        <v>192</v>
      </c>
      <c r="B635" t="s">
        <v>336</v>
      </c>
      <c r="C635" t="s">
        <v>1153</v>
      </c>
      <c r="D635" t="s">
        <v>2018</v>
      </c>
      <c r="E635" s="138">
        <v>55.554742244001837</v>
      </c>
    </row>
    <row r="636" spans="1:5" x14ac:dyDescent="0.25">
      <c r="A636" t="s">
        <v>192</v>
      </c>
      <c r="B636" t="s">
        <v>337</v>
      </c>
      <c r="C636" t="s">
        <v>1154</v>
      </c>
      <c r="D636" t="s">
        <v>2018</v>
      </c>
      <c r="E636" s="138">
        <v>53.638646839470482</v>
      </c>
    </row>
    <row r="637" spans="1:5" x14ac:dyDescent="0.25">
      <c r="A637" t="s">
        <v>192</v>
      </c>
      <c r="B637" t="s">
        <v>337</v>
      </c>
      <c r="C637" t="s">
        <v>1155</v>
      </c>
      <c r="D637" t="s">
        <v>2018</v>
      </c>
      <c r="E637" s="138">
        <v>53.296545769007317</v>
      </c>
    </row>
    <row r="638" spans="1:5" x14ac:dyDescent="0.25">
      <c r="A638" t="s">
        <v>192</v>
      </c>
      <c r="B638" t="s">
        <v>337</v>
      </c>
      <c r="C638" t="s">
        <v>1156</v>
      </c>
      <c r="D638" t="s">
        <v>2018</v>
      </c>
      <c r="E638" s="138">
        <v>53.731784603330468</v>
      </c>
    </row>
    <row r="639" spans="1:5" x14ac:dyDescent="0.25">
      <c r="A639" t="s">
        <v>192</v>
      </c>
      <c r="B639" t="s">
        <v>337</v>
      </c>
      <c r="C639" t="s">
        <v>1157</v>
      </c>
      <c r="D639" t="s">
        <v>2018</v>
      </c>
      <c r="E639" s="138">
        <v>53.403161246313132</v>
      </c>
    </row>
    <row r="640" spans="1:5" x14ac:dyDescent="0.25">
      <c r="A640" t="s">
        <v>192</v>
      </c>
      <c r="B640" t="s">
        <v>338</v>
      </c>
      <c r="C640" t="s">
        <v>1158</v>
      </c>
      <c r="D640" t="s">
        <v>2018</v>
      </c>
      <c r="E640" s="138">
        <v>54.261716079583103</v>
      </c>
    </row>
    <row r="641" spans="1:5" x14ac:dyDescent="0.25">
      <c r="A641" t="s">
        <v>192</v>
      </c>
      <c r="B641" t="s">
        <v>338</v>
      </c>
      <c r="C641" t="s">
        <v>1159</v>
      </c>
      <c r="D641" t="s">
        <v>2018</v>
      </c>
      <c r="E641" s="138">
        <v>52.740008744171732</v>
      </c>
    </row>
    <row r="642" spans="1:5" x14ac:dyDescent="0.25">
      <c r="A642" t="s">
        <v>192</v>
      </c>
      <c r="B642" t="s">
        <v>339</v>
      </c>
      <c r="C642" t="s">
        <v>1160</v>
      </c>
      <c r="D642" t="s">
        <v>2018</v>
      </c>
      <c r="E642" s="138">
        <v>53.283004670963052</v>
      </c>
    </row>
    <row r="643" spans="1:5" x14ac:dyDescent="0.25">
      <c r="A643" t="s">
        <v>192</v>
      </c>
      <c r="B643" t="s">
        <v>339</v>
      </c>
      <c r="C643" t="s">
        <v>1161</v>
      </c>
      <c r="D643" t="s">
        <v>2018</v>
      </c>
      <c r="E643" s="138">
        <v>53.699504934344198</v>
      </c>
    </row>
    <row r="644" spans="1:5" x14ac:dyDescent="0.25">
      <c r="A644" t="s">
        <v>192</v>
      </c>
      <c r="B644" t="s">
        <v>340</v>
      </c>
      <c r="C644" t="s">
        <v>1162</v>
      </c>
      <c r="D644" t="s">
        <v>2018</v>
      </c>
      <c r="E644" s="138">
        <v>53.316837276765142</v>
      </c>
    </row>
    <row r="645" spans="1:5" x14ac:dyDescent="0.25">
      <c r="A645" t="s">
        <v>192</v>
      </c>
      <c r="B645" t="s">
        <v>340</v>
      </c>
      <c r="C645" t="s">
        <v>1163</v>
      </c>
      <c r="D645" t="s">
        <v>2018</v>
      </c>
      <c r="E645" s="138">
        <v>53.593988362111389</v>
      </c>
    </row>
    <row r="646" spans="1:5" x14ac:dyDescent="0.25">
      <c r="A646" t="s">
        <v>192</v>
      </c>
      <c r="B646" t="s">
        <v>341</v>
      </c>
      <c r="C646" t="s">
        <v>1164</v>
      </c>
      <c r="D646" t="s">
        <v>2018</v>
      </c>
      <c r="E646" s="138">
        <v>47.400199130562257</v>
      </c>
    </row>
    <row r="647" spans="1:5" x14ac:dyDescent="0.25">
      <c r="A647" t="s">
        <v>192</v>
      </c>
      <c r="B647" t="s">
        <v>341</v>
      </c>
      <c r="C647" t="s">
        <v>1165</v>
      </c>
      <c r="D647" t="s">
        <v>2018</v>
      </c>
      <c r="E647" s="138">
        <v>53.5942681292467</v>
      </c>
    </row>
    <row r="648" spans="1:5" x14ac:dyDescent="0.25">
      <c r="A648" t="s">
        <v>192</v>
      </c>
      <c r="B648" t="s">
        <v>341</v>
      </c>
      <c r="C648" t="s">
        <v>1166</v>
      </c>
      <c r="D648" t="s">
        <v>2018</v>
      </c>
      <c r="E648" s="138">
        <v>53.221519296356817</v>
      </c>
    </row>
    <row r="649" spans="1:5" x14ac:dyDescent="0.25">
      <c r="A649" t="s">
        <v>192</v>
      </c>
      <c r="B649" t="s">
        <v>341</v>
      </c>
      <c r="C649" t="s">
        <v>1167</v>
      </c>
      <c r="D649" t="s">
        <v>2018</v>
      </c>
      <c r="E649" s="138">
        <v>54.002621793242753</v>
      </c>
    </row>
    <row r="650" spans="1:5" x14ac:dyDescent="0.25">
      <c r="A650" t="s">
        <v>192</v>
      </c>
      <c r="B650" t="s">
        <v>342</v>
      </c>
      <c r="C650" t="s">
        <v>1168</v>
      </c>
      <c r="D650" t="s">
        <v>2018</v>
      </c>
      <c r="E650" s="138">
        <v>51.276045092449849</v>
      </c>
    </row>
    <row r="651" spans="1:5" x14ac:dyDescent="0.25">
      <c r="A651" t="s">
        <v>192</v>
      </c>
      <c r="B651" t="s">
        <v>342</v>
      </c>
      <c r="C651" t="s">
        <v>1169</v>
      </c>
      <c r="D651" t="s">
        <v>2018</v>
      </c>
      <c r="E651" s="138">
        <v>48.853615520282183</v>
      </c>
    </row>
    <row r="652" spans="1:5" x14ac:dyDescent="0.25">
      <c r="A652" t="s">
        <v>192</v>
      </c>
      <c r="B652" t="s">
        <v>342</v>
      </c>
      <c r="C652" t="s">
        <v>1170</v>
      </c>
      <c r="D652" t="s">
        <v>2018</v>
      </c>
      <c r="E652" s="138">
        <v>58.397271952259167</v>
      </c>
    </row>
    <row r="653" spans="1:5" x14ac:dyDescent="0.25">
      <c r="A653" t="s">
        <v>192</v>
      </c>
      <c r="B653" t="s">
        <v>342</v>
      </c>
      <c r="C653" t="s">
        <v>1171</v>
      </c>
      <c r="D653" t="s">
        <v>2018</v>
      </c>
      <c r="E653" s="138">
        <v>57.388825851331838</v>
      </c>
    </row>
    <row r="654" spans="1:5" x14ac:dyDescent="0.25">
      <c r="A654" t="s">
        <v>192</v>
      </c>
      <c r="B654" t="s">
        <v>342</v>
      </c>
      <c r="C654" t="s">
        <v>1172</v>
      </c>
      <c r="D654" t="s">
        <v>2018</v>
      </c>
      <c r="E654" s="138">
        <v>53.262026394210302</v>
      </c>
    </row>
    <row r="655" spans="1:5" x14ac:dyDescent="0.25">
      <c r="A655" t="s">
        <v>192</v>
      </c>
      <c r="B655" t="s">
        <v>342</v>
      </c>
      <c r="C655" t="s">
        <v>1173</v>
      </c>
      <c r="D655" t="s">
        <v>2018</v>
      </c>
      <c r="E655" s="138">
        <v>52.325581395348841</v>
      </c>
    </row>
    <row r="656" spans="1:5" x14ac:dyDescent="0.25">
      <c r="A656" t="s">
        <v>192</v>
      </c>
      <c r="B656" t="s">
        <v>342</v>
      </c>
      <c r="C656" t="s">
        <v>1174</v>
      </c>
      <c r="D656" t="s">
        <v>2018</v>
      </c>
      <c r="E656" s="138">
        <v>48.830338485941851</v>
      </c>
    </row>
    <row r="657" spans="1:5" x14ac:dyDescent="0.25">
      <c r="A657" t="s">
        <v>192</v>
      </c>
      <c r="B657" t="s">
        <v>342</v>
      </c>
      <c r="C657" t="s">
        <v>1175</v>
      </c>
      <c r="D657" t="s">
        <v>2018</v>
      </c>
      <c r="E657" s="138">
        <v>52.580927384076993</v>
      </c>
    </row>
    <row r="658" spans="1:5" x14ac:dyDescent="0.25">
      <c r="A658" t="s">
        <v>192</v>
      </c>
      <c r="B658" t="s">
        <v>342</v>
      </c>
      <c r="C658" t="s">
        <v>1176</v>
      </c>
      <c r="D658" t="s">
        <v>2018</v>
      </c>
      <c r="E658" s="138">
        <v>57.538012360000288</v>
      </c>
    </row>
    <row r="659" spans="1:5" x14ac:dyDescent="0.25">
      <c r="A659" t="s">
        <v>192</v>
      </c>
      <c r="B659" t="s">
        <v>342</v>
      </c>
      <c r="C659" t="s">
        <v>1177</v>
      </c>
      <c r="D659" t="s">
        <v>2018</v>
      </c>
      <c r="E659" s="138">
        <v>50.151586410439521</v>
      </c>
    </row>
    <row r="660" spans="1:5" x14ac:dyDescent="0.25">
      <c r="A660" t="s">
        <v>192</v>
      </c>
      <c r="B660" t="s">
        <v>342</v>
      </c>
      <c r="C660" t="s">
        <v>1178</v>
      </c>
      <c r="D660" t="s">
        <v>2018</v>
      </c>
      <c r="E660" s="138">
        <v>52.233676975945023</v>
      </c>
    </row>
    <row r="661" spans="1:5" x14ac:dyDescent="0.25">
      <c r="A661" t="s">
        <v>192</v>
      </c>
      <c r="B661" t="s">
        <v>342</v>
      </c>
      <c r="C661" t="s">
        <v>1179</v>
      </c>
      <c r="D661" t="s">
        <v>2018</v>
      </c>
      <c r="E661" s="138">
        <v>54.959077646349208</v>
      </c>
    </row>
    <row r="662" spans="1:5" x14ac:dyDescent="0.25">
      <c r="A662" t="s">
        <v>192</v>
      </c>
      <c r="B662" t="s">
        <v>342</v>
      </c>
      <c r="C662" t="s">
        <v>1180</v>
      </c>
      <c r="D662" t="s">
        <v>2018</v>
      </c>
      <c r="E662" s="138">
        <v>54.899894625922023</v>
      </c>
    </row>
    <row r="663" spans="1:5" x14ac:dyDescent="0.25">
      <c r="A663" t="s">
        <v>192</v>
      </c>
      <c r="B663" t="s">
        <v>342</v>
      </c>
      <c r="C663" t="s">
        <v>1181</v>
      </c>
      <c r="D663" t="s">
        <v>2018</v>
      </c>
      <c r="E663" s="138">
        <v>67.522123893805315</v>
      </c>
    </row>
    <row r="664" spans="1:5" x14ac:dyDescent="0.25">
      <c r="A664" t="s">
        <v>192</v>
      </c>
      <c r="B664" t="s">
        <v>342</v>
      </c>
      <c r="C664" t="s">
        <v>1182</v>
      </c>
      <c r="D664" t="s">
        <v>2018</v>
      </c>
      <c r="E664" s="138">
        <v>52.416034669555799</v>
      </c>
    </row>
    <row r="665" spans="1:5" x14ac:dyDescent="0.25">
      <c r="A665" t="s">
        <v>192</v>
      </c>
      <c r="B665" t="s">
        <v>342</v>
      </c>
      <c r="C665" t="s">
        <v>1183</v>
      </c>
      <c r="D665" t="s">
        <v>2018</v>
      </c>
      <c r="E665" s="138">
        <v>48.043369337551823</v>
      </c>
    </row>
    <row r="666" spans="1:5" x14ac:dyDescent="0.25">
      <c r="A666" t="s">
        <v>192</v>
      </c>
      <c r="B666" t="s">
        <v>342</v>
      </c>
      <c r="C666" t="s">
        <v>1184</v>
      </c>
      <c r="D666" t="s">
        <v>2018</v>
      </c>
      <c r="E666" s="138">
        <v>56.681614349775778</v>
      </c>
    </row>
    <row r="667" spans="1:5" x14ac:dyDescent="0.25">
      <c r="A667" t="s">
        <v>192</v>
      </c>
      <c r="B667" t="s">
        <v>342</v>
      </c>
      <c r="C667" t="s">
        <v>1185</v>
      </c>
      <c r="D667" t="s">
        <v>2018</v>
      </c>
      <c r="E667" s="138">
        <v>44.297832306411451</v>
      </c>
    </row>
    <row r="668" spans="1:5" x14ac:dyDescent="0.25">
      <c r="A668" t="s">
        <v>192</v>
      </c>
      <c r="B668" t="s">
        <v>343</v>
      </c>
      <c r="C668" t="s">
        <v>1186</v>
      </c>
      <c r="D668" t="s">
        <v>2019</v>
      </c>
      <c r="E668" s="138">
        <v>19.426942207076578</v>
      </c>
    </row>
    <row r="669" spans="1:5" x14ac:dyDescent="0.25">
      <c r="A669" t="s">
        <v>192</v>
      </c>
      <c r="B669" t="s">
        <v>344</v>
      </c>
      <c r="C669" t="s">
        <v>1187</v>
      </c>
      <c r="D669" t="s">
        <v>2019</v>
      </c>
      <c r="E669" s="138">
        <v>20.237245639260429</v>
      </c>
    </row>
    <row r="670" spans="1:5" x14ac:dyDescent="0.25">
      <c r="A670" t="s">
        <v>192</v>
      </c>
      <c r="B670" t="s">
        <v>344</v>
      </c>
      <c r="C670" t="s">
        <v>1188</v>
      </c>
      <c r="D670" t="s">
        <v>2019</v>
      </c>
      <c r="E670" s="138">
        <v>19.528188573316271</v>
      </c>
    </row>
    <row r="671" spans="1:5" x14ac:dyDescent="0.25">
      <c r="A671" t="s">
        <v>192</v>
      </c>
      <c r="B671" t="s">
        <v>344</v>
      </c>
      <c r="C671" t="s">
        <v>1189</v>
      </c>
      <c r="D671" t="s">
        <v>2019</v>
      </c>
      <c r="E671" s="138">
        <v>19.777192032718919</v>
      </c>
    </row>
    <row r="672" spans="1:5" x14ac:dyDescent="0.25">
      <c r="A672" t="s">
        <v>192</v>
      </c>
      <c r="B672" t="s">
        <v>344</v>
      </c>
      <c r="C672" t="s">
        <v>1190</v>
      </c>
      <c r="D672" t="s">
        <v>2019</v>
      </c>
      <c r="E672" s="138">
        <v>14.940175524889611</v>
      </c>
    </row>
    <row r="673" spans="1:5" x14ac:dyDescent="0.25">
      <c r="A673" t="s">
        <v>192</v>
      </c>
      <c r="B673" t="s">
        <v>345</v>
      </c>
      <c r="C673" t="s">
        <v>1191</v>
      </c>
      <c r="D673" t="s">
        <v>2019</v>
      </c>
      <c r="E673" s="138">
        <v>21.721824659541031</v>
      </c>
    </row>
    <row r="674" spans="1:5" x14ac:dyDescent="0.25">
      <c r="A674" t="s">
        <v>192</v>
      </c>
      <c r="B674" t="s">
        <v>345</v>
      </c>
      <c r="C674" t="s">
        <v>1192</v>
      </c>
      <c r="D674" t="s">
        <v>2019</v>
      </c>
      <c r="E674" s="138">
        <v>19.31478232677145</v>
      </c>
    </row>
    <row r="675" spans="1:5" x14ac:dyDescent="0.25">
      <c r="A675" t="s">
        <v>192</v>
      </c>
      <c r="B675" t="s">
        <v>345</v>
      </c>
      <c r="C675" t="s">
        <v>1193</v>
      </c>
      <c r="D675" t="s">
        <v>2019</v>
      </c>
      <c r="E675" s="138">
        <v>18.278543990009592</v>
      </c>
    </row>
    <row r="676" spans="1:5" x14ac:dyDescent="0.25">
      <c r="A676" t="s">
        <v>192</v>
      </c>
      <c r="B676" t="s">
        <v>345</v>
      </c>
      <c r="C676" t="s">
        <v>1194</v>
      </c>
      <c r="D676" t="s">
        <v>2019</v>
      </c>
      <c r="E676" s="138">
        <v>18.90924551700931</v>
      </c>
    </row>
    <row r="677" spans="1:5" x14ac:dyDescent="0.25">
      <c r="A677" t="s">
        <v>192</v>
      </c>
      <c r="B677" t="s">
        <v>346</v>
      </c>
      <c r="C677" t="s">
        <v>1195</v>
      </c>
      <c r="D677" t="s">
        <v>2019</v>
      </c>
      <c r="E677" s="138">
        <v>18.725563629987121</v>
      </c>
    </row>
    <row r="678" spans="1:5" x14ac:dyDescent="0.25">
      <c r="A678" t="s">
        <v>192</v>
      </c>
      <c r="B678" t="s">
        <v>346</v>
      </c>
      <c r="C678" t="s">
        <v>1196</v>
      </c>
      <c r="D678" t="s">
        <v>2019</v>
      </c>
      <c r="E678" s="138">
        <v>20.156569356136011</v>
      </c>
    </row>
    <row r="679" spans="1:5" x14ac:dyDescent="0.25">
      <c r="A679" t="s">
        <v>192</v>
      </c>
      <c r="B679" t="s">
        <v>347</v>
      </c>
      <c r="C679" t="s">
        <v>1197</v>
      </c>
      <c r="D679" t="s">
        <v>2019</v>
      </c>
      <c r="E679" s="138">
        <v>20.169317335290081</v>
      </c>
    </row>
    <row r="680" spans="1:5" x14ac:dyDescent="0.25">
      <c r="A680" t="s">
        <v>192</v>
      </c>
      <c r="B680" t="s">
        <v>347</v>
      </c>
      <c r="C680" t="s">
        <v>1198</v>
      </c>
      <c r="D680" t="s">
        <v>2019</v>
      </c>
      <c r="E680" s="138">
        <v>18.846046515500351</v>
      </c>
    </row>
    <row r="681" spans="1:5" x14ac:dyDescent="0.25">
      <c r="A681" t="s">
        <v>192</v>
      </c>
      <c r="B681" t="s">
        <v>348</v>
      </c>
      <c r="C681" t="s">
        <v>1199</v>
      </c>
      <c r="D681" t="s">
        <v>2019</v>
      </c>
      <c r="E681" s="138">
        <v>19.238352202382831</v>
      </c>
    </row>
    <row r="682" spans="1:5" x14ac:dyDescent="0.25">
      <c r="A682" t="s">
        <v>192</v>
      </c>
      <c r="B682" t="s">
        <v>348</v>
      </c>
      <c r="C682" t="s">
        <v>1200</v>
      </c>
      <c r="D682" t="s">
        <v>2019</v>
      </c>
      <c r="E682" s="138">
        <v>19.483049526810291</v>
      </c>
    </row>
    <row r="683" spans="1:5" x14ac:dyDescent="0.25">
      <c r="A683" t="s">
        <v>192</v>
      </c>
      <c r="B683" t="s">
        <v>349</v>
      </c>
      <c r="C683" t="s">
        <v>1201</v>
      </c>
      <c r="D683" t="s">
        <v>2019</v>
      </c>
      <c r="E683" s="138">
        <v>26.783662057499761</v>
      </c>
    </row>
    <row r="684" spans="1:5" x14ac:dyDescent="0.25">
      <c r="A684" t="s">
        <v>192</v>
      </c>
      <c r="B684" t="s">
        <v>349</v>
      </c>
      <c r="C684" t="s">
        <v>1202</v>
      </c>
      <c r="D684" t="s">
        <v>2019</v>
      </c>
      <c r="E684" s="138">
        <v>19.945401687374389</v>
      </c>
    </row>
    <row r="685" spans="1:5" x14ac:dyDescent="0.25">
      <c r="A685" t="s">
        <v>192</v>
      </c>
      <c r="B685" t="s">
        <v>349</v>
      </c>
      <c r="C685" t="s">
        <v>1203</v>
      </c>
      <c r="D685" t="s">
        <v>2019</v>
      </c>
      <c r="E685" s="138">
        <v>19.31728662463615</v>
      </c>
    </row>
    <row r="686" spans="1:5" x14ac:dyDescent="0.25">
      <c r="A686" t="s">
        <v>192</v>
      </c>
      <c r="B686" t="s">
        <v>349</v>
      </c>
      <c r="C686" t="s">
        <v>1204</v>
      </c>
      <c r="D686" t="s">
        <v>2019</v>
      </c>
      <c r="E686" s="138">
        <v>17.391594221882301</v>
      </c>
    </row>
    <row r="687" spans="1:5" x14ac:dyDescent="0.25">
      <c r="A687" t="s">
        <v>192</v>
      </c>
      <c r="B687" t="s">
        <v>350</v>
      </c>
      <c r="C687" t="s">
        <v>1205</v>
      </c>
      <c r="D687" t="s">
        <v>2019</v>
      </c>
      <c r="E687" s="138">
        <v>4.0825586810429808</v>
      </c>
    </row>
    <row r="688" spans="1:5" x14ac:dyDescent="0.25">
      <c r="A688" t="s">
        <v>192</v>
      </c>
      <c r="B688" t="s">
        <v>350</v>
      </c>
      <c r="C688" t="s">
        <v>1206</v>
      </c>
      <c r="D688" t="s">
        <v>2019</v>
      </c>
      <c r="E688" s="138">
        <v>33.950617283950621</v>
      </c>
    </row>
    <row r="689" spans="1:5" x14ac:dyDescent="0.25">
      <c r="A689" t="s">
        <v>192</v>
      </c>
      <c r="B689" t="s">
        <v>350</v>
      </c>
      <c r="C689" t="s">
        <v>1207</v>
      </c>
      <c r="D689" t="s">
        <v>2019</v>
      </c>
      <c r="E689" s="138">
        <v>15.34526854219949</v>
      </c>
    </row>
    <row r="690" spans="1:5" x14ac:dyDescent="0.25">
      <c r="A690" t="s">
        <v>192</v>
      </c>
      <c r="B690" t="s">
        <v>350</v>
      </c>
      <c r="C690" t="s">
        <v>1208</v>
      </c>
      <c r="D690" t="s">
        <v>2019</v>
      </c>
      <c r="E690" s="138">
        <v>13.02721583277164</v>
      </c>
    </row>
    <row r="691" spans="1:5" x14ac:dyDescent="0.25">
      <c r="A691" t="s">
        <v>192</v>
      </c>
      <c r="B691" t="s">
        <v>350</v>
      </c>
      <c r="C691" t="s">
        <v>1209</v>
      </c>
      <c r="D691" t="s">
        <v>2019</v>
      </c>
      <c r="E691" s="138">
        <v>16.747374769405418</v>
      </c>
    </row>
    <row r="692" spans="1:5" x14ac:dyDescent="0.25">
      <c r="A692" t="s">
        <v>192</v>
      </c>
      <c r="B692" t="s">
        <v>350</v>
      </c>
      <c r="C692" t="s">
        <v>1210</v>
      </c>
      <c r="D692" t="s">
        <v>2019</v>
      </c>
      <c r="E692" s="138">
        <v>25.898520084566599</v>
      </c>
    </row>
    <row r="693" spans="1:5" x14ac:dyDescent="0.25">
      <c r="A693" t="s">
        <v>192</v>
      </c>
      <c r="B693" t="s">
        <v>350</v>
      </c>
      <c r="C693" t="s">
        <v>1211</v>
      </c>
      <c r="D693" t="s">
        <v>2019</v>
      </c>
      <c r="E693" s="138">
        <v>22.886934739607391</v>
      </c>
    </row>
    <row r="694" spans="1:5" x14ac:dyDescent="0.25">
      <c r="A694" t="s">
        <v>192</v>
      </c>
      <c r="B694" t="s">
        <v>350</v>
      </c>
      <c r="C694" t="s">
        <v>1212</v>
      </c>
      <c r="D694" t="s">
        <v>2019</v>
      </c>
      <c r="E694" s="138">
        <v>26.42169728783902</v>
      </c>
    </row>
    <row r="695" spans="1:5" x14ac:dyDescent="0.25">
      <c r="A695" t="s">
        <v>192</v>
      </c>
      <c r="B695" t="s">
        <v>350</v>
      </c>
      <c r="C695" t="s">
        <v>1213</v>
      </c>
      <c r="D695" t="s">
        <v>2019</v>
      </c>
      <c r="E695" s="138">
        <v>12.87469635635656</v>
      </c>
    </row>
    <row r="696" spans="1:5" x14ac:dyDescent="0.25">
      <c r="A696" t="s">
        <v>192</v>
      </c>
      <c r="B696" t="s">
        <v>350</v>
      </c>
      <c r="C696" t="s">
        <v>1214</v>
      </c>
      <c r="D696" t="s">
        <v>2019</v>
      </c>
      <c r="E696" s="138">
        <v>16.96281558840116</v>
      </c>
    </row>
    <row r="697" spans="1:5" x14ac:dyDescent="0.25">
      <c r="A697" t="s">
        <v>192</v>
      </c>
      <c r="B697" t="s">
        <v>350</v>
      </c>
      <c r="C697" t="s">
        <v>1215</v>
      </c>
      <c r="D697" t="s">
        <v>2019</v>
      </c>
      <c r="E697" s="138">
        <v>13.4020618556701</v>
      </c>
    </row>
    <row r="698" spans="1:5" x14ac:dyDescent="0.25">
      <c r="A698" t="s">
        <v>192</v>
      </c>
      <c r="B698" t="s">
        <v>350</v>
      </c>
      <c r="C698" t="s">
        <v>1216</v>
      </c>
      <c r="D698" t="s">
        <v>2019</v>
      </c>
      <c r="E698" s="138">
        <v>16.544610823706751</v>
      </c>
    </row>
    <row r="699" spans="1:5" x14ac:dyDescent="0.25">
      <c r="A699" t="s">
        <v>192</v>
      </c>
      <c r="B699" t="s">
        <v>350</v>
      </c>
      <c r="C699" t="s">
        <v>1217</v>
      </c>
      <c r="D699" t="s">
        <v>2019</v>
      </c>
      <c r="E699" s="138">
        <v>22.866174920969438</v>
      </c>
    </row>
    <row r="700" spans="1:5" x14ac:dyDescent="0.25">
      <c r="A700" t="s">
        <v>192</v>
      </c>
      <c r="B700" t="s">
        <v>350</v>
      </c>
      <c r="C700" t="s">
        <v>1218</v>
      </c>
      <c r="D700" t="s">
        <v>2019</v>
      </c>
      <c r="E700" s="138">
        <v>10.61946902654867</v>
      </c>
    </row>
    <row r="701" spans="1:5" x14ac:dyDescent="0.25">
      <c r="A701" t="s">
        <v>192</v>
      </c>
      <c r="B701" t="s">
        <v>350</v>
      </c>
      <c r="C701" t="s">
        <v>1219</v>
      </c>
      <c r="D701" t="s">
        <v>2019</v>
      </c>
      <c r="E701" s="138">
        <v>15.29794149512459</v>
      </c>
    </row>
    <row r="702" spans="1:5" x14ac:dyDescent="0.25">
      <c r="A702" t="s">
        <v>192</v>
      </c>
      <c r="B702" t="s">
        <v>350</v>
      </c>
      <c r="C702" t="s">
        <v>1220</v>
      </c>
      <c r="D702" t="s">
        <v>2019</v>
      </c>
      <c r="E702" s="138">
        <v>22.533108713109939</v>
      </c>
    </row>
    <row r="703" spans="1:5" x14ac:dyDescent="0.25">
      <c r="A703" t="s">
        <v>192</v>
      </c>
      <c r="B703" t="s">
        <v>350</v>
      </c>
      <c r="C703" t="s">
        <v>1221</v>
      </c>
      <c r="D703" t="s">
        <v>2019</v>
      </c>
      <c r="E703" s="138">
        <v>32.197309417040358</v>
      </c>
    </row>
    <row r="704" spans="1:5" x14ac:dyDescent="0.25">
      <c r="A704" t="s">
        <v>192</v>
      </c>
      <c r="B704" t="s">
        <v>350</v>
      </c>
      <c r="C704" t="s">
        <v>1222</v>
      </c>
      <c r="D704" t="s">
        <v>2019</v>
      </c>
      <c r="E704" s="138">
        <v>29.966974817931671</v>
      </c>
    </row>
    <row r="705" spans="1:5" x14ac:dyDescent="0.25">
      <c r="A705" t="s">
        <v>192</v>
      </c>
      <c r="B705" t="s">
        <v>351</v>
      </c>
      <c r="C705" t="s">
        <v>1223</v>
      </c>
      <c r="D705" t="s">
        <v>2020</v>
      </c>
      <c r="E705" s="138">
        <v>2.5312321798694208</v>
      </c>
    </row>
    <row r="706" spans="1:5" x14ac:dyDescent="0.25">
      <c r="A706" t="s">
        <v>192</v>
      </c>
      <c r="B706" t="s">
        <v>352</v>
      </c>
      <c r="C706" t="s">
        <v>1224</v>
      </c>
      <c r="D706" t="s">
        <v>2020</v>
      </c>
      <c r="E706" s="138">
        <v>2.9887428770915552</v>
      </c>
    </row>
    <row r="707" spans="1:5" x14ac:dyDescent="0.25">
      <c r="A707" t="s">
        <v>192</v>
      </c>
      <c r="B707" t="s">
        <v>352</v>
      </c>
      <c r="C707" t="s">
        <v>1225</v>
      </c>
      <c r="D707" t="s">
        <v>2020</v>
      </c>
      <c r="E707" s="138">
        <v>2.4204403908075438</v>
      </c>
    </row>
    <row r="708" spans="1:5" x14ac:dyDescent="0.25">
      <c r="A708" t="s">
        <v>192</v>
      </c>
      <c r="B708" t="s">
        <v>352</v>
      </c>
      <c r="C708" t="s">
        <v>1226</v>
      </c>
      <c r="D708" t="s">
        <v>2020</v>
      </c>
      <c r="E708" s="138">
        <v>2.1118389267154032</v>
      </c>
    </row>
    <row r="709" spans="1:5" x14ac:dyDescent="0.25">
      <c r="A709" t="s">
        <v>192</v>
      </c>
      <c r="B709" t="s">
        <v>352</v>
      </c>
      <c r="C709" t="s">
        <v>1227</v>
      </c>
      <c r="D709" t="s">
        <v>2020</v>
      </c>
      <c r="E709" s="138">
        <v>2.5134698864206722</v>
      </c>
    </row>
    <row r="710" spans="1:5" x14ac:dyDescent="0.25">
      <c r="A710" t="s">
        <v>192</v>
      </c>
      <c r="B710" t="s">
        <v>353</v>
      </c>
      <c r="C710" t="s">
        <v>1228</v>
      </c>
      <c r="D710" t="s">
        <v>2020</v>
      </c>
      <c r="E710" s="138">
        <v>2.6611404881718981</v>
      </c>
    </row>
    <row r="711" spans="1:5" x14ac:dyDescent="0.25">
      <c r="A711" t="s">
        <v>192</v>
      </c>
      <c r="B711" t="s">
        <v>353</v>
      </c>
      <c r="C711" t="s">
        <v>1229</v>
      </c>
      <c r="D711" t="s">
        <v>2020</v>
      </c>
      <c r="E711" s="138">
        <v>2.4872459655218568</v>
      </c>
    </row>
    <row r="712" spans="1:5" x14ac:dyDescent="0.25">
      <c r="A712" t="s">
        <v>192</v>
      </c>
      <c r="B712" t="s">
        <v>353</v>
      </c>
      <c r="C712" t="s">
        <v>1230</v>
      </c>
      <c r="D712" t="s">
        <v>2020</v>
      </c>
      <c r="E712" s="138">
        <v>2.607799673426793</v>
      </c>
    </row>
    <row r="713" spans="1:5" x14ac:dyDescent="0.25">
      <c r="A713" t="s">
        <v>192</v>
      </c>
      <c r="B713" t="s">
        <v>353</v>
      </c>
      <c r="C713" t="s">
        <v>1231</v>
      </c>
      <c r="D713" t="s">
        <v>2020</v>
      </c>
      <c r="E713" s="138">
        <v>2.1625433963197001</v>
      </c>
    </row>
    <row r="714" spans="1:5" x14ac:dyDescent="0.25">
      <c r="A714" t="s">
        <v>192</v>
      </c>
      <c r="B714" t="s">
        <v>354</v>
      </c>
      <c r="C714" t="s">
        <v>1232</v>
      </c>
      <c r="D714" t="s">
        <v>2020</v>
      </c>
      <c r="E714" s="138">
        <v>2.446390640655105</v>
      </c>
    </row>
    <row r="715" spans="1:5" x14ac:dyDescent="0.25">
      <c r="A715" t="s">
        <v>192</v>
      </c>
      <c r="B715" t="s">
        <v>354</v>
      </c>
      <c r="C715" t="s">
        <v>1233</v>
      </c>
      <c r="D715" t="s">
        <v>2020</v>
      </c>
      <c r="E715" s="138">
        <v>2.6194907785788861</v>
      </c>
    </row>
    <row r="716" spans="1:5" x14ac:dyDescent="0.25">
      <c r="A716" t="s">
        <v>192</v>
      </c>
      <c r="B716" t="s">
        <v>355</v>
      </c>
      <c r="C716" t="s">
        <v>1234</v>
      </c>
      <c r="D716" t="s">
        <v>2020</v>
      </c>
      <c r="E716" s="138">
        <v>2.7717448758184049</v>
      </c>
    </row>
    <row r="717" spans="1:5" x14ac:dyDescent="0.25">
      <c r="A717" t="s">
        <v>192</v>
      </c>
      <c r="B717" t="s">
        <v>355</v>
      </c>
      <c r="C717" t="s">
        <v>1235</v>
      </c>
      <c r="D717" t="s">
        <v>2020</v>
      </c>
      <c r="E717" s="138">
        <v>2.3548841046065361</v>
      </c>
    </row>
    <row r="718" spans="1:5" x14ac:dyDescent="0.25">
      <c r="A718" t="s">
        <v>192</v>
      </c>
      <c r="B718" t="s">
        <v>356</v>
      </c>
      <c r="C718" t="s">
        <v>1236</v>
      </c>
      <c r="D718" t="s">
        <v>2020</v>
      </c>
      <c r="E718" s="138">
        <v>2.6309039440790052</v>
      </c>
    </row>
    <row r="719" spans="1:5" x14ac:dyDescent="0.25">
      <c r="A719" t="s">
        <v>192</v>
      </c>
      <c r="B719" t="s">
        <v>356</v>
      </c>
      <c r="C719" t="s">
        <v>1237</v>
      </c>
      <c r="D719" t="s">
        <v>2020</v>
      </c>
      <c r="E719" s="138">
        <v>2.470719828490815</v>
      </c>
    </row>
    <row r="720" spans="1:5" x14ac:dyDescent="0.25">
      <c r="A720" t="s">
        <v>192</v>
      </c>
      <c r="B720" t="s">
        <v>357</v>
      </c>
      <c r="C720" t="s">
        <v>1238</v>
      </c>
      <c r="D720" t="s">
        <v>2020</v>
      </c>
      <c r="E720" s="138">
        <v>3.1677646691112962</v>
      </c>
    </row>
    <row r="721" spans="1:5" x14ac:dyDescent="0.25">
      <c r="A721" t="s">
        <v>192</v>
      </c>
      <c r="B721" t="s">
        <v>357</v>
      </c>
      <c r="C721" t="s">
        <v>1239</v>
      </c>
      <c r="D721" t="s">
        <v>2020</v>
      </c>
      <c r="E721" s="138">
        <v>2.612076846225047</v>
      </c>
    </row>
    <row r="722" spans="1:5" x14ac:dyDescent="0.25">
      <c r="A722" t="s">
        <v>192</v>
      </c>
      <c r="B722" t="s">
        <v>357</v>
      </c>
      <c r="C722" t="s">
        <v>1240</v>
      </c>
      <c r="D722" t="s">
        <v>2020</v>
      </c>
      <c r="E722" s="138">
        <v>2.515441306702912</v>
      </c>
    </row>
    <row r="723" spans="1:5" x14ac:dyDescent="0.25">
      <c r="A723" t="s">
        <v>192</v>
      </c>
      <c r="B723" t="s">
        <v>357</v>
      </c>
      <c r="C723" t="s">
        <v>1241</v>
      </c>
      <c r="D723" t="s">
        <v>2020</v>
      </c>
      <c r="E723" s="138">
        <v>3.2754154543165792</v>
      </c>
    </row>
    <row r="724" spans="1:5" x14ac:dyDescent="0.25">
      <c r="A724" t="s">
        <v>192</v>
      </c>
      <c r="B724" t="s">
        <v>358</v>
      </c>
      <c r="C724" t="s">
        <v>1242</v>
      </c>
      <c r="D724" t="s">
        <v>2020</v>
      </c>
      <c r="E724" s="138">
        <v>0.37120944980249448</v>
      </c>
    </row>
    <row r="725" spans="1:5" x14ac:dyDescent="0.25">
      <c r="A725" t="s">
        <v>192</v>
      </c>
      <c r="B725" t="s">
        <v>358</v>
      </c>
      <c r="C725" t="s">
        <v>1243</v>
      </c>
      <c r="D725" t="s">
        <v>2020</v>
      </c>
      <c r="E725" s="138">
        <v>2.3809523809523809</v>
      </c>
    </row>
    <row r="726" spans="1:5" x14ac:dyDescent="0.25">
      <c r="A726" t="s">
        <v>192</v>
      </c>
      <c r="B726" t="s">
        <v>358</v>
      </c>
      <c r="C726" t="s">
        <v>1244</v>
      </c>
      <c r="D726" t="s">
        <v>2020</v>
      </c>
      <c r="E726" s="138">
        <v>1.2787723785166241</v>
      </c>
    </row>
    <row r="727" spans="1:5" x14ac:dyDescent="0.25">
      <c r="A727" t="s">
        <v>192</v>
      </c>
      <c r="B727" t="s">
        <v>358</v>
      </c>
      <c r="C727" t="s">
        <v>1245</v>
      </c>
      <c r="D727" t="s">
        <v>2020</v>
      </c>
      <c r="E727" s="138">
        <v>1.8978604605201641</v>
      </c>
    </row>
    <row r="728" spans="1:5" x14ac:dyDescent="0.25">
      <c r="A728" t="s">
        <v>192</v>
      </c>
      <c r="B728" t="s">
        <v>358</v>
      </c>
      <c r="C728" t="s">
        <v>1246</v>
      </c>
      <c r="D728" t="s">
        <v>2020</v>
      </c>
      <c r="E728" s="138">
        <v>2.414147864339435</v>
      </c>
    </row>
    <row r="729" spans="1:5" x14ac:dyDescent="0.25">
      <c r="A729" t="s">
        <v>192</v>
      </c>
      <c r="B729" t="s">
        <v>358</v>
      </c>
      <c r="C729" t="s">
        <v>1247</v>
      </c>
      <c r="D729" t="s">
        <v>2020</v>
      </c>
      <c r="E729" s="138">
        <v>4.5454545454545459</v>
      </c>
    </row>
    <row r="730" spans="1:5" x14ac:dyDescent="0.25">
      <c r="A730" t="s">
        <v>192</v>
      </c>
      <c r="B730" t="s">
        <v>358</v>
      </c>
      <c r="C730" t="s">
        <v>1248</v>
      </c>
      <c r="D730" t="s">
        <v>2020</v>
      </c>
      <c r="E730" s="138">
        <v>5.5589366528918926</v>
      </c>
    </row>
    <row r="731" spans="1:5" x14ac:dyDescent="0.25">
      <c r="A731" t="s">
        <v>192</v>
      </c>
      <c r="B731" t="s">
        <v>358</v>
      </c>
      <c r="C731" t="s">
        <v>1249</v>
      </c>
      <c r="D731" t="s">
        <v>2020</v>
      </c>
      <c r="E731" s="138">
        <v>2.537182852143482</v>
      </c>
    </row>
    <row r="732" spans="1:5" x14ac:dyDescent="0.25">
      <c r="A732" t="s">
        <v>192</v>
      </c>
      <c r="B732" t="s">
        <v>358</v>
      </c>
      <c r="C732" t="s">
        <v>1250</v>
      </c>
      <c r="D732" t="s">
        <v>2020</v>
      </c>
      <c r="E732" s="138">
        <v>1.9080293959598511</v>
      </c>
    </row>
    <row r="733" spans="1:5" x14ac:dyDescent="0.25">
      <c r="A733" t="s">
        <v>192</v>
      </c>
      <c r="B733" t="s">
        <v>358</v>
      </c>
      <c r="C733" t="s">
        <v>1251</v>
      </c>
      <c r="D733" t="s">
        <v>2020</v>
      </c>
      <c r="E733" s="138">
        <v>3.646367229005063</v>
      </c>
    </row>
    <row r="734" spans="1:5" x14ac:dyDescent="0.25">
      <c r="A734" t="s">
        <v>192</v>
      </c>
      <c r="B734" t="s">
        <v>358</v>
      </c>
      <c r="C734" t="s">
        <v>1252</v>
      </c>
      <c r="D734" t="s">
        <v>2020</v>
      </c>
      <c r="E734" s="138">
        <v>2.2336769759450168</v>
      </c>
    </row>
    <row r="735" spans="1:5" x14ac:dyDescent="0.25">
      <c r="A735" t="s">
        <v>192</v>
      </c>
      <c r="B735" t="s">
        <v>358</v>
      </c>
      <c r="C735" t="s">
        <v>1253</v>
      </c>
      <c r="D735" t="s">
        <v>2020</v>
      </c>
      <c r="E735" s="138">
        <v>2.7434858077939799</v>
      </c>
    </row>
    <row r="736" spans="1:5" x14ac:dyDescent="0.25">
      <c r="A736" t="s">
        <v>192</v>
      </c>
      <c r="B736" t="s">
        <v>358</v>
      </c>
      <c r="C736" t="s">
        <v>1254</v>
      </c>
      <c r="D736" t="s">
        <v>2020</v>
      </c>
      <c r="E736" s="138">
        <v>4.10958904109589</v>
      </c>
    </row>
    <row r="737" spans="1:5" x14ac:dyDescent="0.25">
      <c r="A737" t="s">
        <v>192</v>
      </c>
      <c r="B737" t="s">
        <v>358</v>
      </c>
      <c r="C737" t="s">
        <v>1255</v>
      </c>
      <c r="D737" t="s">
        <v>2020</v>
      </c>
      <c r="E737" s="138">
        <v>0.53097345132743357</v>
      </c>
    </row>
    <row r="738" spans="1:5" x14ac:dyDescent="0.25">
      <c r="A738" t="s">
        <v>192</v>
      </c>
      <c r="B738" t="s">
        <v>358</v>
      </c>
      <c r="C738" t="s">
        <v>1256</v>
      </c>
      <c r="D738" t="s">
        <v>2020</v>
      </c>
      <c r="E738" s="138">
        <v>2.058504875406284</v>
      </c>
    </row>
    <row r="739" spans="1:5" x14ac:dyDescent="0.25">
      <c r="A739" t="s">
        <v>192</v>
      </c>
      <c r="B739" t="s">
        <v>358</v>
      </c>
      <c r="C739" t="s">
        <v>1257</v>
      </c>
      <c r="D739" t="s">
        <v>2020</v>
      </c>
      <c r="E739" s="138">
        <v>3.5583121954318071</v>
      </c>
    </row>
    <row r="740" spans="1:5" x14ac:dyDescent="0.25">
      <c r="A740" t="s">
        <v>192</v>
      </c>
      <c r="B740" t="s">
        <v>358</v>
      </c>
      <c r="C740" t="s">
        <v>1258</v>
      </c>
      <c r="D740" t="s">
        <v>2020</v>
      </c>
      <c r="E740" s="138">
        <v>1.6143497757847529</v>
      </c>
    </row>
    <row r="741" spans="1:5" x14ac:dyDescent="0.25">
      <c r="A741" t="s">
        <v>192</v>
      </c>
      <c r="B741" t="s">
        <v>358</v>
      </c>
      <c r="C741" t="s">
        <v>1259</v>
      </c>
      <c r="D741" t="s">
        <v>2020</v>
      </c>
      <c r="E741" s="138">
        <v>3.6675065590890119</v>
      </c>
    </row>
    <row r="742" spans="1:5" x14ac:dyDescent="0.25">
      <c r="A742" t="s">
        <v>193</v>
      </c>
      <c r="B742" t="s">
        <v>359</v>
      </c>
      <c r="C742" t="s">
        <v>1260</v>
      </c>
      <c r="D742" t="s">
        <v>2021</v>
      </c>
      <c r="E742" s="138">
        <v>24.85241345664171</v>
      </c>
    </row>
    <row r="743" spans="1:5" x14ac:dyDescent="0.25">
      <c r="A743" t="s">
        <v>193</v>
      </c>
      <c r="B743" t="s">
        <v>360</v>
      </c>
      <c r="C743" t="s">
        <v>1261</v>
      </c>
      <c r="D743" t="s">
        <v>2021</v>
      </c>
      <c r="E743" s="138">
        <v>26.531250155198379</v>
      </c>
    </row>
    <row r="744" spans="1:5" x14ac:dyDescent="0.25">
      <c r="A744" t="s">
        <v>193</v>
      </c>
      <c r="B744" t="s">
        <v>360</v>
      </c>
      <c r="C744" t="s">
        <v>1262</v>
      </c>
      <c r="D744" t="s">
        <v>2021</v>
      </c>
      <c r="E744" s="138">
        <v>24.332842817809428</v>
      </c>
    </row>
    <row r="745" spans="1:5" x14ac:dyDescent="0.25">
      <c r="A745" t="s">
        <v>193</v>
      </c>
      <c r="B745" t="s">
        <v>360</v>
      </c>
      <c r="C745" t="s">
        <v>1263</v>
      </c>
      <c r="D745" t="s">
        <v>2021</v>
      </c>
      <c r="E745" s="138">
        <v>23.684068198602709</v>
      </c>
    </row>
    <row r="746" spans="1:5" x14ac:dyDescent="0.25">
      <c r="A746" t="s">
        <v>193</v>
      </c>
      <c r="B746" t="s">
        <v>360</v>
      </c>
      <c r="C746" t="s">
        <v>1264</v>
      </c>
      <c r="D746" t="s">
        <v>2021</v>
      </c>
      <c r="E746" s="138">
        <v>25.326064997148968</v>
      </c>
    </row>
    <row r="747" spans="1:5" x14ac:dyDescent="0.25">
      <c r="A747" t="s">
        <v>193</v>
      </c>
      <c r="B747" t="s">
        <v>361</v>
      </c>
      <c r="C747" t="s">
        <v>1265</v>
      </c>
      <c r="D747" t="s">
        <v>2021</v>
      </c>
      <c r="E747" s="138">
        <v>22.252627797240901</v>
      </c>
    </row>
    <row r="748" spans="1:5" x14ac:dyDescent="0.25">
      <c r="A748" t="s">
        <v>193</v>
      </c>
      <c r="B748" t="s">
        <v>361</v>
      </c>
      <c r="C748" t="s">
        <v>1266</v>
      </c>
      <c r="D748" t="s">
        <v>2021</v>
      </c>
      <c r="E748" s="138">
        <v>25.363804759729501</v>
      </c>
    </row>
    <row r="749" spans="1:5" x14ac:dyDescent="0.25">
      <c r="A749" t="s">
        <v>193</v>
      </c>
      <c r="B749" t="s">
        <v>361</v>
      </c>
      <c r="C749" t="s">
        <v>1267</v>
      </c>
      <c r="D749" t="s">
        <v>2021</v>
      </c>
      <c r="E749" s="138">
        <v>25.033086147962109</v>
      </c>
    </row>
    <row r="750" spans="1:5" x14ac:dyDescent="0.25">
      <c r="A750" t="s">
        <v>193</v>
      </c>
      <c r="B750" t="s">
        <v>361</v>
      </c>
      <c r="C750" t="s">
        <v>1268</v>
      </c>
      <c r="D750" t="s">
        <v>2021</v>
      </c>
      <c r="E750" s="138">
        <v>27.858585099207229</v>
      </c>
    </row>
    <row r="751" spans="1:5" x14ac:dyDescent="0.25">
      <c r="A751" t="s">
        <v>193</v>
      </c>
      <c r="B751" t="s">
        <v>362</v>
      </c>
      <c r="C751" t="s">
        <v>1269</v>
      </c>
      <c r="D751" t="s">
        <v>2021</v>
      </c>
      <c r="E751" s="138">
        <v>25.0946021111133</v>
      </c>
    </row>
    <row r="752" spans="1:5" x14ac:dyDescent="0.25">
      <c r="A752" t="s">
        <v>193</v>
      </c>
      <c r="B752" t="s">
        <v>362</v>
      </c>
      <c r="C752" t="s">
        <v>1270</v>
      </c>
      <c r="D752" t="s">
        <v>2021</v>
      </c>
      <c r="E752" s="138">
        <v>24.601589474899551</v>
      </c>
    </row>
    <row r="753" spans="1:5" x14ac:dyDescent="0.25">
      <c r="A753" t="s">
        <v>193</v>
      </c>
      <c r="B753" t="s">
        <v>363</v>
      </c>
      <c r="C753" t="s">
        <v>1271</v>
      </c>
      <c r="D753" t="s">
        <v>2021</v>
      </c>
      <c r="E753" s="138">
        <v>24.78548573814053</v>
      </c>
    </row>
    <row r="754" spans="1:5" x14ac:dyDescent="0.25">
      <c r="A754" t="s">
        <v>193</v>
      </c>
      <c r="B754" t="s">
        <v>363</v>
      </c>
      <c r="C754" t="s">
        <v>1272</v>
      </c>
      <c r="D754" t="s">
        <v>2021</v>
      </c>
      <c r="E754" s="138">
        <v>24.91438543195903</v>
      </c>
    </row>
    <row r="755" spans="1:5" x14ac:dyDescent="0.25">
      <c r="A755" t="s">
        <v>193</v>
      </c>
      <c r="B755" t="s">
        <v>364</v>
      </c>
      <c r="C755" t="s">
        <v>1273</v>
      </c>
      <c r="D755" t="s">
        <v>2021</v>
      </c>
      <c r="E755" s="138">
        <v>24.25337403647249</v>
      </c>
    </row>
    <row r="756" spans="1:5" x14ac:dyDescent="0.25">
      <c r="A756" t="s">
        <v>193</v>
      </c>
      <c r="B756" t="s">
        <v>364</v>
      </c>
      <c r="C756" t="s">
        <v>1274</v>
      </c>
      <c r="D756" t="s">
        <v>2021</v>
      </c>
      <c r="E756" s="138">
        <v>25.100148235867771</v>
      </c>
    </row>
    <row r="757" spans="1:5" x14ac:dyDescent="0.25">
      <c r="A757" t="s">
        <v>193</v>
      </c>
      <c r="B757" t="s">
        <v>365</v>
      </c>
      <c r="C757" t="s">
        <v>1275</v>
      </c>
      <c r="D757" t="s">
        <v>2021</v>
      </c>
      <c r="E757" s="138">
        <v>18.391612102939519</v>
      </c>
    </row>
    <row r="758" spans="1:5" x14ac:dyDescent="0.25">
      <c r="A758" t="s">
        <v>193</v>
      </c>
      <c r="B758" t="s">
        <v>365</v>
      </c>
      <c r="C758" t="s">
        <v>1276</v>
      </c>
      <c r="D758" t="s">
        <v>2021</v>
      </c>
      <c r="E758" s="138">
        <v>24.606068510025509</v>
      </c>
    </row>
    <row r="759" spans="1:5" x14ac:dyDescent="0.25">
      <c r="A759" t="s">
        <v>193</v>
      </c>
      <c r="B759" t="s">
        <v>365</v>
      </c>
      <c r="C759" t="s">
        <v>1277</v>
      </c>
      <c r="D759" t="s">
        <v>2021</v>
      </c>
      <c r="E759" s="138">
        <v>24.141307850813089</v>
      </c>
    </row>
    <row r="760" spans="1:5" x14ac:dyDescent="0.25">
      <c r="A760" t="s">
        <v>193</v>
      </c>
      <c r="B760" t="s">
        <v>365</v>
      </c>
      <c r="C760" t="s">
        <v>1278</v>
      </c>
      <c r="D760" t="s">
        <v>2021</v>
      </c>
      <c r="E760" s="138">
        <v>30.548157190703829</v>
      </c>
    </row>
    <row r="761" spans="1:5" x14ac:dyDescent="0.25">
      <c r="A761" t="s">
        <v>193</v>
      </c>
      <c r="B761" t="s">
        <v>366</v>
      </c>
      <c r="C761" t="s">
        <v>1279</v>
      </c>
      <c r="D761" t="s">
        <v>2021</v>
      </c>
      <c r="E761" s="138">
        <v>33.976940608615223</v>
      </c>
    </row>
    <row r="762" spans="1:5" x14ac:dyDescent="0.25">
      <c r="A762" t="s">
        <v>193</v>
      </c>
      <c r="B762" t="s">
        <v>366</v>
      </c>
      <c r="C762" t="s">
        <v>1280</v>
      </c>
      <c r="D762" t="s">
        <v>2021</v>
      </c>
      <c r="E762" s="138">
        <v>16.530426884650321</v>
      </c>
    </row>
    <row r="763" spans="1:5" x14ac:dyDescent="0.25">
      <c r="A763" t="s">
        <v>193</v>
      </c>
      <c r="B763" t="s">
        <v>366</v>
      </c>
      <c r="C763" t="s">
        <v>1281</v>
      </c>
      <c r="D763" t="s">
        <v>2021</v>
      </c>
      <c r="E763" s="138">
        <v>16.69565217391305</v>
      </c>
    </row>
    <row r="764" spans="1:5" x14ac:dyDescent="0.25">
      <c r="A764" t="s">
        <v>193</v>
      </c>
      <c r="B764" t="s">
        <v>366</v>
      </c>
      <c r="C764" t="s">
        <v>1282</v>
      </c>
      <c r="D764" t="s">
        <v>2021</v>
      </c>
      <c r="E764" s="138">
        <v>37.268841294368968</v>
      </c>
    </row>
    <row r="765" spans="1:5" x14ac:dyDescent="0.25">
      <c r="A765" t="s">
        <v>193</v>
      </c>
      <c r="B765" t="s">
        <v>366</v>
      </c>
      <c r="C765" t="s">
        <v>1283</v>
      </c>
      <c r="D765" t="s">
        <v>2021</v>
      </c>
      <c r="E765" s="138">
        <v>32.236656525372112</v>
      </c>
    </row>
    <row r="766" spans="1:5" x14ac:dyDescent="0.25">
      <c r="A766" t="s">
        <v>193</v>
      </c>
      <c r="B766" t="s">
        <v>366</v>
      </c>
      <c r="C766" t="s">
        <v>1284</v>
      </c>
      <c r="D766" t="s">
        <v>2021</v>
      </c>
      <c r="E766" s="138">
        <v>19.87577639751553</v>
      </c>
    </row>
    <row r="767" spans="1:5" x14ac:dyDescent="0.25">
      <c r="A767" t="s">
        <v>193</v>
      </c>
      <c r="B767" t="s">
        <v>366</v>
      </c>
      <c r="C767" t="s">
        <v>1285</v>
      </c>
      <c r="D767" t="s">
        <v>2021</v>
      </c>
      <c r="E767" s="138">
        <v>42.317839809829508</v>
      </c>
    </row>
    <row r="768" spans="1:5" x14ac:dyDescent="0.25">
      <c r="A768" t="s">
        <v>193</v>
      </c>
      <c r="B768" t="s">
        <v>366</v>
      </c>
      <c r="C768" t="s">
        <v>1286</v>
      </c>
      <c r="D768" t="s">
        <v>2021</v>
      </c>
      <c r="E768" s="138">
        <v>17.36474694589878</v>
      </c>
    </row>
    <row r="769" spans="1:5" x14ac:dyDescent="0.25">
      <c r="A769" t="s">
        <v>193</v>
      </c>
      <c r="B769" t="s">
        <v>366</v>
      </c>
      <c r="C769" t="s">
        <v>1287</v>
      </c>
      <c r="D769" t="s">
        <v>2021</v>
      </c>
      <c r="E769" s="138">
        <v>25.427826791126751</v>
      </c>
    </row>
    <row r="770" spans="1:5" x14ac:dyDescent="0.25">
      <c r="A770" t="s">
        <v>193</v>
      </c>
      <c r="B770" t="s">
        <v>366</v>
      </c>
      <c r="C770" t="s">
        <v>1288</v>
      </c>
      <c r="D770" t="s">
        <v>2021</v>
      </c>
      <c r="E770" s="138">
        <v>35.518394620796187</v>
      </c>
    </row>
    <row r="771" spans="1:5" x14ac:dyDescent="0.25">
      <c r="A771" t="s">
        <v>193</v>
      </c>
      <c r="B771" t="s">
        <v>366</v>
      </c>
      <c r="C771" t="s">
        <v>1289</v>
      </c>
      <c r="D771" t="s">
        <v>2021</v>
      </c>
      <c r="E771" s="138">
        <v>30.70398642917727</v>
      </c>
    </row>
    <row r="772" spans="1:5" x14ac:dyDescent="0.25">
      <c r="A772" t="s">
        <v>193</v>
      </c>
      <c r="B772" t="s">
        <v>366</v>
      </c>
      <c r="C772" t="s">
        <v>1290</v>
      </c>
      <c r="D772" t="s">
        <v>2021</v>
      </c>
      <c r="E772" s="138">
        <v>14.46337033267158</v>
      </c>
    </row>
    <row r="773" spans="1:5" x14ac:dyDescent="0.25">
      <c r="A773" t="s">
        <v>193</v>
      </c>
      <c r="B773" t="s">
        <v>366</v>
      </c>
      <c r="C773" t="s">
        <v>1291</v>
      </c>
      <c r="D773" t="s">
        <v>2021</v>
      </c>
      <c r="E773" s="138">
        <v>18.31425598335068</v>
      </c>
    </row>
    <row r="774" spans="1:5" x14ac:dyDescent="0.25">
      <c r="A774" t="s">
        <v>193</v>
      </c>
      <c r="B774" t="s">
        <v>366</v>
      </c>
      <c r="C774" t="s">
        <v>1292</v>
      </c>
      <c r="D774" t="s">
        <v>2021</v>
      </c>
      <c r="E774" s="138">
        <v>19.982158786797498</v>
      </c>
    </row>
    <row r="775" spans="1:5" x14ac:dyDescent="0.25">
      <c r="A775" t="s">
        <v>193</v>
      </c>
      <c r="B775" t="s">
        <v>366</v>
      </c>
      <c r="C775" t="s">
        <v>1293</v>
      </c>
      <c r="D775" t="s">
        <v>2021</v>
      </c>
      <c r="E775" s="138">
        <v>31.291172595520418</v>
      </c>
    </row>
    <row r="776" spans="1:5" x14ac:dyDescent="0.25">
      <c r="A776" t="s">
        <v>193</v>
      </c>
      <c r="B776" t="s">
        <v>366</v>
      </c>
      <c r="C776" t="s">
        <v>1294</v>
      </c>
      <c r="D776" t="s">
        <v>2021</v>
      </c>
      <c r="E776" s="138">
        <v>20.487968759996619</v>
      </c>
    </row>
    <row r="777" spans="1:5" x14ac:dyDescent="0.25">
      <c r="A777" t="s">
        <v>193</v>
      </c>
      <c r="B777" t="s">
        <v>366</v>
      </c>
      <c r="C777" t="s">
        <v>1295</v>
      </c>
      <c r="D777" t="s">
        <v>2021</v>
      </c>
      <c r="E777" s="138">
        <v>13.297872340425529</v>
      </c>
    </row>
    <row r="778" spans="1:5" x14ac:dyDescent="0.25">
      <c r="A778" t="s">
        <v>193</v>
      </c>
      <c r="B778" t="s">
        <v>366</v>
      </c>
      <c r="C778" t="s">
        <v>1296</v>
      </c>
      <c r="D778" t="s">
        <v>2021</v>
      </c>
      <c r="E778" s="138">
        <v>19.144452568310388</v>
      </c>
    </row>
    <row r="779" spans="1:5" x14ac:dyDescent="0.25">
      <c r="A779" t="s">
        <v>193</v>
      </c>
      <c r="B779" t="s">
        <v>367</v>
      </c>
      <c r="C779" t="s">
        <v>1297</v>
      </c>
      <c r="D779" t="s">
        <v>2022</v>
      </c>
      <c r="E779" s="138">
        <v>53.183017722195423</v>
      </c>
    </row>
    <row r="780" spans="1:5" x14ac:dyDescent="0.25">
      <c r="A780" t="s">
        <v>193</v>
      </c>
      <c r="B780" t="s">
        <v>368</v>
      </c>
      <c r="C780" t="s">
        <v>1298</v>
      </c>
      <c r="D780" t="s">
        <v>2022</v>
      </c>
      <c r="E780" s="138">
        <v>52.812085058092798</v>
      </c>
    </row>
    <row r="781" spans="1:5" x14ac:dyDescent="0.25">
      <c r="A781" t="s">
        <v>193</v>
      </c>
      <c r="B781" t="s">
        <v>368</v>
      </c>
      <c r="C781" t="s">
        <v>1299</v>
      </c>
      <c r="D781" t="s">
        <v>2022</v>
      </c>
      <c r="E781" s="138">
        <v>52.849861378297227</v>
      </c>
    </row>
    <row r="782" spans="1:5" x14ac:dyDescent="0.25">
      <c r="A782" t="s">
        <v>193</v>
      </c>
      <c r="B782" t="s">
        <v>368</v>
      </c>
      <c r="C782" t="s">
        <v>1300</v>
      </c>
      <c r="D782" t="s">
        <v>2022</v>
      </c>
      <c r="E782" s="138">
        <v>53.494747488397543</v>
      </c>
    </row>
    <row r="783" spans="1:5" x14ac:dyDescent="0.25">
      <c r="A783" t="s">
        <v>193</v>
      </c>
      <c r="B783" t="s">
        <v>368</v>
      </c>
      <c r="C783" t="s">
        <v>1301</v>
      </c>
      <c r="D783" t="s">
        <v>2022</v>
      </c>
      <c r="E783" s="138">
        <v>54.793020077173381</v>
      </c>
    </row>
    <row r="784" spans="1:5" x14ac:dyDescent="0.25">
      <c r="A784" t="s">
        <v>193</v>
      </c>
      <c r="B784" t="s">
        <v>369</v>
      </c>
      <c r="C784" t="s">
        <v>1302</v>
      </c>
      <c r="D784" t="s">
        <v>2022</v>
      </c>
      <c r="E784" s="138">
        <v>52.892575145040631</v>
      </c>
    </row>
    <row r="785" spans="1:5" x14ac:dyDescent="0.25">
      <c r="A785" t="s">
        <v>193</v>
      </c>
      <c r="B785" t="s">
        <v>369</v>
      </c>
      <c r="C785" t="s">
        <v>1303</v>
      </c>
      <c r="D785" t="s">
        <v>2022</v>
      </c>
      <c r="E785" s="138">
        <v>53.599481050659612</v>
      </c>
    </row>
    <row r="786" spans="1:5" x14ac:dyDescent="0.25">
      <c r="A786" t="s">
        <v>193</v>
      </c>
      <c r="B786" t="s">
        <v>369</v>
      </c>
      <c r="C786" t="s">
        <v>1304</v>
      </c>
      <c r="D786" t="s">
        <v>2022</v>
      </c>
      <c r="E786" s="138">
        <v>53.435095153014288</v>
      </c>
    </row>
    <row r="787" spans="1:5" x14ac:dyDescent="0.25">
      <c r="A787" t="s">
        <v>193</v>
      </c>
      <c r="B787" t="s">
        <v>369</v>
      </c>
      <c r="C787" t="s">
        <v>1305</v>
      </c>
      <c r="D787" t="s">
        <v>2022</v>
      </c>
      <c r="E787" s="138">
        <v>51.17288355562011</v>
      </c>
    </row>
    <row r="788" spans="1:5" x14ac:dyDescent="0.25">
      <c r="A788" t="s">
        <v>193</v>
      </c>
      <c r="B788" t="s">
        <v>370</v>
      </c>
      <c r="C788" t="s">
        <v>1306</v>
      </c>
      <c r="D788" t="s">
        <v>2022</v>
      </c>
      <c r="E788" s="138">
        <v>53.960365449791027</v>
      </c>
    </row>
    <row r="789" spans="1:5" x14ac:dyDescent="0.25">
      <c r="A789" t="s">
        <v>193</v>
      </c>
      <c r="B789" t="s">
        <v>370</v>
      </c>
      <c r="C789" t="s">
        <v>1307</v>
      </c>
      <c r="D789" t="s">
        <v>2022</v>
      </c>
      <c r="E789" s="138">
        <v>52.377953369948372</v>
      </c>
    </row>
    <row r="790" spans="1:5" x14ac:dyDescent="0.25">
      <c r="A790" t="s">
        <v>193</v>
      </c>
      <c r="B790" t="s">
        <v>371</v>
      </c>
      <c r="C790" t="s">
        <v>1308</v>
      </c>
      <c r="D790" t="s">
        <v>2022</v>
      </c>
      <c r="E790" s="138">
        <v>52.356929691354402</v>
      </c>
    </row>
    <row r="791" spans="1:5" x14ac:dyDescent="0.25">
      <c r="A791" t="s">
        <v>193</v>
      </c>
      <c r="B791" t="s">
        <v>371</v>
      </c>
      <c r="C791" t="s">
        <v>1309</v>
      </c>
      <c r="D791" t="s">
        <v>2022</v>
      </c>
      <c r="E791" s="138">
        <v>53.844948156677432</v>
      </c>
    </row>
    <row r="792" spans="1:5" x14ac:dyDescent="0.25">
      <c r="A792" t="s">
        <v>193</v>
      </c>
      <c r="B792" t="s">
        <v>372</v>
      </c>
      <c r="C792" t="s">
        <v>1310</v>
      </c>
      <c r="D792" t="s">
        <v>2022</v>
      </c>
      <c r="E792" s="138">
        <v>54.141471937091389</v>
      </c>
    </row>
    <row r="793" spans="1:5" x14ac:dyDescent="0.25">
      <c r="A793" t="s">
        <v>193</v>
      </c>
      <c r="B793" t="s">
        <v>372</v>
      </c>
      <c r="C793" t="s">
        <v>1311</v>
      </c>
      <c r="D793" t="s">
        <v>2022</v>
      </c>
      <c r="E793" s="138">
        <v>52.906733761785382</v>
      </c>
    </row>
    <row r="794" spans="1:5" x14ac:dyDescent="0.25">
      <c r="A794" t="s">
        <v>193</v>
      </c>
      <c r="B794" t="s">
        <v>373</v>
      </c>
      <c r="C794" t="s">
        <v>1312</v>
      </c>
      <c r="D794" t="s">
        <v>2022</v>
      </c>
      <c r="E794" s="138">
        <v>59.560784854933658</v>
      </c>
    </row>
    <row r="795" spans="1:5" x14ac:dyDescent="0.25">
      <c r="A795" t="s">
        <v>193</v>
      </c>
      <c r="B795" t="s">
        <v>373</v>
      </c>
      <c r="C795" t="s">
        <v>1313</v>
      </c>
      <c r="D795" t="s">
        <v>2022</v>
      </c>
      <c r="E795" s="138">
        <v>53.386530162365148</v>
      </c>
    </row>
    <row r="796" spans="1:5" x14ac:dyDescent="0.25">
      <c r="A796" t="s">
        <v>193</v>
      </c>
      <c r="B796" t="s">
        <v>373</v>
      </c>
      <c r="C796" t="s">
        <v>1314</v>
      </c>
      <c r="D796" t="s">
        <v>2022</v>
      </c>
      <c r="E796" s="138">
        <v>54.019785865038187</v>
      </c>
    </row>
    <row r="797" spans="1:5" x14ac:dyDescent="0.25">
      <c r="A797" t="s">
        <v>193</v>
      </c>
      <c r="B797" t="s">
        <v>373</v>
      </c>
      <c r="C797" t="s">
        <v>1315</v>
      </c>
      <c r="D797" t="s">
        <v>2022</v>
      </c>
      <c r="E797" s="138">
        <v>50.167012467563943</v>
      </c>
    </row>
    <row r="798" spans="1:5" x14ac:dyDescent="0.25">
      <c r="A798" t="s">
        <v>193</v>
      </c>
      <c r="B798" t="s">
        <v>374</v>
      </c>
      <c r="C798" t="s">
        <v>1316</v>
      </c>
      <c r="D798" t="s">
        <v>2022</v>
      </c>
      <c r="E798" s="138">
        <v>53.624754653735351</v>
      </c>
    </row>
    <row r="799" spans="1:5" x14ac:dyDescent="0.25">
      <c r="A799" t="s">
        <v>193</v>
      </c>
      <c r="B799" t="s">
        <v>374</v>
      </c>
      <c r="C799" t="s">
        <v>1317</v>
      </c>
      <c r="D799" t="s">
        <v>2022</v>
      </c>
      <c r="E799" s="138">
        <v>55.585831062670302</v>
      </c>
    </row>
    <row r="800" spans="1:5" x14ac:dyDescent="0.25">
      <c r="A800" t="s">
        <v>193</v>
      </c>
      <c r="B800" t="s">
        <v>374</v>
      </c>
      <c r="C800" t="s">
        <v>1318</v>
      </c>
      <c r="D800" t="s">
        <v>2022</v>
      </c>
      <c r="E800" s="138">
        <v>61.217391304347821</v>
      </c>
    </row>
    <row r="801" spans="1:5" x14ac:dyDescent="0.25">
      <c r="A801" t="s">
        <v>193</v>
      </c>
      <c r="B801" t="s">
        <v>374</v>
      </c>
      <c r="C801" t="s">
        <v>1319</v>
      </c>
      <c r="D801" t="s">
        <v>2022</v>
      </c>
      <c r="E801" s="138">
        <v>50.629901275239163</v>
      </c>
    </row>
    <row r="802" spans="1:5" x14ac:dyDescent="0.25">
      <c r="A802" t="s">
        <v>193</v>
      </c>
      <c r="B802" t="s">
        <v>374</v>
      </c>
      <c r="C802" t="s">
        <v>1320</v>
      </c>
      <c r="D802" t="s">
        <v>2022</v>
      </c>
      <c r="E802" s="138">
        <v>52.542385700723123</v>
      </c>
    </row>
    <row r="803" spans="1:5" x14ac:dyDescent="0.25">
      <c r="A803" t="s">
        <v>193</v>
      </c>
      <c r="B803" t="s">
        <v>374</v>
      </c>
      <c r="C803" t="s">
        <v>1321</v>
      </c>
      <c r="D803" t="s">
        <v>2022</v>
      </c>
      <c r="E803" s="138">
        <v>53.209109730848859</v>
      </c>
    </row>
    <row r="804" spans="1:5" x14ac:dyDescent="0.25">
      <c r="A804" t="s">
        <v>193</v>
      </c>
      <c r="B804" t="s">
        <v>374</v>
      </c>
      <c r="C804" t="s">
        <v>1322</v>
      </c>
      <c r="D804" t="s">
        <v>2022</v>
      </c>
      <c r="E804" s="138">
        <v>45.375292091811552</v>
      </c>
    </row>
    <row r="805" spans="1:5" x14ac:dyDescent="0.25">
      <c r="A805" t="s">
        <v>193</v>
      </c>
      <c r="B805" t="s">
        <v>374</v>
      </c>
      <c r="C805" t="s">
        <v>1323</v>
      </c>
      <c r="D805" t="s">
        <v>2022</v>
      </c>
      <c r="E805" s="138">
        <v>48.167539267015712</v>
      </c>
    </row>
    <row r="806" spans="1:5" x14ac:dyDescent="0.25">
      <c r="A806" t="s">
        <v>193</v>
      </c>
      <c r="B806" t="s">
        <v>374</v>
      </c>
      <c r="C806" t="s">
        <v>1324</v>
      </c>
      <c r="D806" t="s">
        <v>2022</v>
      </c>
      <c r="E806" s="138">
        <v>57.35183071685929</v>
      </c>
    </row>
    <row r="807" spans="1:5" x14ac:dyDescent="0.25">
      <c r="A807" t="s">
        <v>193</v>
      </c>
      <c r="B807" t="s">
        <v>374</v>
      </c>
      <c r="C807" t="s">
        <v>1325</v>
      </c>
      <c r="D807" t="s">
        <v>2022</v>
      </c>
      <c r="E807" s="138">
        <v>43.303957271852198</v>
      </c>
    </row>
    <row r="808" spans="1:5" x14ac:dyDescent="0.25">
      <c r="A808" t="s">
        <v>193</v>
      </c>
      <c r="B808" t="s">
        <v>374</v>
      </c>
      <c r="C808" t="s">
        <v>1326</v>
      </c>
      <c r="D808" t="s">
        <v>2022</v>
      </c>
      <c r="E808" s="138">
        <v>53.859202714164553</v>
      </c>
    </row>
    <row r="809" spans="1:5" x14ac:dyDescent="0.25">
      <c r="A809" t="s">
        <v>193</v>
      </c>
      <c r="B809" t="s">
        <v>374</v>
      </c>
      <c r="C809" t="s">
        <v>1327</v>
      </c>
      <c r="D809" t="s">
        <v>2022</v>
      </c>
      <c r="E809" s="138">
        <v>59.333123652612187</v>
      </c>
    </row>
    <row r="810" spans="1:5" x14ac:dyDescent="0.25">
      <c r="A810" t="s">
        <v>193</v>
      </c>
      <c r="B810" t="s">
        <v>374</v>
      </c>
      <c r="C810" t="s">
        <v>1328</v>
      </c>
      <c r="D810" t="s">
        <v>2022</v>
      </c>
      <c r="E810" s="138">
        <v>48.387096774193552</v>
      </c>
    </row>
    <row r="811" spans="1:5" x14ac:dyDescent="0.25">
      <c r="A811" t="s">
        <v>193</v>
      </c>
      <c r="B811" t="s">
        <v>374</v>
      </c>
      <c r="C811" t="s">
        <v>1329</v>
      </c>
      <c r="D811" t="s">
        <v>2022</v>
      </c>
      <c r="E811" s="138">
        <v>65.566458519179307</v>
      </c>
    </row>
    <row r="812" spans="1:5" x14ac:dyDescent="0.25">
      <c r="A812" t="s">
        <v>193</v>
      </c>
      <c r="B812" t="s">
        <v>374</v>
      </c>
      <c r="C812" t="s">
        <v>1330</v>
      </c>
      <c r="D812" t="s">
        <v>2022</v>
      </c>
      <c r="E812" s="138">
        <v>48.397013614404919</v>
      </c>
    </row>
    <row r="813" spans="1:5" x14ac:dyDescent="0.25">
      <c r="A813" t="s">
        <v>193</v>
      </c>
      <c r="B813" t="s">
        <v>374</v>
      </c>
      <c r="C813" t="s">
        <v>1331</v>
      </c>
      <c r="D813" t="s">
        <v>2022</v>
      </c>
      <c r="E813" s="138">
        <v>61.55650060717258</v>
      </c>
    </row>
    <row r="814" spans="1:5" x14ac:dyDescent="0.25">
      <c r="A814" t="s">
        <v>193</v>
      </c>
      <c r="B814" t="s">
        <v>374</v>
      </c>
      <c r="C814" t="s">
        <v>1332</v>
      </c>
      <c r="D814" t="s">
        <v>2022</v>
      </c>
      <c r="E814" s="138">
        <v>59.48581560283688</v>
      </c>
    </row>
    <row r="815" spans="1:5" x14ac:dyDescent="0.25">
      <c r="A815" t="s">
        <v>193</v>
      </c>
      <c r="B815" t="s">
        <v>374</v>
      </c>
      <c r="C815" t="s">
        <v>1333</v>
      </c>
      <c r="D815" t="s">
        <v>2022</v>
      </c>
      <c r="E815" s="138">
        <v>40.582857761211578</v>
      </c>
    </row>
    <row r="816" spans="1:5" x14ac:dyDescent="0.25">
      <c r="A816" t="s">
        <v>193</v>
      </c>
      <c r="B816" t="s">
        <v>375</v>
      </c>
      <c r="C816" t="s">
        <v>1334</v>
      </c>
      <c r="D816" t="s">
        <v>2023</v>
      </c>
      <c r="E816" s="138">
        <v>19.414724472112582</v>
      </c>
    </row>
    <row r="817" spans="1:5" x14ac:dyDescent="0.25">
      <c r="A817" t="s">
        <v>193</v>
      </c>
      <c r="B817" t="s">
        <v>376</v>
      </c>
      <c r="C817" t="s">
        <v>1335</v>
      </c>
      <c r="D817" t="s">
        <v>2023</v>
      </c>
      <c r="E817" s="138">
        <v>18.37867123631159</v>
      </c>
    </row>
    <row r="818" spans="1:5" x14ac:dyDescent="0.25">
      <c r="A818" t="s">
        <v>193</v>
      </c>
      <c r="B818" t="s">
        <v>376</v>
      </c>
      <c r="C818" t="s">
        <v>1336</v>
      </c>
      <c r="D818" t="s">
        <v>2023</v>
      </c>
      <c r="E818" s="138">
        <v>20.067821619863668</v>
      </c>
    </row>
    <row r="819" spans="1:5" x14ac:dyDescent="0.25">
      <c r="A819" t="s">
        <v>193</v>
      </c>
      <c r="B819" t="s">
        <v>376</v>
      </c>
      <c r="C819" t="s">
        <v>1337</v>
      </c>
      <c r="D819" t="s">
        <v>2023</v>
      </c>
      <c r="E819" s="138">
        <v>20.174919354071431</v>
      </c>
    </row>
    <row r="820" spans="1:5" x14ac:dyDescent="0.25">
      <c r="A820" t="s">
        <v>193</v>
      </c>
      <c r="B820" t="s">
        <v>376</v>
      </c>
      <c r="C820" t="s">
        <v>1338</v>
      </c>
      <c r="D820" t="s">
        <v>2023</v>
      </c>
      <c r="E820" s="138">
        <v>17.696558544413609</v>
      </c>
    </row>
    <row r="821" spans="1:5" x14ac:dyDescent="0.25">
      <c r="A821" t="s">
        <v>193</v>
      </c>
      <c r="B821" t="s">
        <v>377</v>
      </c>
      <c r="C821" t="s">
        <v>1339</v>
      </c>
      <c r="D821" t="s">
        <v>2023</v>
      </c>
      <c r="E821" s="138">
        <v>21.71848448057461</v>
      </c>
    </row>
    <row r="822" spans="1:5" x14ac:dyDescent="0.25">
      <c r="A822" t="s">
        <v>193</v>
      </c>
      <c r="B822" t="s">
        <v>377</v>
      </c>
      <c r="C822" t="s">
        <v>1340</v>
      </c>
      <c r="D822" t="s">
        <v>2023</v>
      </c>
      <c r="E822" s="138">
        <v>18.625127075416671</v>
      </c>
    </row>
    <row r="823" spans="1:5" x14ac:dyDescent="0.25">
      <c r="A823" t="s">
        <v>193</v>
      </c>
      <c r="B823" t="s">
        <v>377</v>
      </c>
      <c r="C823" t="s">
        <v>1341</v>
      </c>
      <c r="D823" t="s">
        <v>2023</v>
      </c>
      <c r="E823" s="138">
        <v>19.163264785612949</v>
      </c>
    </row>
    <row r="824" spans="1:5" x14ac:dyDescent="0.25">
      <c r="A824" t="s">
        <v>193</v>
      </c>
      <c r="B824" t="s">
        <v>377</v>
      </c>
      <c r="C824" t="s">
        <v>1342</v>
      </c>
      <c r="D824" t="s">
        <v>2023</v>
      </c>
      <c r="E824" s="138">
        <v>18.498862013696201</v>
      </c>
    </row>
    <row r="825" spans="1:5" x14ac:dyDescent="0.25">
      <c r="A825" t="s">
        <v>193</v>
      </c>
      <c r="B825" t="s">
        <v>378</v>
      </c>
      <c r="C825" t="s">
        <v>1343</v>
      </c>
      <c r="D825" t="s">
        <v>2023</v>
      </c>
      <c r="E825" s="138">
        <v>18.45447058799817</v>
      </c>
    </row>
    <row r="826" spans="1:5" x14ac:dyDescent="0.25">
      <c r="A826" t="s">
        <v>193</v>
      </c>
      <c r="B826" t="s">
        <v>378</v>
      </c>
      <c r="C826" t="s">
        <v>1344</v>
      </c>
      <c r="D826" t="s">
        <v>2023</v>
      </c>
      <c r="E826" s="138">
        <v>20.409216568459751</v>
      </c>
    </row>
    <row r="827" spans="1:5" x14ac:dyDescent="0.25">
      <c r="A827" t="s">
        <v>193</v>
      </c>
      <c r="B827" t="s">
        <v>379</v>
      </c>
      <c r="C827" t="s">
        <v>1345</v>
      </c>
      <c r="D827" t="s">
        <v>2023</v>
      </c>
      <c r="E827" s="138">
        <v>19.919524318088872</v>
      </c>
    </row>
    <row r="828" spans="1:5" x14ac:dyDescent="0.25">
      <c r="A828" t="s">
        <v>193</v>
      </c>
      <c r="B828" t="s">
        <v>379</v>
      </c>
      <c r="C828" t="s">
        <v>1346</v>
      </c>
      <c r="D828" t="s">
        <v>2023</v>
      </c>
      <c r="E828" s="138">
        <v>18.986530685148409</v>
      </c>
    </row>
    <row r="829" spans="1:5" x14ac:dyDescent="0.25">
      <c r="A829" t="s">
        <v>193</v>
      </c>
      <c r="B829" t="s">
        <v>380</v>
      </c>
      <c r="C829" t="s">
        <v>1347</v>
      </c>
      <c r="D829" t="s">
        <v>2023</v>
      </c>
      <c r="E829" s="138">
        <v>19.17967775590731</v>
      </c>
    </row>
    <row r="830" spans="1:5" x14ac:dyDescent="0.25">
      <c r="A830" t="s">
        <v>193</v>
      </c>
      <c r="B830" t="s">
        <v>380</v>
      </c>
      <c r="C830" t="s">
        <v>1348</v>
      </c>
      <c r="D830" t="s">
        <v>2023</v>
      </c>
      <c r="E830" s="138">
        <v>19.454650544717559</v>
      </c>
    </row>
    <row r="831" spans="1:5" x14ac:dyDescent="0.25">
      <c r="A831" t="s">
        <v>193</v>
      </c>
      <c r="B831" t="s">
        <v>381</v>
      </c>
      <c r="C831" t="s">
        <v>1349</v>
      </c>
      <c r="D831" t="s">
        <v>2023</v>
      </c>
      <c r="E831" s="138">
        <v>18.995080687412649</v>
      </c>
    </row>
    <row r="832" spans="1:5" x14ac:dyDescent="0.25">
      <c r="A832" t="s">
        <v>193</v>
      </c>
      <c r="B832" t="s">
        <v>381</v>
      </c>
      <c r="C832" t="s">
        <v>1350</v>
      </c>
      <c r="D832" t="s">
        <v>2023</v>
      </c>
      <c r="E832" s="138">
        <v>19.731425123921088</v>
      </c>
    </row>
    <row r="833" spans="1:5" x14ac:dyDescent="0.25">
      <c r="A833" t="s">
        <v>193</v>
      </c>
      <c r="B833" t="s">
        <v>381</v>
      </c>
      <c r="C833" t="s">
        <v>1351</v>
      </c>
      <c r="D833" t="s">
        <v>2023</v>
      </c>
      <c r="E833" s="138">
        <v>19.011165433279949</v>
      </c>
    </row>
    <row r="834" spans="1:5" x14ac:dyDescent="0.25">
      <c r="A834" t="s">
        <v>193</v>
      </c>
      <c r="B834" t="s">
        <v>381</v>
      </c>
      <c r="C834" t="s">
        <v>1352</v>
      </c>
      <c r="D834" t="s">
        <v>2023</v>
      </c>
      <c r="E834" s="138">
        <v>16.202671665240629</v>
      </c>
    </row>
    <row r="835" spans="1:5" x14ac:dyDescent="0.25">
      <c r="A835" t="s">
        <v>193</v>
      </c>
      <c r="B835" t="s">
        <v>382</v>
      </c>
      <c r="C835" t="s">
        <v>1353</v>
      </c>
      <c r="D835" t="s">
        <v>2023</v>
      </c>
      <c r="E835" s="138">
        <v>11.78289448552616</v>
      </c>
    </row>
    <row r="836" spans="1:5" x14ac:dyDescent="0.25">
      <c r="A836" t="s">
        <v>193</v>
      </c>
      <c r="B836" t="s">
        <v>382</v>
      </c>
      <c r="C836" t="s">
        <v>1354</v>
      </c>
      <c r="D836" t="s">
        <v>2023</v>
      </c>
      <c r="E836" s="138">
        <v>26.06721162579473</v>
      </c>
    </row>
    <row r="837" spans="1:5" x14ac:dyDescent="0.25">
      <c r="A837" t="s">
        <v>193</v>
      </c>
      <c r="B837" t="s">
        <v>382</v>
      </c>
      <c r="C837" t="s">
        <v>1355</v>
      </c>
      <c r="D837" t="s">
        <v>2023</v>
      </c>
      <c r="E837" s="138">
        <v>20.34782608695652</v>
      </c>
    </row>
    <row r="838" spans="1:5" x14ac:dyDescent="0.25">
      <c r="A838" t="s">
        <v>193</v>
      </c>
      <c r="B838" t="s">
        <v>382</v>
      </c>
      <c r="C838" t="s">
        <v>1356</v>
      </c>
      <c r="D838" t="s">
        <v>2023</v>
      </c>
      <c r="E838" s="138">
        <v>11.72761993591145</v>
      </c>
    </row>
    <row r="839" spans="1:5" x14ac:dyDescent="0.25">
      <c r="A839" t="s">
        <v>193</v>
      </c>
      <c r="B839" t="s">
        <v>382</v>
      </c>
      <c r="C839" t="s">
        <v>1357</v>
      </c>
      <c r="D839" t="s">
        <v>2023</v>
      </c>
      <c r="E839" s="138">
        <v>13.00222656966457</v>
      </c>
    </row>
    <row r="840" spans="1:5" x14ac:dyDescent="0.25">
      <c r="A840" t="s">
        <v>193</v>
      </c>
      <c r="B840" t="s">
        <v>382</v>
      </c>
      <c r="C840" t="s">
        <v>1358</v>
      </c>
      <c r="D840" t="s">
        <v>2023</v>
      </c>
      <c r="E840" s="138">
        <v>24.32712215320911</v>
      </c>
    </row>
    <row r="841" spans="1:5" x14ac:dyDescent="0.25">
      <c r="A841" t="s">
        <v>193</v>
      </c>
      <c r="B841" t="s">
        <v>382</v>
      </c>
      <c r="C841" t="s">
        <v>1359</v>
      </c>
      <c r="D841" t="s">
        <v>2023</v>
      </c>
      <c r="E841" s="138">
        <v>9.1638196786740505</v>
      </c>
    </row>
    <row r="842" spans="1:5" x14ac:dyDescent="0.25">
      <c r="A842" t="s">
        <v>193</v>
      </c>
      <c r="B842" t="s">
        <v>382</v>
      </c>
      <c r="C842" t="s">
        <v>1360</v>
      </c>
      <c r="D842" t="s">
        <v>2023</v>
      </c>
      <c r="E842" s="138">
        <v>32.984293193717278</v>
      </c>
    </row>
    <row r="843" spans="1:5" x14ac:dyDescent="0.25">
      <c r="A843" t="s">
        <v>193</v>
      </c>
      <c r="B843" t="s">
        <v>382</v>
      </c>
      <c r="C843" t="s">
        <v>1361</v>
      </c>
      <c r="D843" t="s">
        <v>2023</v>
      </c>
      <c r="E843" s="138">
        <v>14.99031063485265</v>
      </c>
    </row>
    <row r="844" spans="1:5" x14ac:dyDescent="0.25">
      <c r="A844" t="s">
        <v>193</v>
      </c>
      <c r="B844" t="s">
        <v>382</v>
      </c>
      <c r="C844" t="s">
        <v>1362</v>
      </c>
      <c r="D844" t="s">
        <v>2023</v>
      </c>
      <c r="E844" s="138">
        <v>18.239686378049289</v>
      </c>
    </row>
    <row r="845" spans="1:5" x14ac:dyDescent="0.25">
      <c r="A845" t="s">
        <v>193</v>
      </c>
      <c r="B845" t="s">
        <v>382</v>
      </c>
      <c r="C845" t="s">
        <v>1363</v>
      </c>
      <c r="D845" t="s">
        <v>2023</v>
      </c>
      <c r="E845" s="138">
        <v>13.99491094147583</v>
      </c>
    </row>
    <row r="846" spans="1:5" x14ac:dyDescent="0.25">
      <c r="A846" t="s">
        <v>193</v>
      </c>
      <c r="B846" t="s">
        <v>382</v>
      </c>
      <c r="C846" t="s">
        <v>1364</v>
      </c>
      <c r="D846" t="s">
        <v>2023</v>
      </c>
      <c r="E846" s="138">
        <v>21.450291136751051</v>
      </c>
    </row>
    <row r="847" spans="1:5" x14ac:dyDescent="0.25">
      <c r="A847" t="s">
        <v>193</v>
      </c>
      <c r="B847" t="s">
        <v>382</v>
      </c>
      <c r="C847" t="s">
        <v>1365</v>
      </c>
      <c r="D847" t="s">
        <v>2023</v>
      </c>
      <c r="E847" s="138">
        <v>26.534859521331949</v>
      </c>
    </row>
    <row r="848" spans="1:5" x14ac:dyDescent="0.25">
      <c r="A848" t="s">
        <v>193</v>
      </c>
      <c r="B848" t="s">
        <v>382</v>
      </c>
      <c r="C848" t="s">
        <v>1366</v>
      </c>
      <c r="D848" t="s">
        <v>2023</v>
      </c>
      <c r="E848" s="138">
        <v>13.559322033898299</v>
      </c>
    </row>
    <row r="849" spans="1:5" x14ac:dyDescent="0.25">
      <c r="A849" t="s">
        <v>193</v>
      </c>
      <c r="B849" t="s">
        <v>382</v>
      </c>
      <c r="C849" t="s">
        <v>1367</v>
      </c>
      <c r="D849" t="s">
        <v>2023</v>
      </c>
      <c r="E849" s="138">
        <v>15.98594642072903</v>
      </c>
    </row>
    <row r="850" spans="1:5" x14ac:dyDescent="0.25">
      <c r="A850" t="s">
        <v>193</v>
      </c>
      <c r="B850" t="s">
        <v>382</v>
      </c>
      <c r="C850" t="s">
        <v>1368</v>
      </c>
      <c r="D850" t="s">
        <v>2023</v>
      </c>
      <c r="E850" s="138">
        <v>16.302246762462499</v>
      </c>
    </row>
    <row r="851" spans="1:5" x14ac:dyDescent="0.25">
      <c r="A851" t="s">
        <v>193</v>
      </c>
      <c r="B851" t="s">
        <v>382</v>
      </c>
      <c r="C851" t="s">
        <v>1369</v>
      </c>
      <c r="D851" t="s">
        <v>2023</v>
      </c>
      <c r="E851" s="138">
        <v>25.797872340425531</v>
      </c>
    </row>
    <row r="852" spans="1:5" x14ac:dyDescent="0.25">
      <c r="A852" t="s">
        <v>193</v>
      </c>
      <c r="B852" t="s">
        <v>382</v>
      </c>
      <c r="C852" t="s">
        <v>1370</v>
      </c>
      <c r="D852" t="s">
        <v>2023</v>
      </c>
      <c r="E852" s="138">
        <v>33.496748613889139</v>
      </c>
    </row>
    <row r="853" spans="1:5" x14ac:dyDescent="0.25">
      <c r="A853" t="s">
        <v>193</v>
      </c>
      <c r="B853" t="s">
        <v>383</v>
      </c>
      <c r="C853" t="s">
        <v>1371</v>
      </c>
      <c r="D853" t="s">
        <v>2024</v>
      </c>
      <c r="E853" s="138">
        <v>2.549844349050296</v>
      </c>
    </row>
    <row r="854" spans="1:5" x14ac:dyDescent="0.25">
      <c r="A854" t="s">
        <v>193</v>
      </c>
      <c r="B854" t="s">
        <v>384</v>
      </c>
      <c r="C854" t="s">
        <v>1372</v>
      </c>
      <c r="D854" t="s">
        <v>2024</v>
      </c>
      <c r="E854" s="138">
        <v>2.2779935503972282</v>
      </c>
    </row>
    <row r="855" spans="1:5" x14ac:dyDescent="0.25">
      <c r="A855" t="s">
        <v>193</v>
      </c>
      <c r="B855" t="s">
        <v>384</v>
      </c>
      <c r="C855" t="s">
        <v>1373</v>
      </c>
      <c r="D855" t="s">
        <v>2024</v>
      </c>
      <c r="E855" s="138">
        <v>2.7494741840296788</v>
      </c>
    </row>
    <row r="856" spans="1:5" x14ac:dyDescent="0.25">
      <c r="A856" t="s">
        <v>193</v>
      </c>
      <c r="B856" t="s">
        <v>384</v>
      </c>
      <c r="C856" t="s">
        <v>1374</v>
      </c>
      <c r="D856" t="s">
        <v>2024</v>
      </c>
      <c r="E856" s="138">
        <v>2.646264958928326</v>
      </c>
    </row>
    <row r="857" spans="1:5" x14ac:dyDescent="0.25">
      <c r="A857" t="s">
        <v>193</v>
      </c>
      <c r="B857" t="s">
        <v>384</v>
      </c>
      <c r="C857" t="s">
        <v>1375</v>
      </c>
      <c r="D857" t="s">
        <v>2024</v>
      </c>
      <c r="E857" s="138">
        <v>2.1843563812640281</v>
      </c>
    </row>
    <row r="858" spans="1:5" x14ac:dyDescent="0.25">
      <c r="A858" t="s">
        <v>193</v>
      </c>
      <c r="B858" t="s">
        <v>385</v>
      </c>
      <c r="C858" t="s">
        <v>1376</v>
      </c>
      <c r="D858" t="s">
        <v>2024</v>
      </c>
      <c r="E858" s="138">
        <v>3.1363125771438511</v>
      </c>
    </row>
    <row r="859" spans="1:5" x14ac:dyDescent="0.25">
      <c r="A859" t="s">
        <v>193</v>
      </c>
      <c r="B859" t="s">
        <v>385</v>
      </c>
      <c r="C859" t="s">
        <v>1377</v>
      </c>
      <c r="D859" t="s">
        <v>2024</v>
      </c>
      <c r="E859" s="138">
        <v>2.4115871141942198</v>
      </c>
    </row>
    <row r="860" spans="1:5" x14ac:dyDescent="0.25">
      <c r="A860" t="s">
        <v>193</v>
      </c>
      <c r="B860" t="s">
        <v>385</v>
      </c>
      <c r="C860" t="s">
        <v>1378</v>
      </c>
      <c r="D860" t="s">
        <v>2024</v>
      </c>
      <c r="E860" s="138">
        <v>2.3685539134106448</v>
      </c>
    </row>
    <row r="861" spans="1:5" x14ac:dyDescent="0.25">
      <c r="A861" t="s">
        <v>193</v>
      </c>
      <c r="B861" t="s">
        <v>385</v>
      </c>
      <c r="C861" t="s">
        <v>1379</v>
      </c>
      <c r="D861" t="s">
        <v>2024</v>
      </c>
      <c r="E861" s="138">
        <v>2.469669331476434</v>
      </c>
    </row>
    <row r="862" spans="1:5" x14ac:dyDescent="0.25">
      <c r="A862" t="s">
        <v>193</v>
      </c>
      <c r="B862" t="s">
        <v>386</v>
      </c>
      <c r="C862" t="s">
        <v>1380</v>
      </c>
      <c r="D862" t="s">
        <v>2024</v>
      </c>
      <c r="E862" s="138">
        <v>2.490561851097485</v>
      </c>
    </row>
    <row r="863" spans="1:5" x14ac:dyDescent="0.25">
      <c r="A863" t="s">
        <v>193</v>
      </c>
      <c r="B863" t="s">
        <v>386</v>
      </c>
      <c r="C863" t="s">
        <v>1381</v>
      </c>
      <c r="D863" t="s">
        <v>2024</v>
      </c>
      <c r="E863" s="138">
        <v>2.611240586692344</v>
      </c>
    </row>
    <row r="864" spans="1:5" x14ac:dyDescent="0.25">
      <c r="A864" t="s">
        <v>193</v>
      </c>
      <c r="B864" t="s">
        <v>387</v>
      </c>
      <c r="C864" t="s">
        <v>1382</v>
      </c>
      <c r="D864" t="s">
        <v>2024</v>
      </c>
      <c r="E864" s="138">
        <v>2.9380602524161921</v>
      </c>
    </row>
    <row r="865" spans="1:5" x14ac:dyDescent="0.25">
      <c r="A865" t="s">
        <v>193</v>
      </c>
      <c r="B865" t="s">
        <v>387</v>
      </c>
      <c r="C865" t="s">
        <v>1383</v>
      </c>
      <c r="D865" t="s">
        <v>2024</v>
      </c>
      <c r="E865" s="138">
        <v>2.2541357262151469</v>
      </c>
    </row>
    <row r="866" spans="1:5" x14ac:dyDescent="0.25">
      <c r="A866" t="s">
        <v>193</v>
      </c>
      <c r="B866" t="s">
        <v>388</v>
      </c>
      <c r="C866" t="s">
        <v>1384</v>
      </c>
      <c r="D866" t="s">
        <v>2024</v>
      </c>
      <c r="E866" s="138">
        <v>2.4254762705288009</v>
      </c>
    </row>
    <row r="867" spans="1:5" x14ac:dyDescent="0.25">
      <c r="A867" t="s">
        <v>193</v>
      </c>
      <c r="B867" t="s">
        <v>388</v>
      </c>
      <c r="C867" t="s">
        <v>1385</v>
      </c>
      <c r="D867" t="s">
        <v>2024</v>
      </c>
      <c r="E867" s="138">
        <v>2.538467457629324</v>
      </c>
    </row>
    <row r="868" spans="1:5" x14ac:dyDescent="0.25">
      <c r="A868" t="s">
        <v>193</v>
      </c>
      <c r="B868" t="s">
        <v>389</v>
      </c>
      <c r="C868" t="s">
        <v>1386</v>
      </c>
      <c r="D868" t="s">
        <v>2024</v>
      </c>
      <c r="E868" s="138">
        <v>3.0525223547142</v>
      </c>
    </row>
    <row r="869" spans="1:5" x14ac:dyDescent="0.25">
      <c r="A869" t="s">
        <v>193</v>
      </c>
      <c r="B869" t="s">
        <v>389</v>
      </c>
      <c r="C869" t="s">
        <v>1387</v>
      </c>
      <c r="D869" t="s">
        <v>2024</v>
      </c>
      <c r="E869" s="138">
        <v>2.2759762036882418</v>
      </c>
    </row>
    <row r="870" spans="1:5" x14ac:dyDescent="0.25">
      <c r="A870" t="s">
        <v>193</v>
      </c>
      <c r="B870" t="s">
        <v>389</v>
      </c>
      <c r="C870" t="s">
        <v>1388</v>
      </c>
      <c r="D870" t="s">
        <v>2024</v>
      </c>
      <c r="E870" s="138">
        <v>2.8277408508687478</v>
      </c>
    </row>
    <row r="871" spans="1:5" x14ac:dyDescent="0.25">
      <c r="A871" t="s">
        <v>193</v>
      </c>
      <c r="B871" t="s">
        <v>389</v>
      </c>
      <c r="C871" t="s">
        <v>1389</v>
      </c>
      <c r="D871" t="s">
        <v>2024</v>
      </c>
      <c r="E871" s="138">
        <v>3.0821586764915989</v>
      </c>
    </row>
    <row r="872" spans="1:5" x14ac:dyDescent="0.25">
      <c r="A872" t="s">
        <v>193</v>
      </c>
      <c r="B872" t="s">
        <v>390</v>
      </c>
      <c r="C872" t="s">
        <v>1390</v>
      </c>
      <c r="D872" t="s">
        <v>2024</v>
      </c>
      <c r="E872" s="138">
        <v>0.6154102521232655</v>
      </c>
    </row>
    <row r="873" spans="1:5" x14ac:dyDescent="0.25">
      <c r="A873" t="s">
        <v>193</v>
      </c>
      <c r="B873" t="s">
        <v>390</v>
      </c>
      <c r="C873" t="s">
        <v>1391</v>
      </c>
      <c r="D873" t="s">
        <v>2024</v>
      </c>
      <c r="E873" s="138">
        <v>1.8165304268846501</v>
      </c>
    </row>
    <row r="874" spans="1:5" x14ac:dyDescent="0.25">
      <c r="A874" t="s">
        <v>193</v>
      </c>
      <c r="B874" t="s">
        <v>390</v>
      </c>
      <c r="C874" t="s">
        <v>1392</v>
      </c>
      <c r="D874" t="s">
        <v>2024</v>
      </c>
      <c r="E874" s="138">
        <v>1.7391304347826091</v>
      </c>
    </row>
    <row r="875" spans="1:5" x14ac:dyDescent="0.25">
      <c r="A875" t="s">
        <v>193</v>
      </c>
      <c r="B875" t="s">
        <v>390</v>
      </c>
      <c r="C875" t="s">
        <v>1393</v>
      </c>
      <c r="D875" t="s">
        <v>2024</v>
      </c>
      <c r="E875" s="138">
        <v>0.37363749448039141</v>
      </c>
    </row>
    <row r="876" spans="1:5" x14ac:dyDescent="0.25">
      <c r="A876" t="s">
        <v>193</v>
      </c>
      <c r="B876" t="s">
        <v>390</v>
      </c>
      <c r="C876" t="s">
        <v>1394</v>
      </c>
      <c r="D876" t="s">
        <v>2024</v>
      </c>
      <c r="E876" s="138">
        <v>2.218731204240195</v>
      </c>
    </row>
    <row r="877" spans="1:5" x14ac:dyDescent="0.25">
      <c r="A877" t="s">
        <v>193</v>
      </c>
      <c r="B877" t="s">
        <v>390</v>
      </c>
      <c r="C877" t="s">
        <v>1395</v>
      </c>
      <c r="D877" t="s">
        <v>2024</v>
      </c>
      <c r="E877" s="138">
        <v>2.5879917184265011</v>
      </c>
    </row>
    <row r="878" spans="1:5" x14ac:dyDescent="0.25">
      <c r="A878" t="s">
        <v>193</v>
      </c>
      <c r="B878" t="s">
        <v>390</v>
      </c>
      <c r="C878" t="s">
        <v>1396</v>
      </c>
      <c r="D878" t="s">
        <v>2024</v>
      </c>
      <c r="E878" s="138">
        <v>3.1430484196848858</v>
      </c>
    </row>
    <row r="879" spans="1:5" x14ac:dyDescent="0.25">
      <c r="A879" t="s">
        <v>193</v>
      </c>
      <c r="B879" t="s">
        <v>390</v>
      </c>
      <c r="C879" t="s">
        <v>1397</v>
      </c>
      <c r="D879" t="s">
        <v>2024</v>
      </c>
      <c r="E879" s="138">
        <v>1.483420593368237</v>
      </c>
    </row>
    <row r="880" spans="1:5" x14ac:dyDescent="0.25">
      <c r="A880" t="s">
        <v>193</v>
      </c>
      <c r="B880" t="s">
        <v>390</v>
      </c>
      <c r="C880" t="s">
        <v>1398</v>
      </c>
      <c r="D880" t="s">
        <v>2024</v>
      </c>
      <c r="E880" s="138">
        <v>2.230031857161304</v>
      </c>
    </row>
    <row r="881" spans="1:5" x14ac:dyDescent="0.25">
      <c r="A881" t="s">
        <v>193</v>
      </c>
      <c r="B881" t="s">
        <v>390</v>
      </c>
      <c r="C881" t="s">
        <v>1399</v>
      </c>
      <c r="D881" t="s">
        <v>2024</v>
      </c>
      <c r="E881" s="138">
        <v>2.9379617293023328</v>
      </c>
    </row>
    <row r="882" spans="1:5" x14ac:dyDescent="0.25">
      <c r="A882" t="s">
        <v>193</v>
      </c>
      <c r="B882" t="s">
        <v>390</v>
      </c>
      <c r="C882" t="s">
        <v>1400</v>
      </c>
      <c r="D882" t="s">
        <v>2024</v>
      </c>
      <c r="E882" s="138">
        <v>1.4418999151823579</v>
      </c>
    </row>
    <row r="883" spans="1:5" x14ac:dyDescent="0.25">
      <c r="A883" t="s">
        <v>193</v>
      </c>
      <c r="B883" t="s">
        <v>390</v>
      </c>
      <c r="C883" t="s">
        <v>1401</v>
      </c>
      <c r="D883" t="s">
        <v>2024</v>
      </c>
      <c r="E883" s="138">
        <v>4.7532148779651857</v>
      </c>
    </row>
    <row r="884" spans="1:5" x14ac:dyDescent="0.25">
      <c r="A884" t="s">
        <v>193</v>
      </c>
      <c r="B884" t="s">
        <v>390</v>
      </c>
      <c r="C884" t="s">
        <v>1402</v>
      </c>
      <c r="D884" t="s">
        <v>2024</v>
      </c>
      <c r="E884" s="138">
        <v>6.7637877211238289</v>
      </c>
    </row>
    <row r="885" spans="1:5" x14ac:dyDescent="0.25">
      <c r="A885" t="s">
        <v>193</v>
      </c>
      <c r="B885" t="s">
        <v>390</v>
      </c>
      <c r="C885" t="s">
        <v>1403</v>
      </c>
      <c r="D885" t="s">
        <v>2024</v>
      </c>
      <c r="E885" s="138">
        <v>0.89206066012488849</v>
      </c>
    </row>
    <row r="886" spans="1:5" x14ac:dyDescent="0.25">
      <c r="A886" t="s">
        <v>193</v>
      </c>
      <c r="B886" t="s">
        <v>390</v>
      </c>
      <c r="C886" t="s">
        <v>1404</v>
      </c>
      <c r="D886" t="s">
        <v>2024</v>
      </c>
      <c r="E886" s="138">
        <v>4.3258673693456302</v>
      </c>
    </row>
    <row r="887" spans="1:5" x14ac:dyDescent="0.25">
      <c r="A887" t="s">
        <v>193</v>
      </c>
      <c r="B887" t="s">
        <v>390</v>
      </c>
      <c r="C887" t="s">
        <v>1405</v>
      </c>
      <c r="D887" t="s">
        <v>2024</v>
      </c>
      <c r="E887" s="138">
        <v>1.6532838703682999</v>
      </c>
    </row>
    <row r="888" spans="1:5" x14ac:dyDescent="0.25">
      <c r="A888" t="s">
        <v>193</v>
      </c>
      <c r="B888" t="s">
        <v>390</v>
      </c>
      <c r="C888" t="s">
        <v>1406</v>
      </c>
      <c r="D888" t="s">
        <v>2024</v>
      </c>
      <c r="E888" s="138">
        <v>1.418439716312057</v>
      </c>
    </row>
    <row r="889" spans="1:5" x14ac:dyDescent="0.25">
      <c r="A889" t="s">
        <v>193</v>
      </c>
      <c r="B889" t="s">
        <v>390</v>
      </c>
      <c r="C889" t="s">
        <v>1407</v>
      </c>
      <c r="D889" t="s">
        <v>2024</v>
      </c>
      <c r="E889" s="138">
        <v>6.775941056588854</v>
      </c>
    </row>
    <row r="890" spans="1:5" x14ac:dyDescent="0.25">
      <c r="A890" t="s">
        <v>194</v>
      </c>
      <c r="B890" t="s">
        <v>391</v>
      </c>
      <c r="C890" t="s">
        <v>1408</v>
      </c>
      <c r="D890" t="s">
        <v>2025</v>
      </c>
      <c r="E890" s="138">
        <v>24.481275901804612</v>
      </c>
    </row>
    <row r="891" spans="1:5" x14ac:dyDescent="0.25">
      <c r="A891" t="s">
        <v>194</v>
      </c>
      <c r="B891" t="s">
        <v>392</v>
      </c>
      <c r="C891" t="s">
        <v>1409</v>
      </c>
      <c r="D891" t="s">
        <v>2025</v>
      </c>
      <c r="E891" s="138">
        <v>27.333572495502249</v>
      </c>
    </row>
    <row r="892" spans="1:5" x14ac:dyDescent="0.25">
      <c r="A892" t="s">
        <v>194</v>
      </c>
      <c r="B892" t="s">
        <v>392</v>
      </c>
      <c r="C892" t="s">
        <v>1410</v>
      </c>
      <c r="D892" t="s">
        <v>2025</v>
      </c>
      <c r="E892" s="138">
        <v>23.383069685711209</v>
      </c>
    </row>
    <row r="893" spans="1:5" x14ac:dyDescent="0.25">
      <c r="A893" t="s">
        <v>194</v>
      </c>
      <c r="B893" t="s">
        <v>392</v>
      </c>
      <c r="C893" t="s">
        <v>1411</v>
      </c>
      <c r="D893" t="s">
        <v>2025</v>
      </c>
      <c r="E893" s="138">
        <v>23.62501953500264</v>
      </c>
    </row>
    <row r="894" spans="1:5" x14ac:dyDescent="0.25">
      <c r="A894" t="s">
        <v>194</v>
      </c>
      <c r="B894" t="s">
        <v>392</v>
      </c>
      <c r="C894" t="s">
        <v>1412</v>
      </c>
      <c r="D894" t="s">
        <v>2025</v>
      </c>
      <c r="E894" s="138">
        <v>24.1645155629469</v>
      </c>
    </row>
    <row r="895" spans="1:5" x14ac:dyDescent="0.25">
      <c r="A895" t="s">
        <v>194</v>
      </c>
      <c r="B895" t="s">
        <v>393</v>
      </c>
      <c r="C895" t="s">
        <v>1413</v>
      </c>
      <c r="D895" t="s">
        <v>2025</v>
      </c>
      <c r="E895" s="138">
        <v>20.89215973222014</v>
      </c>
    </row>
    <row r="896" spans="1:5" x14ac:dyDescent="0.25">
      <c r="A896" t="s">
        <v>194</v>
      </c>
      <c r="B896" t="s">
        <v>393</v>
      </c>
      <c r="C896" t="s">
        <v>1414</v>
      </c>
      <c r="D896" t="s">
        <v>2025</v>
      </c>
      <c r="E896" s="138">
        <v>25.111577345284338</v>
      </c>
    </row>
    <row r="897" spans="1:5" x14ac:dyDescent="0.25">
      <c r="A897" t="s">
        <v>194</v>
      </c>
      <c r="B897" t="s">
        <v>393</v>
      </c>
      <c r="C897" t="s">
        <v>1415</v>
      </c>
      <c r="D897" t="s">
        <v>2025</v>
      </c>
      <c r="E897" s="138">
        <v>25.996643116253939</v>
      </c>
    </row>
    <row r="898" spans="1:5" x14ac:dyDescent="0.25">
      <c r="A898" t="s">
        <v>194</v>
      </c>
      <c r="B898" t="s">
        <v>393</v>
      </c>
      <c r="C898" t="s">
        <v>1416</v>
      </c>
      <c r="D898" t="s">
        <v>2025</v>
      </c>
      <c r="E898" s="138">
        <v>24.451459012843198</v>
      </c>
    </row>
    <row r="899" spans="1:5" x14ac:dyDescent="0.25">
      <c r="A899" t="s">
        <v>194</v>
      </c>
      <c r="B899" t="s">
        <v>394</v>
      </c>
      <c r="C899" t="s">
        <v>1417</v>
      </c>
      <c r="D899" t="s">
        <v>2025</v>
      </c>
      <c r="E899" s="138">
        <v>24.647879207700019</v>
      </c>
    </row>
    <row r="900" spans="1:5" x14ac:dyDescent="0.25">
      <c r="A900" t="s">
        <v>194</v>
      </c>
      <c r="B900" t="s">
        <v>394</v>
      </c>
      <c r="C900" t="s">
        <v>1418</v>
      </c>
      <c r="D900" t="s">
        <v>2025</v>
      </c>
      <c r="E900" s="138">
        <v>24.306199735488569</v>
      </c>
    </row>
    <row r="901" spans="1:5" x14ac:dyDescent="0.25">
      <c r="A901" t="s">
        <v>194</v>
      </c>
      <c r="B901" t="s">
        <v>395</v>
      </c>
      <c r="C901" t="s">
        <v>1419</v>
      </c>
      <c r="D901" t="s">
        <v>2025</v>
      </c>
      <c r="E901" s="138">
        <v>24.717079919236902</v>
      </c>
    </row>
    <row r="902" spans="1:5" x14ac:dyDescent="0.25">
      <c r="A902" t="s">
        <v>194</v>
      </c>
      <c r="B902" t="s">
        <v>395</v>
      </c>
      <c r="C902" t="s">
        <v>1420</v>
      </c>
      <c r="D902" t="s">
        <v>2025</v>
      </c>
      <c r="E902" s="138">
        <v>24.23550977916042</v>
      </c>
    </row>
    <row r="903" spans="1:5" x14ac:dyDescent="0.25">
      <c r="A903" t="s">
        <v>194</v>
      </c>
      <c r="B903" t="s">
        <v>396</v>
      </c>
      <c r="C903" t="s">
        <v>1421</v>
      </c>
      <c r="D903" t="s">
        <v>2025</v>
      </c>
      <c r="E903" s="138">
        <v>26.504004907078428</v>
      </c>
    </row>
    <row r="904" spans="1:5" x14ac:dyDescent="0.25">
      <c r="A904" t="s">
        <v>194</v>
      </c>
      <c r="B904" t="s">
        <v>396</v>
      </c>
      <c r="C904" t="s">
        <v>1422</v>
      </c>
      <c r="D904" t="s">
        <v>2025</v>
      </c>
      <c r="E904" s="138">
        <v>23.531982216614939</v>
      </c>
    </row>
    <row r="905" spans="1:5" x14ac:dyDescent="0.25">
      <c r="A905" t="s">
        <v>194</v>
      </c>
      <c r="B905" t="s">
        <v>397</v>
      </c>
      <c r="C905" t="s">
        <v>1423</v>
      </c>
      <c r="D905" t="s">
        <v>2025</v>
      </c>
      <c r="E905" s="138">
        <v>19.322841573949809</v>
      </c>
    </row>
    <row r="906" spans="1:5" x14ac:dyDescent="0.25">
      <c r="A906" t="s">
        <v>194</v>
      </c>
      <c r="B906" t="s">
        <v>397</v>
      </c>
      <c r="C906" t="s">
        <v>1424</v>
      </c>
      <c r="D906" t="s">
        <v>2025</v>
      </c>
      <c r="E906" s="138">
        <v>24.605909895796628</v>
      </c>
    </row>
    <row r="907" spans="1:5" x14ac:dyDescent="0.25">
      <c r="A907" t="s">
        <v>194</v>
      </c>
      <c r="B907" t="s">
        <v>397</v>
      </c>
      <c r="C907" t="s">
        <v>1425</v>
      </c>
      <c r="D907" t="s">
        <v>2025</v>
      </c>
      <c r="E907" s="138">
        <v>24.497238621980941</v>
      </c>
    </row>
    <row r="908" spans="1:5" x14ac:dyDescent="0.25">
      <c r="A908" t="s">
        <v>194</v>
      </c>
      <c r="B908" t="s">
        <v>397</v>
      </c>
      <c r="C908" t="s">
        <v>1426</v>
      </c>
      <c r="D908" t="s">
        <v>2025</v>
      </c>
      <c r="E908" s="138">
        <v>28.635022029966731</v>
      </c>
    </row>
    <row r="909" spans="1:5" x14ac:dyDescent="0.25">
      <c r="A909" t="s">
        <v>194</v>
      </c>
      <c r="B909" t="s">
        <v>398</v>
      </c>
      <c r="C909" t="s">
        <v>1427</v>
      </c>
      <c r="D909" t="s">
        <v>2025</v>
      </c>
      <c r="E909" s="138">
        <v>22.010116740355141</v>
      </c>
    </row>
    <row r="910" spans="1:5" x14ac:dyDescent="0.25">
      <c r="A910" t="s">
        <v>194</v>
      </c>
      <c r="B910" t="s">
        <v>398</v>
      </c>
      <c r="C910" t="s">
        <v>1428</v>
      </c>
      <c r="D910" t="s">
        <v>2025</v>
      </c>
      <c r="E910" s="138">
        <v>12.588652482269501</v>
      </c>
    </row>
    <row r="911" spans="1:5" x14ac:dyDescent="0.25">
      <c r="A911" t="s">
        <v>194</v>
      </c>
      <c r="B911" t="s">
        <v>398</v>
      </c>
      <c r="C911" t="s">
        <v>1429</v>
      </c>
      <c r="D911" t="s">
        <v>2025</v>
      </c>
      <c r="E911" s="138">
        <v>26.689189189189189</v>
      </c>
    </row>
    <row r="912" spans="1:5" x14ac:dyDescent="0.25">
      <c r="A912" t="s">
        <v>194</v>
      </c>
      <c r="B912" t="s">
        <v>398</v>
      </c>
      <c r="C912" t="s">
        <v>1430</v>
      </c>
      <c r="D912" t="s">
        <v>2025</v>
      </c>
      <c r="E912" s="138">
        <v>48.996806342548659</v>
      </c>
    </row>
    <row r="913" spans="1:5" x14ac:dyDescent="0.25">
      <c r="A913" t="s">
        <v>194</v>
      </c>
      <c r="B913" t="s">
        <v>398</v>
      </c>
      <c r="C913" t="s">
        <v>1431</v>
      </c>
      <c r="D913" t="s">
        <v>2025</v>
      </c>
      <c r="E913" s="138">
        <v>29.131803399128341</v>
      </c>
    </row>
    <row r="914" spans="1:5" x14ac:dyDescent="0.25">
      <c r="A914" t="s">
        <v>194</v>
      </c>
      <c r="B914" t="s">
        <v>398</v>
      </c>
      <c r="C914" t="s">
        <v>1432</v>
      </c>
      <c r="D914" t="s">
        <v>2025</v>
      </c>
      <c r="E914" s="138">
        <v>24.46043165467626</v>
      </c>
    </row>
    <row r="915" spans="1:5" x14ac:dyDescent="0.25">
      <c r="A915" t="s">
        <v>194</v>
      </c>
      <c r="B915" t="s">
        <v>398</v>
      </c>
      <c r="C915" t="s">
        <v>1433</v>
      </c>
      <c r="D915" t="s">
        <v>2025</v>
      </c>
      <c r="E915" s="138">
        <v>54.015685951709571</v>
      </c>
    </row>
    <row r="916" spans="1:5" x14ac:dyDescent="0.25">
      <c r="A916" t="s">
        <v>194</v>
      </c>
      <c r="B916" t="s">
        <v>398</v>
      </c>
      <c r="C916" t="s">
        <v>1434</v>
      </c>
      <c r="D916" t="s">
        <v>2025</v>
      </c>
      <c r="E916" s="138">
        <v>10.90909090909091</v>
      </c>
    </row>
    <row r="917" spans="1:5" x14ac:dyDescent="0.25">
      <c r="A917" t="s">
        <v>194</v>
      </c>
      <c r="B917" t="s">
        <v>398</v>
      </c>
      <c r="C917" t="s">
        <v>1435</v>
      </c>
      <c r="D917" t="s">
        <v>2025</v>
      </c>
      <c r="E917" s="138">
        <v>25.001072201606309</v>
      </c>
    </row>
    <row r="918" spans="1:5" x14ac:dyDescent="0.25">
      <c r="A918" t="s">
        <v>194</v>
      </c>
      <c r="B918" t="s">
        <v>398</v>
      </c>
      <c r="C918" t="s">
        <v>1436</v>
      </c>
      <c r="D918" t="s">
        <v>2025</v>
      </c>
      <c r="E918" s="138">
        <v>36.415187324130791</v>
      </c>
    </row>
    <row r="919" spans="1:5" x14ac:dyDescent="0.25">
      <c r="A919" t="s">
        <v>194</v>
      </c>
      <c r="B919" t="s">
        <v>398</v>
      </c>
      <c r="C919" t="s">
        <v>1437</v>
      </c>
      <c r="D919" t="s">
        <v>2025</v>
      </c>
      <c r="E919" s="138">
        <v>23.34763948497854</v>
      </c>
    </row>
    <row r="920" spans="1:5" x14ac:dyDescent="0.25">
      <c r="A920" t="s">
        <v>194</v>
      </c>
      <c r="B920" t="s">
        <v>398</v>
      </c>
      <c r="C920" t="s">
        <v>1438</v>
      </c>
      <c r="D920" t="s">
        <v>2025</v>
      </c>
      <c r="E920" s="138">
        <v>10.663821788144819</v>
      </c>
    </row>
    <row r="921" spans="1:5" x14ac:dyDescent="0.25">
      <c r="A921" t="s">
        <v>194</v>
      </c>
      <c r="B921" t="s">
        <v>398</v>
      </c>
      <c r="C921" t="s">
        <v>1439</v>
      </c>
      <c r="D921" t="s">
        <v>2025</v>
      </c>
      <c r="E921" s="138">
        <v>15.625</v>
      </c>
    </row>
    <row r="922" spans="1:5" x14ac:dyDescent="0.25">
      <c r="A922" t="s">
        <v>194</v>
      </c>
      <c r="B922" t="s">
        <v>398</v>
      </c>
      <c r="C922" t="s">
        <v>1440</v>
      </c>
      <c r="D922" t="s">
        <v>2025</v>
      </c>
      <c r="E922" s="138">
        <v>23.478260869565219</v>
      </c>
    </row>
    <row r="923" spans="1:5" x14ac:dyDescent="0.25">
      <c r="A923" t="s">
        <v>194</v>
      </c>
      <c r="B923" t="s">
        <v>398</v>
      </c>
      <c r="C923" t="s">
        <v>1441</v>
      </c>
      <c r="D923" t="s">
        <v>2025</v>
      </c>
      <c r="E923" s="138">
        <v>21.598084040931859</v>
      </c>
    </row>
    <row r="924" spans="1:5" x14ac:dyDescent="0.25">
      <c r="A924" t="s">
        <v>194</v>
      </c>
      <c r="B924" t="s">
        <v>398</v>
      </c>
      <c r="C924" t="s">
        <v>1442</v>
      </c>
      <c r="D924" t="s">
        <v>2025</v>
      </c>
      <c r="E924" s="138">
        <v>27.171467509176939</v>
      </c>
    </row>
    <row r="925" spans="1:5" x14ac:dyDescent="0.25">
      <c r="A925" t="s">
        <v>194</v>
      </c>
      <c r="B925" t="s">
        <v>398</v>
      </c>
      <c r="C925" t="s">
        <v>1443</v>
      </c>
      <c r="D925" t="s">
        <v>2025</v>
      </c>
      <c r="E925" s="138">
        <v>11.150758251561109</v>
      </c>
    </row>
    <row r="926" spans="1:5" x14ac:dyDescent="0.25">
      <c r="A926" t="s">
        <v>194</v>
      </c>
      <c r="B926" t="s">
        <v>398</v>
      </c>
      <c r="C926" t="s">
        <v>1444</v>
      </c>
      <c r="D926" t="s">
        <v>2025</v>
      </c>
      <c r="E926" s="138">
        <v>17.203435276269211</v>
      </c>
    </row>
    <row r="927" spans="1:5" x14ac:dyDescent="0.25">
      <c r="A927" t="s">
        <v>194</v>
      </c>
      <c r="B927" t="s">
        <v>399</v>
      </c>
      <c r="C927" t="s">
        <v>1445</v>
      </c>
      <c r="D927" t="s">
        <v>2026</v>
      </c>
      <c r="E927" s="138">
        <v>55.080239633943258</v>
      </c>
    </row>
    <row r="928" spans="1:5" x14ac:dyDescent="0.25">
      <c r="A928" t="s">
        <v>194</v>
      </c>
      <c r="B928" t="s">
        <v>400</v>
      </c>
      <c r="C928" t="s">
        <v>1446</v>
      </c>
      <c r="D928" t="s">
        <v>2026</v>
      </c>
      <c r="E928" s="138">
        <v>54.745256829717754</v>
      </c>
    </row>
    <row r="929" spans="1:5" x14ac:dyDescent="0.25">
      <c r="A929" t="s">
        <v>194</v>
      </c>
      <c r="B929" t="s">
        <v>400</v>
      </c>
      <c r="C929" t="s">
        <v>1447</v>
      </c>
      <c r="D929" t="s">
        <v>2026</v>
      </c>
      <c r="E929" s="138">
        <v>54.440141694466327</v>
      </c>
    </row>
    <row r="930" spans="1:5" x14ac:dyDescent="0.25">
      <c r="A930" t="s">
        <v>194</v>
      </c>
      <c r="B930" t="s">
        <v>400</v>
      </c>
      <c r="C930" t="s">
        <v>1448</v>
      </c>
      <c r="D930" t="s">
        <v>2026</v>
      </c>
      <c r="E930" s="138">
        <v>54.849407814083783</v>
      </c>
    </row>
    <row r="931" spans="1:5" x14ac:dyDescent="0.25">
      <c r="A931" t="s">
        <v>194</v>
      </c>
      <c r="B931" t="s">
        <v>400</v>
      </c>
      <c r="C931" t="s">
        <v>1449</v>
      </c>
      <c r="D931" t="s">
        <v>2026</v>
      </c>
      <c r="E931" s="138">
        <v>59.065140416249328</v>
      </c>
    </row>
    <row r="932" spans="1:5" x14ac:dyDescent="0.25">
      <c r="A932" t="s">
        <v>194</v>
      </c>
      <c r="B932" t="s">
        <v>401</v>
      </c>
      <c r="C932" t="s">
        <v>1450</v>
      </c>
      <c r="D932" t="s">
        <v>2026</v>
      </c>
      <c r="E932" s="138">
        <v>55.277810000920347</v>
      </c>
    </row>
    <row r="933" spans="1:5" x14ac:dyDescent="0.25">
      <c r="A933" t="s">
        <v>194</v>
      </c>
      <c r="B933" t="s">
        <v>401</v>
      </c>
      <c r="C933" t="s">
        <v>1451</v>
      </c>
      <c r="D933" t="s">
        <v>2026</v>
      </c>
      <c r="E933" s="138">
        <v>54.994352685423429</v>
      </c>
    </row>
    <row r="934" spans="1:5" x14ac:dyDescent="0.25">
      <c r="A934" t="s">
        <v>194</v>
      </c>
      <c r="B934" t="s">
        <v>401</v>
      </c>
      <c r="C934" t="s">
        <v>1452</v>
      </c>
      <c r="D934" t="s">
        <v>2026</v>
      </c>
      <c r="E934" s="138">
        <v>55.040124490796757</v>
      </c>
    </row>
    <row r="935" spans="1:5" x14ac:dyDescent="0.25">
      <c r="A935" t="s">
        <v>194</v>
      </c>
      <c r="B935" t="s">
        <v>401</v>
      </c>
      <c r="C935" t="s">
        <v>1453</v>
      </c>
      <c r="D935" t="s">
        <v>2026</v>
      </c>
      <c r="E935" s="138">
        <v>55.137407189387552</v>
      </c>
    </row>
    <row r="936" spans="1:5" x14ac:dyDescent="0.25">
      <c r="A936" t="s">
        <v>194</v>
      </c>
      <c r="B936" t="s">
        <v>402</v>
      </c>
      <c r="C936" t="s">
        <v>1454</v>
      </c>
      <c r="D936" t="s">
        <v>2026</v>
      </c>
      <c r="E936" s="138">
        <v>56.119703420966893</v>
      </c>
    </row>
    <row r="937" spans="1:5" x14ac:dyDescent="0.25">
      <c r="A937" t="s">
        <v>194</v>
      </c>
      <c r="B937" t="s">
        <v>402</v>
      </c>
      <c r="C937" t="s">
        <v>1455</v>
      </c>
      <c r="D937" t="s">
        <v>2026</v>
      </c>
      <c r="E937" s="138">
        <v>53.987912360613613</v>
      </c>
    </row>
    <row r="938" spans="1:5" x14ac:dyDescent="0.25">
      <c r="A938" t="s">
        <v>194</v>
      </c>
      <c r="B938" t="s">
        <v>403</v>
      </c>
      <c r="C938" t="s">
        <v>1456</v>
      </c>
      <c r="D938" t="s">
        <v>2026</v>
      </c>
      <c r="E938" s="138">
        <v>53.825914137865759</v>
      </c>
    </row>
    <row r="939" spans="1:5" x14ac:dyDescent="0.25">
      <c r="A939" t="s">
        <v>194</v>
      </c>
      <c r="B939" t="s">
        <v>403</v>
      </c>
      <c r="C939" t="s">
        <v>1457</v>
      </c>
      <c r="D939" t="s">
        <v>2026</v>
      </c>
      <c r="E939" s="138">
        <v>56.089223600448577</v>
      </c>
    </row>
    <row r="940" spans="1:5" x14ac:dyDescent="0.25">
      <c r="A940" t="s">
        <v>194</v>
      </c>
      <c r="B940" t="s">
        <v>404</v>
      </c>
      <c r="C940" t="s">
        <v>1458</v>
      </c>
      <c r="D940" t="s">
        <v>2026</v>
      </c>
      <c r="E940" s="138">
        <v>53.941601375365003</v>
      </c>
    </row>
    <row r="941" spans="1:5" x14ac:dyDescent="0.25">
      <c r="A941" t="s">
        <v>194</v>
      </c>
      <c r="B941" t="s">
        <v>404</v>
      </c>
      <c r="C941" t="s">
        <v>1459</v>
      </c>
      <c r="D941" t="s">
        <v>2026</v>
      </c>
      <c r="E941" s="138">
        <v>55.637312929986692</v>
      </c>
    </row>
    <row r="942" spans="1:5" x14ac:dyDescent="0.25">
      <c r="A942" t="s">
        <v>194</v>
      </c>
      <c r="B942" t="s">
        <v>405</v>
      </c>
      <c r="C942" t="s">
        <v>1460</v>
      </c>
      <c r="D942" t="s">
        <v>2026</v>
      </c>
      <c r="E942" s="138">
        <v>54.117999627781337</v>
      </c>
    </row>
    <row r="943" spans="1:5" x14ac:dyDescent="0.25">
      <c r="A943" t="s">
        <v>194</v>
      </c>
      <c r="B943" t="s">
        <v>405</v>
      </c>
      <c r="C943" t="s">
        <v>1461</v>
      </c>
      <c r="D943" t="s">
        <v>2026</v>
      </c>
      <c r="E943" s="138">
        <v>54.385014377841877</v>
      </c>
    </row>
    <row r="944" spans="1:5" x14ac:dyDescent="0.25">
      <c r="A944" t="s">
        <v>194</v>
      </c>
      <c r="B944" t="s">
        <v>405</v>
      </c>
      <c r="C944" t="s">
        <v>1462</v>
      </c>
      <c r="D944" t="s">
        <v>2026</v>
      </c>
      <c r="E944" s="138">
        <v>54.294899625541547</v>
      </c>
    </row>
    <row r="945" spans="1:5" x14ac:dyDescent="0.25">
      <c r="A945" t="s">
        <v>194</v>
      </c>
      <c r="B945" t="s">
        <v>405</v>
      </c>
      <c r="C945" t="s">
        <v>1463</v>
      </c>
      <c r="D945" t="s">
        <v>2026</v>
      </c>
      <c r="E945" s="138">
        <v>53.970846829262911</v>
      </c>
    </row>
    <row r="946" spans="1:5" x14ac:dyDescent="0.25">
      <c r="A946" t="s">
        <v>194</v>
      </c>
      <c r="B946" t="s">
        <v>406</v>
      </c>
      <c r="C946" t="s">
        <v>1464</v>
      </c>
      <c r="D946" t="s">
        <v>2026</v>
      </c>
      <c r="E946" s="138">
        <v>61.65198812626668</v>
      </c>
    </row>
    <row r="947" spans="1:5" x14ac:dyDescent="0.25">
      <c r="A947" t="s">
        <v>194</v>
      </c>
      <c r="B947" t="s">
        <v>406</v>
      </c>
      <c r="C947" t="s">
        <v>1465</v>
      </c>
      <c r="D947" t="s">
        <v>2026</v>
      </c>
      <c r="E947" s="138">
        <v>65.51418439716312</v>
      </c>
    </row>
    <row r="948" spans="1:5" x14ac:dyDescent="0.25">
      <c r="A948" t="s">
        <v>194</v>
      </c>
      <c r="B948" t="s">
        <v>406</v>
      </c>
      <c r="C948" t="s">
        <v>1466</v>
      </c>
      <c r="D948" t="s">
        <v>2026</v>
      </c>
      <c r="E948" s="138">
        <v>58.445945945945937</v>
      </c>
    </row>
    <row r="949" spans="1:5" x14ac:dyDescent="0.25">
      <c r="A949" t="s">
        <v>194</v>
      </c>
      <c r="B949" t="s">
        <v>406</v>
      </c>
      <c r="C949" t="s">
        <v>1467</v>
      </c>
      <c r="D949" t="s">
        <v>2026</v>
      </c>
      <c r="E949" s="138">
        <v>45.089295650124789</v>
      </c>
    </row>
    <row r="950" spans="1:5" x14ac:dyDescent="0.25">
      <c r="A950" t="s">
        <v>194</v>
      </c>
      <c r="B950" t="s">
        <v>406</v>
      </c>
      <c r="C950" t="s">
        <v>1468</v>
      </c>
      <c r="D950" t="s">
        <v>2026</v>
      </c>
      <c r="E950" s="138">
        <v>58.690183748665248</v>
      </c>
    </row>
    <row r="951" spans="1:5" x14ac:dyDescent="0.25">
      <c r="A951" t="s">
        <v>194</v>
      </c>
      <c r="B951" t="s">
        <v>406</v>
      </c>
      <c r="C951" t="s">
        <v>1469</v>
      </c>
      <c r="D951" t="s">
        <v>2026</v>
      </c>
      <c r="E951" s="138">
        <v>50.976361767728683</v>
      </c>
    </row>
    <row r="952" spans="1:5" x14ac:dyDescent="0.25">
      <c r="A952" t="s">
        <v>194</v>
      </c>
      <c r="B952" t="s">
        <v>406</v>
      </c>
      <c r="C952" t="s">
        <v>1470</v>
      </c>
      <c r="D952" t="s">
        <v>2026</v>
      </c>
      <c r="E952" s="138">
        <v>38.402613940268772</v>
      </c>
    </row>
    <row r="953" spans="1:5" x14ac:dyDescent="0.25">
      <c r="A953" t="s">
        <v>194</v>
      </c>
      <c r="B953" t="s">
        <v>406</v>
      </c>
      <c r="C953" t="s">
        <v>1471</v>
      </c>
      <c r="D953" t="s">
        <v>2026</v>
      </c>
      <c r="E953" s="138">
        <v>44.675324675324667</v>
      </c>
    </row>
    <row r="954" spans="1:5" x14ac:dyDescent="0.25">
      <c r="A954" t="s">
        <v>194</v>
      </c>
      <c r="B954" t="s">
        <v>406</v>
      </c>
      <c r="C954" t="s">
        <v>1472</v>
      </c>
      <c r="D954" t="s">
        <v>2026</v>
      </c>
      <c r="E954" s="138">
        <v>58.176398549215733</v>
      </c>
    </row>
    <row r="955" spans="1:5" x14ac:dyDescent="0.25">
      <c r="A955" t="s">
        <v>194</v>
      </c>
      <c r="B955" t="s">
        <v>406</v>
      </c>
      <c r="C955" t="s">
        <v>1473</v>
      </c>
      <c r="D955" t="s">
        <v>2026</v>
      </c>
      <c r="E955" s="138">
        <v>51.226774112703858</v>
      </c>
    </row>
    <row r="956" spans="1:5" x14ac:dyDescent="0.25">
      <c r="A956" t="s">
        <v>194</v>
      </c>
      <c r="B956" t="s">
        <v>406</v>
      </c>
      <c r="C956" t="s">
        <v>1474</v>
      </c>
      <c r="D956" t="s">
        <v>2026</v>
      </c>
      <c r="E956" s="138">
        <v>61.373390557939913</v>
      </c>
    </row>
    <row r="957" spans="1:5" x14ac:dyDescent="0.25">
      <c r="A957" t="s">
        <v>194</v>
      </c>
      <c r="B957" t="s">
        <v>406</v>
      </c>
      <c r="C957" t="s">
        <v>1475</v>
      </c>
      <c r="D957" t="s">
        <v>2026</v>
      </c>
      <c r="E957" s="138">
        <v>62.039304593112263</v>
      </c>
    </row>
    <row r="958" spans="1:5" x14ac:dyDescent="0.25">
      <c r="A958" t="s">
        <v>194</v>
      </c>
      <c r="B958" t="s">
        <v>406</v>
      </c>
      <c r="C958" t="s">
        <v>1476</v>
      </c>
      <c r="D958" t="s">
        <v>2026</v>
      </c>
      <c r="E958" s="138">
        <v>50.520833333333343</v>
      </c>
    </row>
    <row r="959" spans="1:5" x14ac:dyDescent="0.25">
      <c r="A959" t="s">
        <v>194</v>
      </c>
      <c r="B959" t="s">
        <v>406</v>
      </c>
      <c r="C959" t="s">
        <v>1477</v>
      </c>
      <c r="D959" t="s">
        <v>2026</v>
      </c>
      <c r="E959" s="138">
        <v>62.347826086956523</v>
      </c>
    </row>
    <row r="960" spans="1:5" x14ac:dyDescent="0.25">
      <c r="A960" t="s">
        <v>194</v>
      </c>
      <c r="B960" t="s">
        <v>406</v>
      </c>
      <c r="C960" t="s">
        <v>1478</v>
      </c>
      <c r="D960" t="s">
        <v>2026</v>
      </c>
      <c r="E960" s="138">
        <v>55.649902024820378</v>
      </c>
    </row>
    <row r="961" spans="1:5" x14ac:dyDescent="0.25">
      <c r="A961" t="s">
        <v>194</v>
      </c>
      <c r="B961" t="s">
        <v>406</v>
      </c>
      <c r="C961" t="s">
        <v>1479</v>
      </c>
      <c r="D961" t="s">
        <v>2026</v>
      </c>
      <c r="E961" s="138">
        <v>54.414959753236523</v>
      </c>
    </row>
    <row r="962" spans="1:5" x14ac:dyDescent="0.25">
      <c r="A962" t="s">
        <v>194</v>
      </c>
      <c r="B962" t="s">
        <v>406</v>
      </c>
      <c r="C962" t="s">
        <v>1480</v>
      </c>
      <c r="D962" t="s">
        <v>2026</v>
      </c>
      <c r="E962" s="138">
        <v>60.392506690454951</v>
      </c>
    </row>
    <row r="963" spans="1:5" x14ac:dyDescent="0.25">
      <c r="A963" t="s">
        <v>194</v>
      </c>
      <c r="B963" t="s">
        <v>406</v>
      </c>
      <c r="C963" t="s">
        <v>1481</v>
      </c>
      <c r="D963" t="s">
        <v>2026</v>
      </c>
      <c r="E963" s="138">
        <v>50.146958928015707</v>
      </c>
    </row>
    <row r="964" spans="1:5" x14ac:dyDescent="0.25">
      <c r="A964" t="s">
        <v>194</v>
      </c>
      <c r="B964" t="s">
        <v>407</v>
      </c>
      <c r="C964" t="s">
        <v>1482</v>
      </c>
      <c r="D964" t="s">
        <v>2027</v>
      </c>
      <c r="E964" s="138">
        <v>18.15936313116255</v>
      </c>
    </row>
    <row r="965" spans="1:5" x14ac:dyDescent="0.25">
      <c r="A965" t="s">
        <v>194</v>
      </c>
      <c r="B965" t="s">
        <v>408</v>
      </c>
      <c r="C965" t="s">
        <v>1483</v>
      </c>
      <c r="D965" t="s">
        <v>2027</v>
      </c>
      <c r="E965" s="138">
        <v>15.55514717497036</v>
      </c>
    </row>
    <row r="966" spans="1:5" x14ac:dyDescent="0.25">
      <c r="A966" t="s">
        <v>194</v>
      </c>
      <c r="B966" t="s">
        <v>408</v>
      </c>
      <c r="C966" t="s">
        <v>1484</v>
      </c>
      <c r="D966" t="s">
        <v>2027</v>
      </c>
      <c r="E966" s="138">
        <v>19.780433650330739</v>
      </c>
    </row>
    <row r="967" spans="1:5" x14ac:dyDescent="0.25">
      <c r="A967" t="s">
        <v>194</v>
      </c>
      <c r="B967" t="s">
        <v>408</v>
      </c>
      <c r="C967" t="s">
        <v>1485</v>
      </c>
      <c r="D967" t="s">
        <v>2027</v>
      </c>
      <c r="E967" s="138">
        <v>19.653561714558911</v>
      </c>
    </row>
    <row r="968" spans="1:5" x14ac:dyDescent="0.25">
      <c r="A968" t="s">
        <v>194</v>
      </c>
      <c r="B968" t="s">
        <v>408</v>
      </c>
      <c r="C968" t="s">
        <v>1486</v>
      </c>
      <c r="D968" t="s">
        <v>2027</v>
      </c>
      <c r="E968" s="138">
        <v>14.35178891501938</v>
      </c>
    </row>
    <row r="969" spans="1:5" x14ac:dyDescent="0.25">
      <c r="A969" t="s">
        <v>194</v>
      </c>
      <c r="B969" t="s">
        <v>409</v>
      </c>
      <c r="C969" t="s">
        <v>1487</v>
      </c>
      <c r="D969" t="s">
        <v>2027</v>
      </c>
      <c r="E969" s="138">
        <v>21.355511677240571</v>
      </c>
    </row>
    <row r="970" spans="1:5" x14ac:dyDescent="0.25">
      <c r="A970" t="s">
        <v>194</v>
      </c>
      <c r="B970" t="s">
        <v>409</v>
      </c>
      <c r="C970" t="s">
        <v>1488</v>
      </c>
      <c r="D970" t="s">
        <v>2027</v>
      </c>
      <c r="E970" s="138">
        <v>17.766968208575751</v>
      </c>
    </row>
    <row r="971" spans="1:5" x14ac:dyDescent="0.25">
      <c r="A971" t="s">
        <v>194</v>
      </c>
      <c r="B971" t="s">
        <v>409</v>
      </c>
      <c r="C971" t="s">
        <v>1489</v>
      </c>
      <c r="D971" t="s">
        <v>2027</v>
      </c>
      <c r="E971" s="138">
        <v>16.45452310748556</v>
      </c>
    </row>
    <row r="972" spans="1:5" x14ac:dyDescent="0.25">
      <c r="A972" t="s">
        <v>194</v>
      </c>
      <c r="B972" t="s">
        <v>409</v>
      </c>
      <c r="C972" t="s">
        <v>1490</v>
      </c>
      <c r="D972" t="s">
        <v>2027</v>
      </c>
      <c r="E972" s="138">
        <v>18.751474652793409</v>
      </c>
    </row>
    <row r="973" spans="1:5" x14ac:dyDescent="0.25">
      <c r="A973" t="s">
        <v>194</v>
      </c>
      <c r="B973" t="s">
        <v>410</v>
      </c>
      <c r="C973" t="s">
        <v>1491</v>
      </c>
      <c r="D973" t="s">
        <v>2027</v>
      </c>
      <c r="E973" s="138">
        <v>17.084039093849309</v>
      </c>
    </row>
    <row r="974" spans="1:5" x14ac:dyDescent="0.25">
      <c r="A974" t="s">
        <v>194</v>
      </c>
      <c r="B974" t="s">
        <v>410</v>
      </c>
      <c r="C974" t="s">
        <v>1492</v>
      </c>
      <c r="D974" t="s">
        <v>2027</v>
      </c>
      <c r="E974" s="138">
        <v>19.289374381470299</v>
      </c>
    </row>
    <row r="975" spans="1:5" x14ac:dyDescent="0.25">
      <c r="A975" t="s">
        <v>194</v>
      </c>
      <c r="B975" t="s">
        <v>411</v>
      </c>
      <c r="C975" t="s">
        <v>1493</v>
      </c>
      <c r="D975" t="s">
        <v>2027</v>
      </c>
      <c r="E975" s="138">
        <v>19.046497161849921</v>
      </c>
    </row>
    <row r="976" spans="1:5" x14ac:dyDescent="0.25">
      <c r="A976" t="s">
        <v>194</v>
      </c>
      <c r="B976" t="s">
        <v>411</v>
      </c>
      <c r="C976" t="s">
        <v>1494</v>
      </c>
      <c r="D976" t="s">
        <v>2027</v>
      </c>
      <c r="E976" s="138">
        <v>17.479397936208631</v>
      </c>
    </row>
    <row r="977" spans="1:5" x14ac:dyDescent="0.25">
      <c r="A977" t="s">
        <v>194</v>
      </c>
      <c r="B977" t="s">
        <v>412</v>
      </c>
      <c r="C977" t="s">
        <v>1495</v>
      </c>
      <c r="D977" t="s">
        <v>2027</v>
      </c>
      <c r="E977" s="138">
        <v>17.202033425745029</v>
      </c>
    </row>
    <row r="978" spans="1:5" x14ac:dyDescent="0.25">
      <c r="A978" t="s">
        <v>194</v>
      </c>
      <c r="B978" t="s">
        <v>412</v>
      </c>
      <c r="C978" t="s">
        <v>1496</v>
      </c>
      <c r="D978" t="s">
        <v>2027</v>
      </c>
      <c r="E978" s="138">
        <v>18.592794015570799</v>
      </c>
    </row>
    <row r="979" spans="1:5" x14ac:dyDescent="0.25">
      <c r="A979" t="s">
        <v>194</v>
      </c>
      <c r="B979" t="s">
        <v>413</v>
      </c>
      <c r="C979" t="s">
        <v>1497</v>
      </c>
      <c r="D979" t="s">
        <v>2027</v>
      </c>
      <c r="E979" s="138">
        <v>22.917437553067561</v>
      </c>
    </row>
    <row r="980" spans="1:5" x14ac:dyDescent="0.25">
      <c r="A980" t="s">
        <v>194</v>
      </c>
      <c r="B980" t="s">
        <v>413</v>
      </c>
      <c r="C980" t="s">
        <v>1498</v>
      </c>
      <c r="D980" t="s">
        <v>2027</v>
      </c>
      <c r="E980" s="138">
        <v>18.75923638350617</v>
      </c>
    </row>
    <row r="981" spans="1:5" x14ac:dyDescent="0.25">
      <c r="A981" t="s">
        <v>194</v>
      </c>
      <c r="B981" t="s">
        <v>413</v>
      </c>
      <c r="C981" t="s">
        <v>1499</v>
      </c>
      <c r="D981" t="s">
        <v>2027</v>
      </c>
      <c r="E981" s="138">
        <v>18.609626709709492</v>
      </c>
    </row>
    <row r="982" spans="1:5" x14ac:dyDescent="0.25">
      <c r="A982" t="s">
        <v>194</v>
      </c>
      <c r="B982" t="s">
        <v>413</v>
      </c>
      <c r="C982" t="s">
        <v>1500</v>
      </c>
      <c r="D982" t="s">
        <v>2027</v>
      </c>
      <c r="E982" s="138">
        <v>15.09430624824417</v>
      </c>
    </row>
    <row r="983" spans="1:5" x14ac:dyDescent="0.25">
      <c r="A983" t="s">
        <v>194</v>
      </c>
      <c r="B983" t="s">
        <v>414</v>
      </c>
      <c r="C983" t="s">
        <v>1501</v>
      </c>
      <c r="D983" t="s">
        <v>2027</v>
      </c>
      <c r="E983" s="138">
        <v>15.851943580927269</v>
      </c>
    </row>
    <row r="984" spans="1:5" x14ac:dyDescent="0.25">
      <c r="A984" t="s">
        <v>194</v>
      </c>
      <c r="B984" t="s">
        <v>414</v>
      </c>
      <c r="C984" t="s">
        <v>1502</v>
      </c>
      <c r="D984" t="s">
        <v>2027</v>
      </c>
      <c r="E984" s="138">
        <v>20.656028368794331</v>
      </c>
    </row>
    <row r="985" spans="1:5" x14ac:dyDescent="0.25">
      <c r="A985" t="s">
        <v>194</v>
      </c>
      <c r="B985" t="s">
        <v>414</v>
      </c>
      <c r="C985" t="s">
        <v>1503</v>
      </c>
      <c r="D985" t="s">
        <v>2027</v>
      </c>
      <c r="E985" s="138">
        <v>14.10472972972973</v>
      </c>
    </row>
    <row r="986" spans="1:5" x14ac:dyDescent="0.25">
      <c r="A986" t="s">
        <v>194</v>
      </c>
      <c r="B986" t="s">
        <v>414</v>
      </c>
      <c r="C986" t="s">
        <v>1504</v>
      </c>
      <c r="D986" t="s">
        <v>2027</v>
      </c>
      <c r="E986" s="138">
        <v>5.3194548438443112</v>
      </c>
    </row>
    <row r="987" spans="1:5" x14ac:dyDescent="0.25">
      <c r="A987" t="s">
        <v>194</v>
      </c>
      <c r="B987" t="s">
        <v>414</v>
      </c>
      <c r="C987" t="s">
        <v>1505</v>
      </c>
      <c r="D987" t="s">
        <v>2027</v>
      </c>
      <c r="E987" s="138">
        <v>9.9695757240167762</v>
      </c>
    </row>
    <row r="988" spans="1:5" x14ac:dyDescent="0.25">
      <c r="A988" t="s">
        <v>194</v>
      </c>
      <c r="B988" t="s">
        <v>414</v>
      </c>
      <c r="C988" t="s">
        <v>1506</v>
      </c>
      <c r="D988" t="s">
        <v>2027</v>
      </c>
      <c r="E988" s="138">
        <v>22.096608427543678</v>
      </c>
    </row>
    <row r="989" spans="1:5" x14ac:dyDescent="0.25">
      <c r="A989" t="s">
        <v>194</v>
      </c>
      <c r="B989" t="s">
        <v>414</v>
      </c>
      <c r="C989" t="s">
        <v>1507</v>
      </c>
      <c r="D989" t="s">
        <v>2027</v>
      </c>
      <c r="E989" s="138">
        <v>5.2663775486440976</v>
      </c>
    </row>
    <row r="990" spans="1:5" x14ac:dyDescent="0.25">
      <c r="A990" t="s">
        <v>194</v>
      </c>
      <c r="B990" t="s">
        <v>414</v>
      </c>
      <c r="C990" t="s">
        <v>1508</v>
      </c>
      <c r="D990" t="s">
        <v>2027</v>
      </c>
      <c r="E990" s="138">
        <v>40.865800865800857</v>
      </c>
    </row>
    <row r="991" spans="1:5" x14ac:dyDescent="0.25">
      <c r="A991" t="s">
        <v>194</v>
      </c>
      <c r="B991" t="s">
        <v>414</v>
      </c>
      <c r="C991" t="s">
        <v>1509</v>
      </c>
      <c r="D991" t="s">
        <v>2027</v>
      </c>
      <c r="E991" s="138">
        <v>14.98015997941642</v>
      </c>
    </row>
    <row r="992" spans="1:5" x14ac:dyDescent="0.25">
      <c r="A992" t="s">
        <v>194</v>
      </c>
      <c r="B992" t="s">
        <v>414</v>
      </c>
      <c r="C992" t="s">
        <v>1510</v>
      </c>
      <c r="D992" t="s">
        <v>2027</v>
      </c>
      <c r="E992" s="138">
        <v>8.971274482722583</v>
      </c>
    </row>
    <row r="993" spans="1:5" x14ac:dyDescent="0.25">
      <c r="A993" t="s">
        <v>194</v>
      </c>
      <c r="B993" t="s">
        <v>414</v>
      </c>
      <c r="C993" t="s">
        <v>1511</v>
      </c>
      <c r="D993" t="s">
        <v>2027</v>
      </c>
      <c r="E993" s="138">
        <v>13.39055793991416</v>
      </c>
    </row>
    <row r="994" spans="1:5" x14ac:dyDescent="0.25">
      <c r="A994" t="s">
        <v>194</v>
      </c>
      <c r="B994" t="s">
        <v>414</v>
      </c>
      <c r="C994" t="s">
        <v>1512</v>
      </c>
      <c r="D994" t="s">
        <v>2027</v>
      </c>
      <c r="E994" s="138">
        <v>23.048920926286229</v>
      </c>
    </row>
    <row r="995" spans="1:5" x14ac:dyDescent="0.25">
      <c r="A995" t="s">
        <v>194</v>
      </c>
      <c r="B995" t="s">
        <v>414</v>
      </c>
      <c r="C995" t="s">
        <v>1513</v>
      </c>
      <c r="D995" t="s">
        <v>2027</v>
      </c>
      <c r="E995" s="138">
        <v>27.1875</v>
      </c>
    </row>
    <row r="996" spans="1:5" x14ac:dyDescent="0.25">
      <c r="A996" t="s">
        <v>194</v>
      </c>
      <c r="B996" t="s">
        <v>414</v>
      </c>
      <c r="C996" t="s">
        <v>1514</v>
      </c>
      <c r="D996" t="s">
        <v>2027</v>
      </c>
      <c r="E996" s="138">
        <v>13.043478260869559</v>
      </c>
    </row>
    <row r="997" spans="1:5" x14ac:dyDescent="0.25">
      <c r="A997" t="s">
        <v>194</v>
      </c>
      <c r="B997" t="s">
        <v>414</v>
      </c>
      <c r="C997" t="s">
        <v>1515</v>
      </c>
      <c r="D997" t="s">
        <v>2027</v>
      </c>
      <c r="E997" s="138">
        <v>20.748965817548449</v>
      </c>
    </row>
    <row r="998" spans="1:5" x14ac:dyDescent="0.25">
      <c r="A998" t="s">
        <v>194</v>
      </c>
      <c r="B998" t="s">
        <v>414</v>
      </c>
      <c r="C998" t="s">
        <v>1516</v>
      </c>
      <c r="D998" t="s">
        <v>2027</v>
      </c>
      <c r="E998" s="138">
        <v>15.183306420945261</v>
      </c>
    </row>
    <row r="999" spans="1:5" x14ac:dyDescent="0.25">
      <c r="A999" t="s">
        <v>194</v>
      </c>
      <c r="B999" t="s">
        <v>414</v>
      </c>
      <c r="C999" t="s">
        <v>1517</v>
      </c>
      <c r="D999" t="s">
        <v>2027</v>
      </c>
      <c r="E999" s="138">
        <v>27.564674397859061</v>
      </c>
    </row>
    <row r="1000" spans="1:5" x14ac:dyDescent="0.25">
      <c r="A1000" t="s">
        <v>194</v>
      </c>
      <c r="B1000" t="s">
        <v>414</v>
      </c>
      <c r="C1000" t="s">
        <v>1518</v>
      </c>
      <c r="D1000" t="s">
        <v>2027</v>
      </c>
      <c r="E1000" s="138">
        <v>28.883142268545939</v>
      </c>
    </row>
    <row r="1001" spans="1:5" x14ac:dyDescent="0.25">
      <c r="A1001" t="s">
        <v>194</v>
      </c>
      <c r="B1001" t="s">
        <v>415</v>
      </c>
      <c r="C1001" t="s">
        <v>1519</v>
      </c>
      <c r="D1001" t="s">
        <v>2028</v>
      </c>
      <c r="E1001" s="138">
        <v>2.2791213330895852</v>
      </c>
    </row>
    <row r="1002" spans="1:5" x14ac:dyDescent="0.25">
      <c r="A1002" t="s">
        <v>194</v>
      </c>
      <c r="B1002" t="s">
        <v>416</v>
      </c>
      <c r="C1002" t="s">
        <v>1520</v>
      </c>
      <c r="D1002" t="s">
        <v>2028</v>
      </c>
      <c r="E1002" s="138">
        <v>2.3660234998096579</v>
      </c>
    </row>
    <row r="1003" spans="1:5" x14ac:dyDescent="0.25">
      <c r="A1003" t="s">
        <v>194</v>
      </c>
      <c r="B1003" t="s">
        <v>416</v>
      </c>
      <c r="C1003" t="s">
        <v>1521</v>
      </c>
      <c r="D1003" t="s">
        <v>2028</v>
      </c>
      <c r="E1003" s="138">
        <v>2.3963549694917341</v>
      </c>
    </row>
    <row r="1004" spans="1:5" x14ac:dyDescent="0.25">
      <c r="A1004" t="s">
        <v>194</v>
      </c>
      <c r="B1004" t="s">
        <v>416</v>
      </c>
      <c r="C1004" t="s">
        <v>1522</v>
      </c>
      <c r="D1004" t="s">
        <v>2028</v>
      </c>
      <c r="E1004" s="138">
        <v>1.872010936354648</v>
      </c>
    </row>
    <row r="1005" spans="1:5" x14ac:dyDescent="0.25">
      <c r="A1005" t="s">
        <v>194</v>
      </c>
      <c r="B1005" t="s">
        <v>416</v>
      </c>
      <c r="C1005" t="s">
        <v>1523</v>
      </c>
      <c r="D1005" t="s">
        <v>2028</v>
      </c>
      <c r="E1005" s="138">
        <v>2.4185551057844039</v>
      </c>
    </row>
    <row r="1006" spans="1:5" x14ac:dyDescent="0.25">
      <c r="A1006" t="s">
        <v>194</v>
      </c>
      <c r="B1006" t="s">
        <v>417</v>
      </c>
      <c r="C1006" t="s">
        <v>1524</v>
      </c>
      <c r="D1006" t="s">
        <v>2028</v>
      </c>
      <c r="E1006" s="138">
        <v>2.474518589618937</v>
      </c>
    </row>
    <row r="1007" spans="1:5" x14ac:dyDescent="0.25">
      <c r="A1007" t="s">
        <v>194</v>
      </c>
      <c r="B1007" t="s">
        <v>417</v>
      </c>
      <c r="C1007" t="s">
        <v>1525</v>
      </c>
      <c r="D1007" t="s">
        <v>2028</v>
      </c>
      <c r="E1007" s="138">
        <v>2.1271017607164779</v>
      </c>
    </row>
    <row r="1008" spans="1:5" x14ac:dyDescent="0.25">
      <c r="A1008" t="s">
        <v>194</v>
      </c>
      <c r="B1008" t="s">
        <v>417</v>
      </c>
      <c r="C1008" t="s">
        <v>1526</v>
      </c>
      <c r="D1008" t="s">
        <v>2028</v>
      </c>
      <c r="E1008" s="138">
        <v>2.5087092854637478</v>
      </c>
    </row>
    <row r="1009" spans="1:5" x14ac:dyDescent="0.25">
      <c r="A1009" t="s">
        <v>194</v>
      </c>
      <c r="B1009" t="s">
        <v>417</v>
      </c>
      <c r="C1009" t="s">
        <v>1527</v>
      </c>
      <c r="D1009" t="s">
        <v>2028</v>
      </c>
      <c r="E1009" s="138">
        <v>1.659659144975866</v>
      </c>
    </row>
    <row r="1010" spans="1:5" x14ac:dyDescent="0.25">
      <c r="A1010" t="s">
        <v>194</v>
      </c>
      <c r="B1010" t="s">
        <v>418</v>
      </c>
      <c r="C1010" t="s">
        <v>1528</v>
      </c>
      <c r="D1010" t="s">
        <v>2028</v>
      </c>
      <c r="E1010" s="138">
        <v>2.1483782774837881</v>
      </c>
    </row>
    <row r="1011" spans="1:5" x14ac:dyDescent="0.25">
      <c r="A1011" t="s">
        <v>194</v>
      </c>
      <c r="B1011" t="s">
        <v>418</v>
      </c>
      <c r="C1011" t="s">
        <v>1529</v>
      </c>
      <c r="D1011" t="s">
        <v>2028</v>
      </c>
      <c r="E1011" s="138">
        <v>2.4165135224275089</v>
      </c>
    </row>
    <row r="1012" spans="1:5" x14ac:dyDescent="0.25">
      <c r="A1012" t="s">
        <v>194</v>
      </c>
      <c r="B1012" t="s">
        <v>419</v>
      </c>
      <c r="C1012" t="s">
        <v>1530</v>
      </c>
      <c r="D1012" t="s">
        <v>2028</v>
      </c>
      <c r="E1012" s="138">
        <v>2.4105087810474282</v>
      </c>
    </row>
    <row r="1013" spans="1:5" x14ac:dyDescent="0.25">
      <c r="A1013" t="s">
        <v>194</v>
      </c>
      <c r="B1013" t="s">
        <v>419</v>
      </c>
      <c r="C1013" t="s">
        <v>1531</v>
      </c>
      <c r="D1013" t="s">
        <v>2028</v>
      </c>
      <c r="E1013" s="138">
        <v>2.19586868418236</v>
      </c>
    </row>
    <row r="1014" spans="1:5" x14ac:dyDescent="0.25">
      <c r="A1014" t="s">
        <v>194</v>
      </c>
      <c r="B1014" t="s">
        <v>420</v>
      </c>
      <c r="C1014" t="s">
        <v>1532</v>
      </c>
      <c r="D1014" t="s">
        <v>2028</v>
      </c>
      <c r="E1014" s="138">
        <v>2.3523602918115358</v>
      </c>
    </row>
    <row r="1015" spans="1:5" x14ac:dyDescent="0.25">
      <c r="A1015" t="s">
        <v>194</v>
      </c>
      <c r="B1015" t="s">
        <v>420</v>
      </c>
      <c r="C1015" t="s">
        <v>1533</v>
      </c>
      <c r="D1015" t="s">
        <v>2028</v>
      </c>
      <c r="E1015" s="138">
        <v>2.2379108378275272</v>
      </c>
    </row>
    <row r="1016" spans="1:5" x14ac:dyDescent="0.25">
      <c r="A1016" t="s">
        <v>194</v>
      </c>
      <c r="B1016" t="s">
        <v>421</v>
      </c>
      <c r="C1016" t="s">
        <v>1534</v>
      </c>
      <c r="D1016" t="s">
        <v>2028</v>
      </c>
      <c r="E1016" s="138">
        <v>3.6417212452012611</v>
      </c>
    </row>
    <row r="1017" spans="1:5" x14ac:dyDescent="0.25">
      <c r="A1017" t="s">
        <v>194</v>
      </c>
      <c r="B1017" t="s">
        <v>421</v>
      </c>
      <c r="C1017" t="s">
        <v>1535</v>
      </c>
      <c r="D1017" t="s">
        <v>2028</v>
      </c>
      <c r="E1017" s="138">
        <v>2.2498393428553078</v>
      </c>
    </row>
    <row r="1018" spans="1:5" x14ac:dyDescent="0.25">
      <c r="A1018" t="s">
        <v>194</v>
      </c>
      <c r="B1018" t="s">
        <v>421</v>
      </c>
      <c r="C1018" t="s">
        <v>1536</v>
      </c>
      <c r="D1018" t="s">
        <v>2028</v>
      </c>
      <c r="E1018" s="138">
        <v>2.5982350427680099</v>
      </c>
    </row>
    <row r="1019" spans="1:5" x14ac:dyDescent="0.25">
      <c r="A1019" t="s">
        <v>194</v>
      </c>
      <c r="B1019" t="s">
        <v>421</v>
      </c>
      <c r="C1019" t="s">
        <v>1537</v>
      </c>
      <c r="D1019" t="s">
        <v>2028</v>
      </c>
      <c r="E1019" s="138">
        <v>2.2998248925261731</v>
      </c>
    </row>
    <row r="1020" spans="1:5" x14ac:dyDescent="0.25">
      <c r="A1020" t="s">
        <v>194</v>
      </c>
      <c r="B1020" t="s">
        <v>422</v>
      </c>
      <c r="C1020" t="s">
        <v>1538</v>
      </c>
      <c r="D1020" t="s">
        <v>2028</v>
      </c>
      <c r="E1020" s="138">
        <v>0.48595155245092542</v>
      </c>
    </row>
    <row r="1021" spans="1:5" x14ac:dyDescent="0.25">
      <c r="A1021" t="s">
        <v>194</v>
      </c>
      <c r="B1021" t="s">
        <v>422</v>
      </c>
      <c r="C1021" t="s">
        <v>1539</v>
      </c>
      <c r="D1021" t="s">
        <v>2028</v>
      </c>
      <c r="E1021" s="138">
        <v>1.24113475177305</v>
      </c>
    </row>
    <row r="1022" spans="1:5" x14ac:dyDescent="0.25">
      <c r="A1022" t="s">
        <v>194</v>
      </c>
      <c r="B1022" t="s">
        <v>422</v>
      </c>
      <c r="C1022" t="s">
        <v>1540</v>
      </c>
      <c r="D1022" t="s">
        <v>2028</v>
      </c>
      <c r="E1022" s="138">
        <v>0.7601351351351352</v>
      </c>
    </row>
    <row r="1023" spans="1:5" x14ac:dyDescent="0.25">
      <c r="A1023" t="s">
        <v>194</v>
      </c>
      <c r="B1023" t="s">
        <v>422</v>
      </c>
      <c r="C1023" t="s">
        <v>1541</v>
      </c>
      <c r="D1023" t="s">
        <v>2028</v>
      </c>
      <c r="E1023" s="138">
        <v>0.5944431634822529</v>
      </c>
    </row>
    <row r="1024" spans="1:5" x14ac:dyDescent="0.25">
      <c r="A1024" t="s">
        <v>194</v>
      </c>
      <c r="B1024" t="s">
        <v>422</v>
      </c>
      <c r="C1024" t="s">
        <v>1542</v>
      </c>
      <c r="D1024" t="s">
        <v>2028</v>
      </c>
      <c r="E1024" s="138">
        <v>2.208437128189626</v>
      </c>
    </row>
    <row r="1025" spans="1:5" x14ac:dyDescent="0.25">
      <c r="A1025" t="s">
        <v>194</v>
      </c>
      <c r="B1025" t="s">
        <v>422</v>
      </c>
      <c r="C1025" t="s">
        <v>1543</v>
      </c>
      <c r="D1025" t="s">
        <v>2028</v>
      </c>
      <c r="E1025" s="138">
        <v>2.4665981500513872</v>
      </c>
    </row>
    <row r="1026" spans="1:5" x14ac:dyDescent="0.25">
      <c r="A1026" t="s">
        <v>194</v>
      </c>
      <c r="B1026" t="s">
        <v>422</v>
      </c>
      <c r="C1026" t="s">
        <v>1544</v>
      </c>
      <c r="D1026" t="s">
        <v>2028</v>
      </c>
      <c r="E1026" s="138">
        <v>2.3153225593775582</v>
      </c>
    </row>
    <row r="1027" spans="1:5" x14ac:dyDescent="0.25">
      <c r="A1027" t="s">
        <v>194</v>
      </c>
      <c r="B1027" t="s">
        <v>422</v>
      </c>
      <c r="C1027" t="s">
        <v>1545</v>
      </c>
      <c r="D1027" t="s">
        <v>2028</v>
      </c>
      <c r="E1027" s="138">
        <v>3.5497835497835499</v>
      </c>
    </row>
    <row r="1028" spans="1:5" x14ac:dyDescent="0.25">
      <c r="A1028" t="s">
        <v>194</v>
      </c>
      <c r="B1028" t="s">
        <v>422</v>
      </c>
      <c r="C1028" t="s">
        <v>1546</v>
      </c>
      <c r="D1028" t="s">
        <v>2028</v>
      </c>
      <c r="E1028" s="138">
        <v>1.8423692697615439</v>
      </c>
    </row>
    <row r="1029" spans="1:5" x14ac:dyDescent="0.25">
      <c r="A1029" t="s">
        <v>194</v>
      </c>
      <c r="B1029" t="s">
        <v>422</v>
      </c>
      <c r="C1029" t="s">
        <v>1547</v>
      </c>
      <c r="D1029" t="s">
        <v>2028</v>
      </c>
      <c r="E1029" s="138">
        <v>3.3867640804427608</v>
      </c>
    </row>
    <row r="1030" spans="1:5" x14ac:dyDescent="0.25">
      <c r="A1030" t="s">
        <v>194</v>
      </c>
      <c r="B1030" t="s">
        <v>422</v>
      </c>
      <c r="C1030" t="s">
        <v>1548</v>
      </c>
      <c r="D1030" t="s">
        <v>2028</v>
      </c>
      <c r="E1030" s="138">
        <v>1.8884120171673819</v>
      </c>
    </row>
    <row r="1031" spans="1:5" x14ac:dyDescent="0.25">
      <c r="A1031" t="s">
        <v>194</v>
      </c>
      <c r="B1031" t="s">
        <v>422</v>
      </c>
      <c r="C1031" t="s">
        <v>1549</v>
      </c>
      <c r="D1031" t="s">
        <v>2028</v>
      </c>
      <c r="E1031" s="138">
        <v>4.2479526924566819</v>
      </c>
    </row>
    <row r="1032" spans="1:5" x14ac:dyDescent="0.25">
      <c r="A1032" t="s">
        <v>194</v>
      </c>
      <c r="B1032" t="s">
        <v>422</v>
      </c>
      <c r="C1032" t="s">
        <v>1550</v>
      </c>
      <c r="D1032" t="s">
        <v>2028</v>
      </c>
      <c r="E1032" s="138">
        <v>6.666666666666667</v>
      </c>
    </row>
    <row r="1033" spans="1:5" x14ac:dyDescent="0.25">
      <c r="A1033" t="s">
        <v>194</v>
      </c>
      <c r="B1033" t="s">
        <v>422</v>
      </c>
      <c r="C1033" t="s">
        <v>1551</v>
      </c>
      <c r="D1033" t="s">
        <v>2028</v>
      </c>
      <c r="E1033" s="138">
        <v>1.130434782608696</v>
      </c>
    </row>
    <row r="1034" spans="1:5" x14ac:dyDescent="0.25">
      <c r="A1034" t="s">
        <v>194</v>
      </c>
      <c r="B1034" t="s">
        <v>422</v>
      </c>
      <c r="C1034" t="s">
        <v>1552</v>
      </c>
      <c r="D1034" t="s">
        <v>2028</v>
      </c>
      <c r="E1034" s="138">
        <v>2.003048116699325</v>
      </c>
    </row>
    <row r="1035" spans="1:5" x14ac:dyDescent="0.25">
      <c r="A1035" t="s">
        <v>194</v>
      </c>
      <c r="B1035" t="s">
        <v>422</v>
      </c>
      <c r="C1035" t="s">
        <v>1553</v>
      </c>
      <c r="D1035" t="s">
        <v>2028</v>
      </c>
      <c r="E1035" s="138">
        <v>3.2302663166412779</v>
      </c>
    </row>
    <row r="1036" spans="1:5" x14ac:dyDescent="0.25">
      <c r="A1036" t="s">
        <v>194</v>
      </c>
      <c r="B1036" t="s">
        <v>422</v>
      </c>
      <c r="C1036" t="s">
        <v>1554</v>
      </c>
      <c r="D1036" t="s">
        <v>2028</v>
      </c>
      <c r="E1036" s="138">
        <v>0.89206066012488849</v>
      </c>
    </row>
    <row r="1037" spans="1:5" x14ac:dyDescent="0.25">
      <c r="A1037" t="s">
        <v>194</v>
      </c>
      <c r="B1037" t="s">
        <v>422</v>
      </c>
      <c r="C1037" t="s">
        <v>1555</v>
      </c>
      <c r="D1037" t="s">
        <v>2028</v>
      </c>
      <c r="E1037" s="138">
        <v>3.7664635271691091</v>
      </c>
    </row>
    <row r="1038" spans="1:5" x14ac:dyDescent="0.25">
      <c r="A1038" t="s">
        <v>195</v>
      </c>
      <c r="B1038" t="s">
        <v>423</v>
      </c>
      <c r="C1038" t="s">
        <v>1556</v>
      </c>
      <c r="D1038" t="s">
        <v>2029</v>
      </c>
      <c r="E1038" s="138">
        <v>25.94435917130988</v>
      </c>
    </row>
    <row r="1039" spans="1:5" x14ac:dyDescent="0.25">
      <c r="A1039" t="s">
        <v>195</v>
      </c>
      <c r="B1039" t="s">
        <v>424</v>
      </c>
      <c r="C1039" t="s">
        <v>1557</v>
      </c>
      <c r="D1039" t="s">
        <v>2029</v>
      </c>
      <c r="E1039" s="138">
        <v>25.952903188170019</v>
      </c>
    </row>
    <row r="1040" spans="1:5" x14ac:dyDescent="0.25">
      <c r="A1040" t="s">
        <v>195</v>
      </c>
      <c r="B1040" t="s">
        <v>424</v>
      </c>
      <c r="C1040" t="s">
        <v>1558</v>
      </c>
      <c r="D1040" t="s">
        <v>2029</v>
      </c>
      <c r="E1040" s="138">
        <v>26.747999136248751</v>
      </c>
    </row>
    <row r="1041" spans="1:5" x14ac:dyDescent="0.25">
      <c r="A1041" t="s">
        <v>195</v>
      </c>
      <c r="B1041" t="s">
        <v>424</v>
      </c>
      <c r="C1041" t="s">
        <v>1559</v>
      </c>
      <c r="D1041" t="s">
        <v>2029</v>
      </c>
      <c r="E1041" s="138">
        <v>24.71093808531894</v>
      </c>
    </row>
    <row r="1042" spans="1:5" x14ac:dyDescent="0.25">
      <c r="A1042" t="s">
        <v>195</v>
      </c>
      <c r="B1042" t="s">
        <v>424</v>
      </c>
      <c r="C1042" t="s">
        <v>1560</v>
      </c>
      <c r="D1042" t="s">
        <v>2029</v>
      </c>
      <c r="E1042" s="138">
        <v>25.453031465254661</v>
      </c>
    </row>
    <row r="1043" spans="1:5" x14ac:dyDescent="0.25">
      <c r="A1043" t="s">
        <v>195</v>
      </c>
      <c r="B1043" t="s">
        <v>425</v>
      </c>
      <c r="C1043" t="s">
        <v>1561</v>
      </c>
      <c r="D1043" t="s">
        <v>2029</v>
      </c>
      <c r="E1043" s="138">
        <v>22.92059095285175</v>
      </c>
    </row>
    <row r="1044" spans="1:5" x14ac:dyDescent="0.25">
      <c r="A1044" t="s">
        <v>195</v>
      </c>
      <c r="B1044" t="s">
        <v>425</v>
      </c>
      <c r="C1044" t="s">
        <v>1562</v>
      </c>
      <c r="D1044" t="s">
        <v>2029</v>
      </c>
      <c r="E1044" s="138">
        <v>26.933027199166801</v>
      </c>
    </row>
    <row r="1045" spans="1:5" x14ac:dyDescent="0.25">
      <c r="A1045" t="s">
        <v>195</v>
      </c>
      <c r="B1045" t="s">
        <v>425</v>
      </c>
      <c r="C1045" t="s">
        <v>1563</v>
      </c>
      <c r="D1045" t="s">
        <v>2029</v>
      </c>
      <c r="E1045" s="138">
        <v>26.99923623433914</v>
      </c>
    </row>
    <row r="1046" spans="1:5" x14ac:dyDescent="0.25">
      <c r="A1046" t="s">
        <v>195</v>
      </c>
      <c r="B1046" t="s">
        <v>425</v>
      </c>
      <c r="C1046" t="s">
        <v>1564</v>
      </c>
      <c r="D1046" t="s">
        <v>2029</v>
      </c>
      <c r="E1046" s="138">
        <v>24.939414717606841</v>
      </c>
    </row>
    <row r="1047" spans="1:5" x14ac:dyDescent="0.25">
      <c r="A1047" t="s">
        <v>195</v>
      </c>
      <c r="B1047" t="s">
        <v>426</v>
      </c>
      <c r="C1047" t="s">
        <v>1565</v>
      </c>
      <c r="D1047" t="s">
        <v>2029</v>
      </c>
      <c r="E1047" s="138">
        <v>25.733776778618061</v>
      </c>
    </row>
    <row r="1048" spans="1:5" x14ac:dyDescent="0.25">
      <c r="A1048" t="s">
        <v>195</v>
      </c>
      <c r="B1048" t="s">
        <v>426</v>
      </c>
      <c r="C1048" t="s">
        <v>1566</v>
      </c>
      <c r="D1048" t="s">
        <v>2029</v>
      </c>
      <c r="E1048" s="138">
        <v>26.162979132392831</v>
      </c>
    </row>
    <row r="1049" spans="1:5" x14ac:dyDescent="0.25">
      <c r="A1049" t="s">
        <v>195</v>
      </c>
      <c r="B1049" t="s">
        <v>427</v>
      </c>
      <c r="C1049" t="s">
        <v>1567</v>
      </c>
      <c r="D1049" t="s">
        <v>2029</v>
      </c>
      <c r="E1049" s="138">
        <v>24.927470854822769</v>
      </c>
    </row>
    <row r="1050" spans="1:5" x14ac:dyDescent="0.25">
      <c r="A1050" t="s">
        <v>195</v>
      </c>
      <c r="B1050" t="s">
        <v>427</v>
      </c>
      <c r="C1050" t="s">
        <v>1568</v>
      </c>
      <c r="D1050" t="s">
        <v>2029</v>
      </c>
      <c r="E1050" s="138">
        <v>26.71587789627468</v>
      </c>
    </row>
    <row r="1051" spans="1:5" x14ac:dyDescent="0.25">
      <c r="A1051" t="s">
        <v>195</v>
      </c>
      <c r="B1051" t="s">
        <v>428</v>
      </c>
      <c r="C1051" t="s">
        <v>1569</v>
      </c>
      <c r="D1051" t="s">
        <v>2029</v>
      </c>
      <c r="E1051" s="138">
        <v>26.210394987433361</v>
      </c>
    </row>
    <row r="1052" spans="1:5" x14ac:dyDescent="0.25">
      <c r="A1052" t="s">
        <v>195</v>
      </c>
      <c r="B1052" t="s">
        <v>428</v>
      </c>
      <c r="C1052" t="s">
        <v>1570</v>
      </c>
      <c r="D1052" t="s">
        <v>2029</v>
      </c>
      <c r="E1052" s="138">
        <v>25.883241018265139</v>
      </c>
    </row>
    <row r="1053" spans="1:5" x14ac:dyDescent="0.25">
      <c r="A1053" t="s">
        <v>195</v>
      </c>
      <c r="B1053" t="s">
        <v>429</v>
      </c>
      <c r="C1053" t="s">
        <v>1571</v>
      </c>
      <c r="D1053" t="s">
        <v>2029</v>
      </c>
      <c r="E1053" s="138">
        <v>26.826124163281669</v>
      </c>
    </row>
    <row r="1054" spans="1:5" x14ac:dyDescent="0.25">
      <c r="A1054" t="s">
        <v>195</v>
      </c>
      <c r="B1054" t="s">
        <v>429</v>
      </c>
      <c r="C1054" t="s">
        <v>1572</v>
      </c>
      <c r="D1054" t="s">
        <v>2029</v>
      </c>
      <c r="E1054" s="138">
        <v>26.63297255266265</v>
      </c>
    </row>
    <row r="1055" spans="1:5" x14ac:dyDescent="0.25">
      <c r="A1055" t="s">
        <v>195</v>
      </c>
      <c r="B1055" t="s">
        <v>429</v>
      </c>
      <c r="C1055" t="s">
        <v>1573</v>
      </c>
      <c r="D1055" t="s">
        <v>2029</v>
      </c>
      <c r="E1055" s="138">
        <v>25.767897206692929</v>
      </c>
    </row>
    <row r="1056" spans="1:5" x14ac:dyDescent="0.25">
      <c r="A1056" t="s">
        <v>195</v>
      </c>
      <c r="B1056" t="s">
        <v>429</v>
      </c>
      <c r="C1056" t="s">
        <v>1574</v>
      </c>
      <c r="D1056" t="s">
        <v>2029</v>
      </c>
      <c r="E1056" s="138">
        <v>28.077974345862479</v>
      </c>
    </row>
    <row r="1057" spans="1:5" x14ac:dyDescent="0.25">
      <c r="A1057" t="s">
        <v>195</v>
      </c>
      <c r="B1057" t="s">
        <v>430</v>
      </c>
      <c r="C1057" t="s">
        <v>1575</v>
      </c>
      <c r="D1057" t="s">
        <v>2029</v>
      </c>
      <c r="E1057" s="138">
        <v>19.249293746831562</v>
      </c>
    </row>
    <row r="1058" spans="1:5" x14ac:dyDescent="0.25">
      <c r="A1058" t="s">
        <v>195</v>
      </c>
      <c r="B1058" t="s">
        <v>430</v>
      </c>
      <c r="C1058" t="s">
        <v>1576</v>
      </c>
      <c r="D1058" t="s">
        <v>2029</v>
      </c>
      <c r="E1058" s="138">
        <v>11.753731343283579</v>
      </c>
    </row>
    <row r="1059" spans="1:5" x14ac:dyDescent="0.25">
      <c r="A1059" t="s">
        <v>195</v>
      </c>
      <c r="B1059" t="s">
        <v>430</v>
      </c>
      <c r="C1059" t="s">
        <v>1577</v>
      </c>
      <c r="D1059" t="s">
        <v>2029</v>
      </c>
      <c r="E1059" s="138">
        <v>33.073593073593067</v>
      </c>
    </row>
    <row r="1060" spans="1:5" x14ac:dyDescent="0.25">
      <c r="A1060" t="s">
        <v>195</v>
      </c>
      <c r="B1060" t="s">
        <v>430</v>
      </c>
      <c r="C1060" t="s">
        <v>1578</v>
      </c>
      <c r="D1060" t="s">
        <v>2029</v>
      </c>
      <c r="E1060" s="138">
        <v>53.471696914150478</v>
      </c>
    </row>
    <row r="1061" spans="1:5" x14ac:dyDescent="0.25">
      <c r="A1061" t="s">
        <v>195</v>
      </c>
      <c r="B1061" t="s">
        <v>430</v>
      </c>
      <c r="C1061" t="s">
        <v>1579</v>
      </c>
      <c r="D1061" t="s">
        <v>2029</v>
      </c>
      <c r="E1061" s="138">
        <v>36.083833759630508</v>
      </c>
    </row>
    <row r="1062" spans="1:5" x14ac:dyDescent="0.25">
      <c r="A1062" t="s">
        <v>195</v>
      </c>
      <c r="B1062" t="s">
        <v>430</v>
      </c>
      <c r="C1062" t="s">
        <v>1580</v>
      </c>
      <c r="D1062" t="s">
        <v>2029</v>
      </c>
      <c r="E1062" s="138">
        <v>36.441586280814583</v>
      </c>
    </row>
    <row r="1063" spans="1:5" x14ac:dyDescent="0.25">
      <c r="A1063" t="s">
        <v>195</v>
      </c>
      <c r="B1063" t="s">
        <v>430</v>
      </c>
      <c r="C1063" t="s">
        <v>1581</v>
      </c>
      <c r="D1063" t="s">
        <v>2029</v>
      </c>
      <c r="E1063" s="138">
        <v>24.704918855894679</v>
      </c>
    </row>
    <row r="1064" spans="1:5" x14ac:dyDescent="0.25">
      <c r="A1064" t="s">
        <v>195</v>
      </c>
      <c r="B1064" t="s">
        <v>430</v>
      </c>
      <c r="C1064" t="s">
        <v>1582</v>
      </c>
      <c r="D1064" t="s">
        <v>2029</v>
      </c>
      <c r="E1064" s="138">
        <v>8.2819383259911898</v>
      </c>
    </row>
    <row r="1065" spans="1:5" x14ac:dyDescent="0.25">
      <c r="A1065" t="s">
        <v>195</v>
      </c>
      <c r="B1065" t="s">
        <v>430</v>
      </c>
      <c r="C1065" t="s">
        <v>1583</v>
      </c>
      <c r="D1065" t="s">
        <v>2029</v>
      </c>
      <c r="E1065" s="138">
        <v>28.861827056305401</v>
      </c>
    </row>
    <row r="1066" spans="1:5" x14ac:dyDescent="0.25">
      <c r="A1066" t="s">
        <v>195</v>
      </c>
      <c r="B1066" t="s">
        <v>430</v>
      </c>
      <c r="C1066" t="s">
        <v>1584</v>
      </c>
      <c r="D1066" t="s">
        <v>2029</v>
      </c>
      <c r="E1066" s="138">
        <v>36.787528779608699</v>
      </c>
    </row>
    <row r="1067" spans="1:5" x14ac:dyDescent="0.25">
      <c r="A1067" t="s">
        <v>195</v>
      </c>
      <c r="B1067" t="s">
        <v>430</v>
      </c>
      <c r="C1067" t="s">
        <v>1585</v>
      </c>
      <c r="D1067" t="s">
        <v>2029</v>
      </c>
      <c r="E1067" s="138">
        <v>34.446397188049211</v>
      </c>
    </row>
    <row r="1068" spans="1:5" x14ac:dyDescent="0.25">
      <c r="A1068" t="s">
        <v>195</v>
      </c>
      <c r="B1068" t="s">
        <v>430</v>
      </c>
      <c r="C1068" t="s">
        <v>1586</v>
      </c>
      <c r="D1068" t="s">
        <v>2029</v>
      </c>
      <c r="E1068" s="138">
        <v>9.4173277429325228</v>
      </c>
    </row>
    <row r="1069" spans="1:5" x14ac:dyDescent="0.25">
      <c r="A1069" t="s">
        <v>195</v>
      </c>
      <c r="B1069" t="s">
        <v>430</v>
      </c>
      <c r="C1069" t="s">
        <v>1587</v>
      </c>
      <c r="D1069" t="s">
        <v>2029</v>
      </c>
      <c r="E1069" s="138">
        <v>21.670190274841438</v>
      </c>
    </row>
    <row r="1070" spans="1:5" x14ac:dyDescent="0.25">
      <c r="A1070" t="s">
        <v>195</v>
      </c>
      <c r="B1070" t="s">
        <v>430</v>
      </c>
      <c r="C1070" t="s">
        <v>1588</v>
      </c>
      <c r="D1070" t="s">
        <v>2029</v>
      </c>
      <c r="E1070" s="138">
        <v>18.710832587287381</v>
      </c>
    </row>
    <row r="1071" spans="1:5" x14ac:dyDescent="0.25">
      <c r="A1071" t="s">
        <v>195</v>
      </c>
      <c r="B1071" t="s">
        <v>430</v>
      </c>
      <c r="C1071" t="s">
        <v>1589</v>
      </c>
      <c r="D1071" t="s">
        <v>2029</v>
      </c>
      <c r="E1071" s="138">
        <v>43.138514236780132</v>
      </c>
    </row>
    <row r="1072" spans="1:5" x14ac:dyDescent="0.25">
      <c r="A1072" t="s">
        <v>195</v>
      </c>
      <c r="B1072" t="s">
        <v>430</v>
      </c>
      <c r="C1072" t="s">
        <v>1590</v>
      </c>
      <c r="D1072" t="s">
        <v>2029</v>
      </c>
      <c r="E1072" s="138">
        <v>11.035743420591229</v>
      </c>
    </row>
    <row r="1073" spans="1:5" x14ac:dyDescent="0.25">
      <c r="A1073" t="s">
        <v>195</v>
      </c>
      <c r="B1073" t="s">
        <v>430</v>
      </c>
      <c r="C1073" t="s">
        <v>1591</v>
      </c>
      <c r="D1073" t="s">
        <v>2029</v>
      </c>
      <c r="E1073" s="138">
        <v>11.511423550087869</v>
      </c>
    </row>
    <row r="1074" spans="1:5" x14ac:dyDescent="0.25">
      <c r="A1074" t="s">
        <v>195</v>
      </c>
      <c r="B1074" t="s">
        <v>430</v>
      </c>
      <c r="C1074" t="s">
        <v>1592</v>
      </c>
      <c r="D1074" t="s">
        <v>2029</v>
      </c>
      <c r="E1074" s="138">
        <v>22.832618025751071</v>
      </c>
    </row>
    <row r="1075" spans="1:5" x14ac:dyDescent="0.25">
      <c r="A1075" t="s">
        <v>195</v>
      </c>
      <c r="B1075" t="s">
        <v>431</v>
      </c>
      <c r="C1075" t="s">
        <v>1593</v>
      </c>
      <c r="D1075" t="s">
        <v>2030</v>
      </c>
      <c r="E1075" s="138">
        <v>47.09317075754246</v>
      </c>
    </row>
    <row r="1076" spans="1:5" x14ac:dyDescent="0.25">
      <c r="A1076" t="s">
        <v>195</v>
      </c>
      <c r="B1076" t="s">
        <v>432</v>
      </c>
      <c r="C1076" t="s">
        <v>1594</v>
      </c>
      <c r="D1076" t="s">
        <v>2030</v>
      </c>
      <c r="E1076" s="138">
        <v>47.57156568807995</v>
      </c>
    </row>
    <row r="1077" spans="1:5" x14ac:dyDescent="0.25">
      <c r="A1077" t="s">
        <v>195</v>
      </c>
      <c r="B1077" t="s">
        <v>432</v>
      </c>
      <c r="C1077" t="s">
        <v>1595</v>
      </c>
      <c r="D1077" t="s">
        <v>2030</v>
      </c>
      <c r="E1077" s="138">
        <v>46.050545771135383</v>
      </c>
    </row>
    <row r="1078" spans="1:5" x14ac:dyDescent="0.25">
      <c r="A1078" t="s">
        <v>195</v>
      </c>
      <c r="B1078" t="s">
        <v>432</v>
      </c>
      <c r="C1078" t="s">
        <v>1596</v>
      </c>
      <c r="D1078" t="s">
        <v>2030</v>
      </c>
      <c r="E1078" s="138">
        <v>47.390527775740502</v>
      </c>
    </row>
    <row r="1079" spans="1:5" x14ac:dyDescent="0.25">
      <c r="A1079" t="s">
        <v>195</v>
      </c>
      <c r="B1079" t="s">
        <v>432</v>
      </c>
      <c r="C1079" t="s">
        <v>1597</v>
      </c>
      <c r="D1079" t="s">
        <v>2030</v>
      </c>
      <c r="E1079" s="138">
        <v>49.37038144986716</v>
      </c>
    </row>
    <row r="1080" spans="1:5" x14ac:dyDescent="0.25">
      <c r="A1080" t="s">
        <v>195</v>
      </c>
      <c r="B1080" t="s">
        <v>433</v>
      </c>
      <c r="C1080" t="s">
        <v>1598</v>
      </c>
      <c r="D1080" t="s">
        <v>2030</v>
      </c>
      <c r="E1080" s="138">
        <v>46.818070615609408</v>
      </c>
    </row>
    <row r="1081" spans="1:5" x14ac:dyDescent="0.25">
      <c r="A1081" t="s">
        <v>195</v>
      </c>
      <c r="B1081" t="s">
        <v>433</v>
      </c>
      <c r="C1081" t="s">
        <v>1599</v>
      </c>
      <c r="D1081" t="s">
        <v>2030</v>
      </c>
      <c r="E1081" s="138">
        <v>46.715191410224641</v>
      </c>
    </row>
    <row r="1082" spans="1:5" x14ac:dyDescent="0.25">
      <c r="A1082" t="s">
        <v>195</v>
      </c>
      <c r="B1082" t="s">
        <v>433</v>
      </c>
      <c r="C1082" t="s">
        <v>1600</v>
      </c>
      <c r="D1082" t="s">
        <v>2030</v>
      </c>
      <c r="E1082" s="138">
        <v>47.360471935599612</v>
      </c>
    </row>
    <row r="1083" spans="1:5" x14ac:dyDescent="0.25">
      <c r="A1083" t="s">
        <v>195</v>
      </c>
      <c r="B1083" t="s">
        <v>433</v>
      </c>
      <c r="C1083" t="s">
        <v>1601</v>
      </c>
      <c r="D1083" t="s">
        <v>2030</v>
      </c>
      <c r="E1083" s="138">
        <v>48.231000020525187</v>
      </c>
    </row>
    <row r="1084" spans="1:5" x14ac:dyDescent="0.25">
      <c r="A1084" t="s">
        <v>195</v>
      </c>
      <c r="B1084" t="s">
        <v>434</v>
      </c>
      <c r="C1084" t="s">
        <v>1602</v>
      </c>
      <c r="D1084" t="s">
        <v>2030</v>
      </c>
      <c r="E1084" s="138">
        <v>48.298416144148263</v>
      </c>
    </row>
    <row r="1085" spans="1:5" x14ac:dyDescent="0.25">
      <c r="A1085" t="s">
        <v>195</v>
      </c>
      <c r="B1085" t="s">
        <v>434</v>
      </c>
      <c r="C1085" t="s">
        <v>1603</v>
      </c>
      <c r="D1085" t="s">
        <v>2030</v>
      </c>
      <c r="E1085" s="138">
        <v>45.841923223752808</v>
      </c>
    </row>
    <row r="1086" spans="1:5" x14ac:dyDescent="0.25">
      <c r="A1086" t="s">
        <v>195</v>
      </c>
      <c r="B1086" t="s">
        <v>435</v>
      </c>
      <c r="C1086" t="s">
        <v>1604</v>
      </c>
      <c r="D1086" t="s">
        <v>2030</v>
      </c>
      <c r="E1086" s="138">
        <v>47.744048007077609</v>
      </c>
    </row>
    <row r="1087" spans="1:5" x14ac:dyDescent="0.25">
      <c r="A1087" t="s">
        <v>195</v>
      </c>
      <c r="B1087" t="s">
        <v>435</v>
      </c>
      <c r="C1087" t="s">
        <v>1605</v>
      </c>
      <c r="D1087" t="s">
        <v>2030</v>
      </c>
      <c r="E1087" s="138">
        <v>46.554323856485787</v>
      </c>
    </row>
    <row r="1088" spans="1:5" x14ac:dyDescent="0.25">
      <c r="A1088" t="s">
        <v>195</v>
      </c>
      <c r="B1088" t="s">
        <v>436</v>
      </c>
      <c r="C1088" t="s">
        <v>1606</v>
      </c>
      <c r="D1088" t="s">
        <v>2030</v>
      </c>
      <c r="E1088" s="138">
        <v>47.441602579937793</v>
      </c>
    </row>
    <row r="1089" spans="1:5" x14ac:dyDescent="0.25">
      <c r="A1089" t="s">
        <v>195</v>
      </c>
      <c r="B1089" t="s">
        <v>436</v>
      </c>
      <c r="C1089" t="s">
        <v>1607</v>
      </c>
      <c r="D1089" t="s">
        <v>2030</v>
      </c>
      <c r="E1089" s="138">
        <v>46.853106742425943</v>
      </c>
    </row>
    <row r="1090" spans="1:5" x14ac:dyDescent="0.25">
      <c r="A1090" t="s">
        <v>195</v>
      </c>
      <c r="B1090" t="s">
        <v>437</v>
      </c>
      <c r="C1090" t="s">
        <v>1608</v>
      </c>
      <c r="D1090" t="s">
        <v>2030</v>
      </c>
      <c r="E1090" s="138">
        <v>48.84204245223259</v>
      </c>
    </row>
    <row r="1091" spans="1:5" x14ac:dyDescent="0.25">
      <c r="A1091" t="s">
        <v>195</v>
      </c>
      <c r="B1091" t="s">
        <v>437</v>
      </c>
      <c r="C1091" t="s">
        <v>1609</v>
      </c>
      <c r="D1091" t="s">
        <v>2030</v>
      </c>
      <c r="E1091" s="138">
        <v>46.08525894772005</v>
      </c>
    </row>
    <row r="1092" spans="1:5" x14ac:dyDescent="0.25">
      <c r="A1092" t="s">
        <v>195</v>
      </c>
      <c r="B1092" t="s">
        <v>437</v>
      </c>
      <c r="C1092" t="s">
        <v>1610</v>
      </c>
      <c r="D1092" t="s">
        <v>2030</v>
      </c>
      <c r="E1092" s="138">
        <v>47.041301352285672</v>
      </c>
    </row>
    <row r="1093" spans="1:5" x14ac:dyDescent="0.25">
      <c r="A1093" t="s">
        <v>195</v>
      </c>
      <c r="B1093" t="s">
        <v>437</v>
      </c>
      <c r="C1093" t="s">
        <v>1611</v>
      </c>
      <c r="D1093" t="s">
        <v>2030</v>
      </c>
      <c r="E1093" s="138">
        <v>47.006877206776963</v>
      </c>
    </row>
    <row r="1094" spans="1:5" x14ac:dyDescent="0.25">
      <c r="A1094" t="s">
        <v>195</v>
      </c>
      <c r="B1094" t="s">
        <v>438</v>
      </c>
      <c r="C1094" t="s">
        <v>1612</v>
      </c>
      <c r="D1094" t="s">
        <v>2030</v>
      </c>
      <c r="E1094" s="138">
        <v>55.790150160367411</v>
      </c>
    </row>
    <row r="1095" spans="1:5" x14ac:dyDescent="0.25">
      <c r="A1095" t="s">
        <v>195</v>
      </c>
      <c r="B1095" t="s">
        <v>438</v>
      </c>
      <c r="C1095" t="s">
        <v>1613</v>
      </c>
      <c r="D1095" t="s">
        <v>2030</v>
      </c>
      <c r="E1095" s="138">
        <v>51.679104477611943</v>
      </c>
    </row>
    <row r="1096" spans="1:5" x14ac:dyDescent="0.25">
      <c r="A1096" t="s">
        <v>195</v>
      </c>
      <c r="B1096" t="s">
        <v>438</v>
      </c>
      <c r="C1096" t="s">
        <v>1614</v>
      </c>
      <c r="D1096" t="s">
        <v>2030</v>
      </c>
      <c r="E1096" s="138">
        <v>47.878787878787882</v>
      </c>
    </row>
    <row r="1097" spans="1:5" x14ac:dyDescent="0.25">
      <c r="A1097" t="s">
        <v>195</v>
      </c>
      <c r="B1097" t="s">
        <v>438</v>
      </c>
      <c r="C1097" t="s">
        <v>1615</v>
      </c>
      <c r="D1097" t="s">
        <v>2030</v>
      </c>
      <c r="E1097" s="138">
        <v>36.036512952372362</v>
      </c>
    </row>
    <row r="1098" spans="1:5" x14ac:dyDescent="0.25">
      <c r="A1098" t="s">
        <v>195</v>
      </c>
      <c r="B1098" t="s">
        <v>438</v>
      </c>
      <c r="C1098" t="s">
        <v>1616</v>
      </c>
      <c r="D1098" t="s">
        <v>2030</v>
      </c>
      <c r="E1098" s="138">
        <v>49.300062486614081</v>
      </c>
    </row>
    <row r="1099" spans="1:5" x14ac:dyDescent="0.25">
      <c r="A1099" t="s">
        <v>195</v>
      </c>
      <c r="B1099" t="s">
        <v>438</v>
      </c>
      <c r="C1099" t="s">
        <v>1617</v>
      </c>
      <c r="D1099" t="s">
        <v>2030</v>
      </c>
      <c r="E1099" s="138">
        <v>47.69560557341908</v>
      </c>
    </row>
    <row r="1100" spans="1:5" x14ac:dyDescent="0.25">
      <c r="A1100" t="s">
        <v>195</v>
      </c>
      <c r="B1100" t="s">
        <v>438</v>
      </c>
      <c r="C1100" t="s">
        <v>1618</v>
      </c>
      <c r="D1100" t="s">
        <v>2030</v>
      </c>
      <c r="E1100" s="138">
        <v>47.90654209895137</v>
      </c>
    </row>
    <row r="1101" spans="1:5" x14ac:dyDescent="0.25">
      <c r="A1101" t="s">
        <v>195</v>
      </c>
      <c r="B1101" t="s">
        <v>438</v>
      </c>
      <c r="C1101" t="s">
        <v>1619</v>
      </c>
      <c r="D1101" t="s">
        <v>2030</v>
      </c>
      <c r="E1101" s="138">
        <v>30.396475770925111</v>
      </c>
    </row>
    <row r="1102" spans="1:5" x14ac:dyDescent="0.25">
      <c r="A1102" t="s">
        <v>195</v>
      </c>
      <c r="B1102" t="s">
        <v>438</v>
      </c>
      <c r="C1102" t="s">
        <v>1620</v>
      </c>
      <c r="D1102" t="s">
        <v>2030</v>
      </c>
      <c r="E1102" s="138">
        <v>47.39205973892534</v>
      </c>
    </row>
    <row r="1103" spans="1:5" x14ac:dyDescent="0.25">
      <c r="A1103" t="s">
        <v>195</v>
      </c>
      <c r="B1103" t="s">
        <v>438</v>
      </c>
      <c r="C1103" t="s">
        <v>1621</v>
      </c>
      <c r="D1103" t="s">
        <v>2030</v>
      </c>
      <c r="E1103" s="138">
        <v>50.264284781823761</v>
      </c>
    </row>
    <row r="1104" spans="1:5" x14ac:dyDescent="0.25">
      <c r="A1104" t="s">
        <v>195</v>
      </c>
      <c r="B1104" t="s">
        <v>438</v>
      </c>
      <c r="C1104" t="s">
        <v>1622</v>
      </c>
      <c r="D1104" t="s">
        <v>2030</v>
      </c>
      <c r="E1104" s="138">
        <v>45.518453427065033</v>
      </c>
    </row>
    <row r="1105" spans="1:5" x14ac:dyDescent="0.25">
      <c r="A1105" t="s">
        <v>195</v>
      </c>
      <c r="B1105" t="s">
        <v>438</v>
      </c>
      <c r="C1105" t="s">
        <v>1623</v>
      </c>
      <c r="D1105" t="s">
        <v>2030</v>
      </c>
      <c r="E1105" s="138">
        <v>45.532375815321693</v>
      </c>
    </row>
    <row r="1106" spans="1:5" x14ac:dyDescent="0.25">
      <c r="A1106" t="s">
        <v>195</v>
      </c>
      <c r="B1106" t="s">
        <v>438</v>
      </c>
      <c r="C1106" t="s">
        <v>1624</v>
      </c>
      <c r="D1106" t="s">
        <v>2030</v>
      </c>
      <c r="E1106" s="138">
        <v>41.543340380549679</v>
      </c>
    </row>
    <row r="1107" spans="1:5" x14ac:dyDescent="0.25">
      <c r="A1107" t="s">
        <v>195</v>
      </c>
      <c r="B1107" t="s">
        <v>438</v>
      </c>
      <c r="C1107" t="s">
        <v>1625</v>
      </c>
      <c r="D1107" t="s">
        <v>2030</v>
      </c>
      <c r="E1107" s="138">
        <v>63.294538943598923</v>
      </c>
    </row>
    <row r="1108" spans="1:5" x14ac:dyDescent="0.25">
      <c r="A1108" t="s">
        <v>195</v>
      </c>
      <c r="B1108" t="s">
        <v>438</v>
      </c>
      <c r="C1108" t="s">
        <v>1626</v>
      </c>
      <c r="D1108" t="s">
        <v>2030</v>
      </c>
      <c r="E1108" s="138">
        <v>47.07771355170199</v>
      </c>
    </row>
    <row r="1109" spans="1:5" x14ac:dyDescent="0.25">
      <c r="A1109" t="s">
        <v>195</v>
      </c>
      <c r="B1109" t="s">
        <v>438</v>
      </c>
      <c r="C1109" t="s">
        <v>1627</v>
      </c>
      <c r="D1109" t="s">
        <v>2030</v>
      </c>
      <c r="E1109" s="138">
        <v>58.877137890108322</v>
      </c>
    </row>
    <row r="1110" spans="1:5" x14ac:dyDescent="0.25">
      <c r="A1110" t="s">
        <v>195</v>
      </c>
      <c r="B1110" t="s">
        <v>438</v>
      </c>
      <c r="C1110" t="s">
        <v>1628</v>
      </c>
      <c r="D1110" t="s">
        <v>2030</v>
      </c>
      <c r="E1110" s="138">
        <v>51.933216168717053</v>
      </c>
    </row>
    <row r="1111" spans="1:5" x14ac:dyDescent="0.25">
      <c r="A1111" t="s">
        <v>195</v>
      </c>
      <c r="B1111" t="s">
        <v>438</v>
      </c>
      <c r="C1111" t="s">
        <v>1629</v>
      </c>
      <c r="D1111" t="s">
        <v>2030</v>
      </c>
      <c r="E1111" s="138">
        <v>32.789699570815451</v>
      </c>
    </row>
    <row r="1112" spans="1:5" x14ac:dyDescent="0.25">
      <c r="A1112" t="s">
        <v>195</v>
      </c>
      <c r="B1112" t="s">
        <v>439</v>
      </c>
      <c r="C1112" t="s">
        <v>1630</v>
      </c>
      <c r="D1112" t="s">
        <v>2031</v>
      </c>
      <c r="E1112" s="138">
        <v>23.61248939653284</v>
      </c>
    </row>
    <row r="1113" spans="1:5" x14ac:dyDescent="0.25">
      <c r="A1113" t="s">
        <v>195</v>
      </c>
      <c r="B1113" t="s">
        <v>440</v>
      </c>
      <c r="C1113" t="s">
        <v>1631</v>
      </c>
      <c r="D1113" t="s">
        <v>2031</v>
      </c>
      <c r="E1113" s="138">
        <v>23.262875160180851</v>
      </c>
    </row>
    <row r="1114" spans="1:5" x14ac:dyDescent="0.25">
      <c r="A1114" t="s">
        <v>195</v>
      </c>
      <c r="B1114" t="s">
        <v>440</v>
      </c>
      <c r="C1114" t="s">
        <v>1632</v>
      </c>
      <c r="D1114" t="s">
        <v>2031</v>
      </c>
      <c r="E1114" s="138">
        <v>23.75924715339168</v>
      </c>
    </row>
    <row r="1115" spans="1:5" x14ac:dyDescent="0.25">
      <c r="A1115" t="s">
        <v>195</v>
      </c>
      <c r="B1115" t="s">
        <v>440</v>
      </c>
      <c r="C1115" t="s">
        <v>1633</v>
      </c>
      <c r="D1115" t="s">
        <v>2031</v>
      </c>
      <c r="E1115" s="138">
        <v>24.610567912233339</v>
      </c>
    </row>
    <row r="1116" spans="1:5" x14ac:dyDescent="0.25">
      <c r="A1116" t="s">
        <v>195</v>
      </c>
      <c r="B1116" t="s">
        <v>440</v>
      </c>
      <c r="C1116" t="s">
        <v>1634</v>
      </c>
      <c r="D1116" t="s">
        <v>2031</v>
      </c>
      <c r="E1116" s="138">
        <v>21.770272304663891</v>
      </c>
    </row>
    <row r="1117" spans="1:5" x14ac:dyDescent="0.25">
      <c r="A1117" t="s">
        <v>195</v>
      </c>
      <c r="B1117" t="s">
        <v>441</v>
      </c>
      <c r="C1117" t="s">
        <v>1635</v>
      </c>
      <c r="D1117" t="s">
        <v>2031</v>
      </c>
      <c r="E1117" s="138">
        <v>27.052202506450641</v>
      </c>
    </row>
    <row r="1118" spans="1:5" x14ac:dyDescent="0.25">
      <c r="A1118" t="s">
        <v>195</v>
      </c>
      <c r="B1118" t="s">
        <v>441</v>
      </c>
      <c r="C1118" t="s">
        <v>1636</v>
      </c>
      <c r="D1118" t="s">
        <v>2031</v>
      </c>
      <c r="E1118" s="138">
        <v>22.827107068108951</v>
      </c>
    </row>
    <row r="1119" spans="1:5" x14ac:dyDescent="0.25">
      <c r="A1119" t="s">
        <v>195</v>
      </c>
      <c r="B1119" t="s">
        <v>441</v>
      </c>
      <c r="C1119" t="s">
        <v>1637</v>
      </c>
      <c r="D1119" t="s">
        <v>2031</v>
      </c>
      <c r="E1119" s="138">
        <v>22.417003687310739</v>
      </c>
    </row>
    <row r="1120" spans="1:5" x14ac:dyDescent="0.25">
      <c r="A1120" t="s">
        <v>195</v>
      </c>
      <c r="B1120" t="s">
        <v>441</v>
      </c>
      <c r="C1120" t="s">
        <v>1638</v>
      </c>
      <c r="D1120" t="s">
        <v>2031</v>
      </c>
      <c r="E1120" s="138">
        <v>23.42042548000865</v>
      </c>
    </row>
    <row r="1121" spans="1:5" x14ac:dyDescent="0.25">
      <c r="A1121" t="s">
        <v>195</v>
      </c>
      <c r="B1121" t="s">
        <v>442</v>
      </c>
      <c r="C1121" t="s">
        <v>1639</v>
      </c>
      <c r="D1121" t="s">
        <v>2031</v>
      </c>
      <c r="E1121" s="138">
        <v>22.801179358173169</v>
      </c>
    </row>
    <row r="1122" spans="1:5" x14ac:dyDescent="0.25">
      <c r="A1122" t="s">
        <v>195</v>
      </c>
      <c r="B1122" t="s">
        <v>442</v>
      </c>
      <c r="C1122" t="s">
        <v>1640</v>
      </c>
      <c r="D1122" t="s">
        <v>2031</v>
      </c>
      <c r="E1122" s="138">
        <v>24.45476574616081</v>
      </c>
    </row>
    <row r="1123" spans="1:5" x14ac:dyDescent="0.25">
      <c r="A1123" t="s">
        <v>195</v>
      </c>
      <c r="B1123" t="s">
        <v>443</v>
      </c>
      <c r="C1123" t="s">
        <v>1641</v>
      </c>
      <c r="D1123" t="s">
        <v>2031</v>
      </c>
      <c r="E1123" s="138">
        <v>23.866973179916929</v>
      </c>
    </row>
    <row r="1124" spans="1:5" x14ac:dyDescent="0.25">
      <c r="A1124" t="s">
        <v>195</v>
      </c>
      <c r="B1124" t="s">
        <v>443</v>
      </c>
      <c r="C1124" t="s">
        <v>1642</v>
      </c>
      <c r="D1124" t="s">
        <v>2031</v>
      </c>
      <c r="E1124" s="138">
        <v>23.45446993752876</v>
      </c>
    </row>
    <row r="1125" spans="1:5" x14ac:dyDescent="0.25">
      <c r="A1125" t="s">
        <v>195</v>
      </c>
      <c r="B1125" t="s">
        <v>444</v>
      </c>
      <c r="C1125" t="s">
        <v>1643</v>
      </c>
      <c r="D1125" t="s">
        <v>2031</v>
      </c>
      <c r="E1125" s="138">
        <v>23.316004880737939</v>
      </c>
    </row>
    <row r="1126" spans="1:5" x14ac:dyDescent="0.25">
      <c r="A1126" t="s">
        <v>195</v>
      </c>
      <c r="B1126" t="s">
        <v>444</v>
      </c>
      <c r="C1126" t="s">
        <v>1644</v>
      </c>
      <c r="D1126" t="s">
        <v>2031</v>
      </c>
      <c r="E1126" s="138">
        <v>23.763822779372589</v>
      </c>
    </row>
    <row r="1127" spans="1:5" x14ac:dyDescent="0.25">
      <c r="A1127" t="s">
        <v>195</v>
      </c>
      <c r="B1127" t="s">
        <v>445</v>
      </c>
      <c r="C1127" t="s">
        <v>1645</v>
      </c>
      <c r="D1127" t="s">
        <v>2031</v>
      </c>
      <c r="E1127" s="138">
        <v>22.417360260091488</v>
      </c>
    </row>
    <row r="1128" spans="1:5" x14ac:dyDescent="0.25">
      <c r="A1128" t="s">
        <v>195</v>
      </c>
      <c r="B1128" t="s">
        <v>445</v>
      </c>
      <c r="C1128" t="s">
        <v>1646</v>
      </c>
      <c r="D1128" t="s">
        <v>2031</v>
      </c>
      <c r="E1128" s="138">
        <v>23.6814791319586</v>
      </c>
    </row>
    <row r="1129" spans="1:5" x14ac:dyDescent="0.25">
      <c r="A1129" t="s">
        <v>195</v>
      </c>
      <c r="B1129" t="s">
        <v>445</v>
      </c>
      <c r="C1129" t="s">
        <v>1647</v>
      </c>
      <c r="D1129" t="s">
        <v>2031</v>
      </c>
      <c r="E1129" s="138">
        <v>23.822138493422411</v>
      </c>
    </row>
    <row r="1130" spans="1:5" x14ac:dyDescent="0.25">
      <c r="A1130" t="s">
        <v>195</v>
      </c>
      <c r="B1130" t="s">
        <v>445</v>
      </c>
      <c r="C1130" t="s">
        <v>1648</v>
      </c>
      <c r="D1130" t="s">
        <v>2031</v>
      </c>
      <c r="E1130" s="138">
        <v>21.584899885971861</v>
      </c>
    </row>
    <row r="1131" spans="1:5" x14ac:dyDescent="0.25">
      <c r="A1131" t="s">
        <v>195</v>
      </c>
      <c r="B1131" t="s">
        <v>446</v>
      </c>
      <c r="C1131" t="s">
        <v>1649</v>
      </c>
      <c r="D1131" t="s">
        <v>2031</v>
      </c>
      <c r="E1131" s="138">
        <v>23.468386353712969</v>
      </c>
    </row>
    <row r="1132" spans="1:5" x14ac:dyDescent="0.25">
      <c r="A1132" t="s">
        <v>195</v>
      </c>
      <c r="B1132" t="s">
        <v>446</v>
      </c>
      <c r="C1132" t="s">
        <v>1650</v>
      </c>
      <c r="D1132" t="s">
        <v>2031</v>
      </c>
      <c r="E1132" s="138">
        <v>33.768656716417908</v>
      </c>
    </row>
    <row r="1133" spans="1:5" x14ac:dyDescent="0.25">
      <c r="A1133" t="s">
        <v>195</v>
      </c>
      <c r="B1133" t="s">
        <v>446</v>
      </c>
      <c r="C1133" t="s">
        <v>1651</v>
      </c>
      <c r="D1133" t="s">
        <v>2031</v>
      </c>
      <c r="E1133" s="138">
        <v>16.88311688311688</v>
      </c>
    </row>
    <row r="1134" spans="1:5" x14ac:dyDescent="0.25">
      <c r="A1134" t="s">
        <v>195</v>
      </c>
      <c r="B1134" t="s">
        <v>446</v>
      </c>
      <c r="C1134" t="s">
        <v>1652</v>
      </c>
      <c r="D1134" t="s">
        <v>2031</v>
      </c>
      <c r="E1134" s="138">
        <v>8.8218985970990786</v>
      </c>
    </row>
    <row r="1135" spans="1:5" x14ac:dyDescent="0.25">
      <c r="A1135" t="s">
        <v>195</v>
      </c>
      <c r="B1135" t="s">
        <v>446</v>
      </c>
      <c r="C1135" t="s">
        <v>1653</v>
      </c>
      <c r="D1135" t="s">
        <v>2031</v>
      </c>
      <c r="E1135" s="138">
        <v>13.740815779257989</v>
      </c>
    </row>
    <row r="1136" spans="1:5" x14ac:dyDescent="0.25">
      <c r="A1136" t="s">
        <v>195</v>
      </c>
      <c r="B1136" t="s">
        <v>446</v>
      </c>
      <c r="C1136" t="s">
        <v>1654</v>
      </c>
      <c r="D1136" t="s">
        <v>2031</v>
      </c>
      <c r="E1136" s="138">
        <v>13.5048231511254</v>
      </c>
    </row>
    <row r="1137" spans="1:5" x14ac:dyDescent="0.25">
      <c r="A1137" t="s">
        <v>195</v>
      </c>
      <c r="B1137" t="s">
        <v>446</v>
      </c>
      <c r="C1137" t="s">
        <v>1655</v>
      </c>
      <c r="D1137" t="s">
        <v>2031</v>
      </c>
      <c r="E1137" s="138">
        <v>24.421941525037852</v>
      </c>
    </row>
    <row r="1138" spans="1:5" x14ac:dyDescent="0.25">
      <c r="A1138" t="s">
        <v>195</v>
      </c>
      <c r="B1138" t="s">
        <v>446</v>
      </c>
      <c r="C1138" t="s">
        <v>1656</v>
      </c>
      <c r="D1138" t="s">
        <v>2031</v>
      </c>
      <c r="E1138" s="138">
        <v>53.480176211453752</v>
      </c>
    </row>
    <row r="1139" spans="1:5" x14ac:dyDescent="0.25">
      <c r="A1139" t="s">
        <v>195</v>
      </c>
      <c r="B1139" t="s">
        <v>446</v>
      </c>
      <c r="C1139" t="s">
        <v>1657</v>
      </c>
      <c r="D1139" t="s">
        <v>2031</v>
      </c>
      <c r="E1139" s="138">
        <v>20.530226135244011</v>
      </c>
    </row>
    <row r="1140" spans="1:5" x14ac:dyDescent="0.25">
      <c r="A1140" t="s">
        <v>195</v>
      </c>
      <c r="B1140" t="s">
        <v>446</v>
      </c>
      <c r="C1140" t="s">
        <v>1658</v>
      </c>
      <c r="D1140" t="s">
        <v>2031</v>
      </c>
      <c r="E1140" s="138">
        <v>10.611508152048209</v>
      </c>
    </row>
    <row r="1141" spans="1:5" x14ac:dyDescent="0.25">
      <c r="A1141" t="s">
        <v>195</v>
      </c>
      <c r="B1141" t="s">
        <v>446</v>
      </c>
      <c r="C1141" t="s">
        <v>1659</v>
      </c>
      <c r="D1141" t="s">
        <v>2031</v>
      </c>
      <c r="E1141" s="138">
        <v>17.135325131810191</v>
      </c>
    </row>
    <row r="1142" spans="1:5" x14ac:dyDescent="0.25">
      <c r="A1142" t="s">
        <v>195</v>
      </c>
      <c r="B1142" t="s">
        <v>446</v>
      </c>
      <c r="C1142" t="s">
        <v>1660</v>
      </c>
      <c r="D1142" t="s">
        <v>2031</v>
      </c>
      <c r="E1142" s="138">
        <v>39.511922646686529</v>
      </c>
    </row>
    <row r="1143" spans="1:5" x14ac:dyDescent="0.25">
      <c r="A1143" t="s">
        <v>195</v>
      </c>
      <c r="B1143" t="s">
        <v>446</v>
      </c>
      <c r="C1143" t="s">
        <v>1661</v>
      </c>
      <c r="D1143" t="s">
        <v>2031</v>
      </c>
      <c r="E1143" s="138">
        <v>29.70401691331924</v>
      </c>
    </row>
    <row r="1144" spans="1:5" x14ac:dyDescent="0.25">
      <c r="A1144" t="s">
        <v>195</v>
      </c>
      <c r="B1144" t="s">
        <v>446</v>
      </c>
      <c r="C1144" t="s">
        <v>1662</v>
      </c>
      <c r="D1144" t="s">
        <v>2031</v>
      </c>
      <c r="E1144" s="138">
        <v>16.830796777081471</v>
      </c>
    </row>
    <row r="1145" spans="1:5" x14ac:dyDescent="0.25">
      <c r="A1145" t="s">
        <v>195</v>
      </c>
      <c r="B1145" t="s">
        <v>446</v>
      </c>
      <c r="C1145" t="s">
        <v>1663</v>
      </c>
      <c r="D1145" t="s">
        <v>2031</v>
      </c>
      <c r="E1145" s="138">
        <v>8.8417897666452578</v>
      </c>
    </row>
    <row r="1146" spans="1:5" x14ac:dyDescent="0.25">
      <c r="A1146" t="s">
        <v>195</v>
      </c>
      <c r="B1146" t="s">
        <v>446</v>
      </c>
      <c r="C1146" t="s">
        <v>1664</v>
      </c>
      <c r="D1146" t="s">
        <v>2031</v>
      </c>
      <c r="E1146" s="138">
        <v>26.95663272799456</v>
      </c>
    </row>
    <row r="1147" spans="1:5" x14ac:dyDescent="0.25">
      <c r="A1147" t="s">
        <v>195</v>
      </c>
      <c r="B1147" t="s">
        <v>446</v>
      </c>
      <c r="C1147" t="s">
        <v>1665</v>
      </c>
      <c r="D1147" t="s">
        <v>2031</v>
      </c>
      <c r="E1147" s="138">
        <v>33.743409490333917</v>
      </c>
    </row>
    <row r="1148" spans="1:5" x14ac:dyDescent="0.25">
      <c r="A1148" t="s">
        <v>195</v>
      </c>
      <c r="B1148" t="s">
        <v>446</v>
      </c>
      <c r="C1148" t="s">
        <v>1666</v>
      </c>
      <c r="D1148" t="s">
        <v>2031</v>
      </c>
      <c r="E1148" s="138">
        <v>34.849785407725321</v>
      </c>
    </row>
    <row r="1149" spans="1:5" x14ac:dyDescent="0.25">
      <c r="A1149" t="s">
        <v>195</v>
      </c>
      <c r="B1149" t="s">
        <v>447</v>
      </c>
      <c r="C1149" t="s">
        <v>1667</v>
      </c>
      <c r="D1149" t="s">
        <v>2032</v>
      </c>
      <c r="E1149" s="138">
        <v>3.3499806746148351</v>
      </c>
    </row>
    <row r="1150" spans="1:5" x14ac:dyDescent="0.25">
      <c r="A1150" t="s">
        <v>195</v>
      </c>
      <c r="B1150" t="s">
        <v>448</v>
      </c>
      <c r="C1150" t="s">
        <v>1668</v>
      </c>
      <c r="D1150" t="s">
        <v>2032</v>
      </c>
      <c r="E1150" s="138">
        <v>3.2126559635691931</v>
      </c>
    </row>
    <row r="1151" spans="1:5" x14ac:dyDescent="0.25">
      <c r="A1151" t="s">
        <v>195</v>
      </c>
      <c r="B1151" t="s">
        <v>448</v>
      </c>
      <c r="C1151" t="s">
        <v>1669</v>
      </c>
      <c r="D1151" t="s">
        <v>2032</v>
      </c>
      <c r="E1151" s="138">
        <v>3.4422079392242009</v>
      </c>
    </row>
    <row r="1152" spans="1:5" x14ac:dyDescent="0.25">
      <c r="A1152" t="s">
        <v>195</v>
      </c>
      <c r="B1152" t="s">
        <v>448</v>
      </c>
      <c r="C1152" t="s">
        <v>1670</v>
      </c>
      <c r="D1152" t="s">
        <v>2032</v>
      </c>
      <c r="E1152" s="138">
        <v>3.2879662267072169</v>
      </c>
    </row>
    <row r="1153" spans="1:5" x14ac:dyDescent="0.25">
      <c r="A1153" t="s">
        <v>195</v>
      </c>
      <c r="B1153" t="s">
        <v>448</v>
      </c>
      <c r="C1153" t="s">
        <v>1671</v>
      </c>
      <c r="D1153" t="s">
        <v>2032</v>
      </c>
      <c r="E1153" s="138">
        <v>3.4063147802143039</v>
      </c>
    </row>
    <row r="1154" spans="1:5" x14ac:dyDescent="0.25">
      <c r="A1154" t="s">
        <v>195</v>
      </c>
      <c r="B1154" t="s">
        <v>449</v>
      </c>
      <c r="C1154" t="s">
        <v>1672</v>
      </c>
      <c r="D1154" t="s">
        <v>2032</v>
      </c>
      <c r="E1154" s="138">
        <v>3.209135925088185</v>
      </c>
    </row>
    <row r="1155" spans="1:5" x14ac:dyDescent="0.25">
      <c r="A1155" t="s">
        <v>195</v>
      </c>
      <c r="B1155" t="s">
        <v>449</v>
      </c>
      <c r="C1155" t="s">
        <v>1673</v>
      </c>
      <c r="D1155" t="s">
        <v>2032</v>
      </c>
      <c r="E1155" s="138">
        <v>3.524674322499616</v>
      </c>
    </row>
    <row r="1156" spans="1:5" x14ac:dyDescent="0.25">
      <c r="A1156" t="s">
        <v>195</v>
      </c>
      <c r="B1156" t="s">
        <v>449</v>
      </c>
      <c r="C1156" t="s">
        <v>1674</v>
      </c>
      <c r="D1156" t="s">
        <v>2032</v>
      </c>
      <c r="E1156" s="138">
        <v>3.223288142750516</v>
      </c>
    </row>
    <row r="1157" spans="1:5" x14ac:dyDescent="0.25">
      <c r="A1157" t="s">
        <v>195</v>
      </c>
      <c r="B1157" t="s">
        <v>449</v>
      </c>
      <c r="C1157" t="s">
        <v>1675</v>
      </c>
      <c r="D1157" t="s">
        <v>2032</v>
      </c>
      <c r="E1157" s="138">
        <v>3.4091597818593291</v>
      </c>
    </row>
    <row r="1158" spans="1:5" x14ac:dyDescent="0.25">
      <c r="A1158" t="s">
        <v>195</v>
      </c>
      <c r="B1158" t="s">
        <v>450</v>
      </c>
      <c r="C1158" t="s">
        <v>1676</v>
      </c>
      <c r="D1158" t="s">
        <v>2032</v>
      </c>
      <c r="E1158" s="138">
        <v>3.166627719060505</v>
      </c>
    </row>
    <row r="1159" spans="1:5" x14ac:dyDescent="0.25">
      <c r="A1159" t="s">
        <v>195</v>
      </c>
      <c r="B1159" t="s">
        <v>450</v>
      </c>
      <c r="C1159" t="s">
        <v>1677</v>
      </c>
      <c r="D1159" t="s">
        <v>2032</v>
      </c>
      <c r="E1159" s="138">
        <v>3.5403318976935498</v>
      </c>
    </row>
    <row r="1160" spans="1:5" x14ac:dyDescent="0.25">
      <c r="A1160" t="s">
        <v>195</v>
      </c>
      <c r="B1160" t="s">
        <v>451</v>
      </c>
      <c r="C1160" t="s">
        <v>1678</v>
      </c>
      <c r="D1160" t="s">
        <v>2032</v>
      </c>
      <c r="E1160" s="138">
        <v>3.4615079581826871</v>
      </c>
    </row>
    <row r="1161" spans="1:5" x14ac:dyDescent="0.25">
      <c r="A1161" t="s">
        <v>195</v>
      </c>
      <c r="B1161" t="s">
        <v>451</v>
      </c>
      <c r="C1161" t="s">
        <v>1679</v>
      </c>
      <c r="D1161" t="s">
        <v>2032</v>
      </c>
      <c r="E1161" s="138">
        <v>3.2753283097108041</v>
      </c>
    </row>
    <row r="1162" spans="1:5" x14ac:dyDescent="0.25">
      <c r="A1162" t="s">
        <v>195</v>
      </c>
      <c r="B1162" t="s">
        <v>452</v>
      </c>
      <c r="C1162" t="s">
        <v>1680</v>
      </c>
      <c r="D1162" t="s">
        <v>2032</v>
      </c>
      <c r="E1162" s="138">
        <v>3.0319975518909148</v>
      </c>
    </row>
    <row r="1163" spans="1:5" x14ac:dyDescent="0.25">
      <c r="A1163" t="s">
        <v>195</v>
      </c>
      <c r="B1163" t="s">
        <v>452</v>
      </c>
      <c r="C1163" t="s">
        <v>1681</v>
      </c>
      <c r="D1163" t="s">
        <v>2032</v>
      </c>
      <c r="E1163" s="138">
        <v>3.499829459936338</v>
      </c>
    </row>
    <row r="1164" spans="1:5" x14ac:dyDescent="0.25">
      <c r="A1164" t="s">
        <v>195</v>
      </c>
      <c r="B1164" t="s">
        <v>453</v>
      </c>
      <c r="C1164" t="s">
        <v>1682</v>
      </c>
      <c r="D1164" t="s">
        <v>2032</v>
      </c>
      <c r="E1164" s="138">
        <v>1.914473124394247</v>
      </c>
    </row>
    <row r="1165" spans="1:5" x14ac:dyDescent="0.25">
      <c r="A1165" t="s">
        <v>195</v>
      </c>
      <c r="B1165" t="s">
        <v>453</v>
      </c>
      <c r="C1165" t="s">
        <v>1683</v>
      </c>
      <c r="D1165" t="s">
        <v>2032</v>
      </c>
      <c r="E1165" s="138">
        <v>3.6002893676587</v>
      </c>
    </row>
    <row r="1166" spans="1:5" x14ac:dyDescent="0.25">
      <c r="A1166" t="s">
        <v>195</v>
      </c>
      <c r="B1166" t="s">
        <v>453</v>
      </c>
      <c r="C1166" t="s">
        <v>1684</v>
      </c>
      <c r="D1166" t="s">
        <v>2032</v>
      </c>
      <c r="E1166" s="138">
        <v>3.3686629475989829</v>
      </c>
    </row>
    <row r="1167" spans="1:5" x14ac:dyDescent="0.25">
      <c r="A1167" t="s">
        <v>195</v>
      </c>
      <c r="B1167" t="s">
        <v>453</v>
      </c>
      <c r="C1167" t="s">
        <v>1685</v>
      </c>
      <c r="D1167" t="s">
        <v>2032</v>
      </c>
      <c r="E1167" s="138">
        <v>3.3302485613887178</v>
      </c>
    </row>
    <row r="1168" spans="1:5" x14ac:dyDescent="0.25">
      <c r="A1168" t="s">
        <v>195</v>
      </c>
      <c r="B1168" t="s">
        <v>454</v>
      </c>
      <c r="C1168" t="s">
        <v>1686</v>
      </c>
      <c r="D1168" t="s">
        <v>2032</v>
      </c>
      <c r="E1168" s="138">
        <v>1.492169739088028</v>
      </c>
    </row>
    <row r="1169" spans="1:5" x14ac:dyDescent="0.25">
      <c r="A1169" t="s">
        <v>195</v>
      </c>
      <c r="B1169" t="s">
        <v>454</v>
      </c>
      <c r="C1169" t="s">
        <v>1687</v>
      </c>
      <c r="D1169" t="s">
        <v>2032</v>
      </c>
      <c r="E1169" s="138">
        <v>2.7985074626865671</v>
      </c>
    </row>
    <row r="1170" spans="1:5" x14ac:dyDescent="0.25">
      <c r="A1170" t="s">
        <v>195</v>
      </c>
      <c r="B1170" t="s">
        <v>454</v>
      </c>
      <c r="C1170" t="s">
        <v>1688</v>
      </c>
      <c r="D1170" t="s">
        <v>2032</v>
      </c>
      <c r="E1170" s="138">
        <v>2.164502164502164</v>
      </c>
    </row>
    <row r="1171" spans="1:5" x14ac:dyDescent="0.25">
      <c r="A1171" t="s">
        <v>195</v>
      </c>
      <c r="B1171" t="s">
        <v>454</v>
      </c>
      <c r="C1171" t="s">
        <v>1689</v>
      </c>
      <c r="D1171" t="s">
        <v>2032</v>
      </c>
      <c r="E1171" s="138">
        <v>1.669891536378094</v>
      </c>
    </row>
    <row r="1172" spans="1:5" x14ac:dyDescent="0.25">
      <c r="A1172" t="s">
        <v>195</v>
      </c>
      <c r="B1172" t="s">
        <v>454</v>
      </c>
      <c r="C1172" t="s">
        <v>1690</v>
      </c>
      <c r="D1172" t="s">
        <v>2032</v>
      </c>
      <c r="E1172" s="138">
        <v>0.87528797449737961</v>
      </c>
    </row>
    <row r="1173" spans="1:5" x14ac:dyDescent="0.25">
      <c r="A1173" t="s">
        <v>195</v>
      </c>
      <c r="B1173" t="s">
        <v>454</v>
      </c>
      <c r="C1173" t="s">
        <v>1691</v>
      </c>
      <c r="D1173" t="s">
        <v>2032</v>
      </c>
      <c r="E1173" s="138">
        <v>2.357984994640943</v>
      </c>
    </row>
    <row r="1174" spans="1:5" x14ac:dyDescent="0.25">
      <c r="A1174" t="s">
        <v>195</v>
      </c>
      <c r="B1174" t="s">
        <v>454</v>
      </c>
      <c r="C1174" t="s">
        <v>1692</v>
      </c>
      <c r="D1174" t="s">
        <v>2032</v>
      </c>
      <c r="E1174" s="138">
        <v>2.9665975201160948</v>
      </c>
    </row>
    <row r="1175" spans="1:5" x14ac:dyDescent="0.25">
      <c r="A1175" t="s">
        <v>195</v>
      </c>
      <c r="B1175" t="s">
        <v>454</v>
      </c>
      <c r="C1175" t="s">
        <v>1693</v>
      </c>
      <c r="D1175" t="s">
        <v>2032</v>
      </c>
      <c r="E1175" s="138">
        <v>7.8414096916299556</v>
      </c>
    </row>
    <row r="1176" spans="1:5" x14ac:dyDescent="0.25">
      <c r="A1176" t="s">
        <v>195</v>
      </c>
      <c r="B1176" t="s">
        <v>454</v>
      </c>
      <c r="C1176" t="s">
        <v>1694</v>
      </c>
      <c r="D1176" t="s">
        <v>2032</v>
      </c>
      <c r="E1176" s="138">
        <v>3.2158870695252411</v>
      </c>
    </row>
    <row r="1177" spans="1:5" x14ac:dyDescent="0.25">
      <c r="A1177" t="s">
        <v>195</v>
      </c>
      <c r="B1177" t="s">
        <v>454</v>
      </c>
      <c r="C1177" t="s">
        <v>1695</v>
      </c>
      <c r="D1177" t="s">
        <v>2032</v>
      </c>
      <c r="E1177" s="138">
        <v>2.3366782865193341</v>
      </c>
    </row>
    <row r="1178" spans="1:5" x14ac:dyDescent="0.25">
      <c r="A1178" t="s">
        <v>195</v>
      </c>
      <c r="B1178" t="s">
        <v>454</v>
      </c>
      <c r="C1178" t="s">
        <v>1696</v>
      </c>
      <c r="D1178" t="s">
        <v>2032</v>
      </c>
      <c r="E1178" s="138">
        <v>2.8998242530755709</v>
      </c>
    </row>
    <row r="1179" spans="1:5" x14ac:dyDescent="0.25">
      <c r="A1179" t="s">
        <v>195</v>
      </c>
      <c r="B1179" t="s">
        <v>454</v>
      </c>
      <c r="C1179" t="s">
        <v>1697</v>
      </c>
      <c r="D1179" t="s">
        <v>2032</v>
      </c>
      <c r="E1179" s="138">
        <v>5.5383737950592504</v>
      </c>
    </row>
    <row r="1180" spans="1:5" x14ac:dyDescent="0.25">
      <c r="A1180" t="s">
        <v>195</v>
      </c>
      <c r="B1180" t="s">
        <v>454</v>
      </c>
      <c r="C1180" t="s">
        <v>1698</v>
      </c>
      <c r="D1180" t="s">
        <v>2032</v>
      </c>
      <c r="E1180" s="138">
        <v>7.0824524312896404</v>
      </c>
    </row>
    <row r="1181" spans="1:5" x14ac:dyDescent="0.25">
      <c r="A1181" t="s">
        <v>195</v>
      </c>
      <c r="B1181" t="s">
        <v>454</v>
      </c>
      <c r="C1181" t="s">
        <v>1699</v>
      </c>
      <c r="D1181" t="s">
        <v>2032</v>
      </c>
      <c r="E1181" s="138">
        <v>1.1638316920322289</v>
      </c>
    </row>
    <row r="1182" spans="1:5" x14ac:dyDescent="0.25">
      <c r="A1182" t="s">
        <v>195</v>
      </c>
      <c r="B1182" t="s">
        <v>454</v>
      </c>
      <c r="C1182" t="s">
        <v>1700</v>
      </c>
      <c r="D1182" t="s">
        <v>2032</v>
      </c>
      <c r="E1182" s="138">
        <v>0.94198244487261829</v>
      </c>
    </row>
    <row r="1183" spans="1:5" x14ac:dyDescent="0.25">
      <c r="A1183" t="s">
        <v>195</v>
      </c>
      <c r="B1183" t="s">
        <v>454</v>
      </c>
      <c r="C1183" t="s">
        <v>1701</v>
      </c>
      <c r="D1183" t="s">
        <v>2032</v>
      </c>
      <c r="E1183" s="138">
        <v>3.1304859613058889</v>
      </c>
    </row>
    <row r="1184" spans="1:5" x14ac:dyDescent="0.25">
      <c r="A1184" t="s">
        <v>195</v>
      </c>
      <c r="B1184" t="s">
        <v>454</v>
      </c>
      <c r="C1184" t="s">
        <v>1702</v>
      </c>
      <c r="D1184" t="s">
        <v>2032</v>
      </c>
      <c r="E1184" s="138">
        <v>2.8119507908611601</v>
      </c>
    </row>
    <row r="1185" spans="1:5" x14ac:dyDescent="0.25">
      <c r="A1185" t="s">
        <v>195</v>
      </c>
      <c r="B1185" t="s">
        <v>454</v>
      </c>
      <c r="C1185" t="s">
        <v>1703</v>
      </c>
      <c r="D1185" t="s">
        <v>2032</v>
      </c>
      <c r="E1185" s="138">
        <v>9.5278969957081543</v>
      </c>
    </row>
    <row r="1186" spans="1:5" x14ac:dyDescent="0.25">
      <c r="A1186" t="s">
        <v>196</v>
      </c>
      <c r="B1186" t="s">
        <v>455</v>
      </c>
      <c r="C1186" t="s">
        <v>1704</v>
      </c>
      <c r="D1186" t="s">
        <v>2033</v>
      </c>
      <c r="E1186" s="138">
        <v>26.252865003911332</v>
      </c>
    </row>
    <row r="1187" spans="1:5" x14ac:dyDescent="0.25">
      <c r="A1187" t="s">
        <v>196</v>
      </c>
      <c r="B1187" t="s">
        <v>456</v>
      </c>
      <c r="C1187" t="s">
        <v>1705</v>
      </c>
      <c r="D1187" t="s">
        <v>2033</v>
      </c>
      <c r="E1187" s="138">
        <v>27.210549255459721</v>
      </c>
    </row>
    <row r="1188" spans="1:5" x14ac:dyDescent="0.25">
      <c r="A1188" t="s">
        <v>196</v>
      </c>
      <c r="B1188" t="s">
        <v>456</v>
      </c>
      <c r="C1188" t="s">
        <v>1706</v>
      </c>
      <c r="D1188" t="s">
        <v>2033</v>
      </c>
      <c r="E1188" s="138">
        <v>25.205729872360131</v>
      </c>
    </row>
    <row r="1189" spans="1:5" x14ac:dyDescent="0.25">
      <c r="A1189" t="s">
        <v>196</v>
      </c>
      <c r="B1189" t="s">
        <v>456</v>
      </c>
      <c r="C1189" t="s">
        <v>1707</v>
      </c>
      <c r="D1189" t="s">
        <v>2033</v>
      </c>
      <c r="E1189" s="138">
        <v>24.757245307138952</v>
      </c>
    </row>
    <row r="1190" spans="1:5" x14ac:dyDescent="0.25">
      <c r="A1190" t="s">
        <v>196</v>
      </c>
      <c r="B1190" t="s">
        <v>456</v>
      </c>
      <c r="C1190" t="s">
        <v>1708</v>
      </c>
      <c r="D1190" t="s">
        <v>2033</v>
      </c>
      <c r="E1190" s="138">
        <v>30.89063403342232</v>
      </c>
    </row>
    <row r="1191" spans="1:5" x14ac:dyDescent="0.25">
      <c r="A1191" t="s">
        <v>196</v>
      </c>
      <c r="B1191" t="s">
        <v>457</v>
      </c>
      <c r="C1191" t="s">
        <v>1709</v>
      </c>
      <c r="D1191" t="s">
        <v>2033</v>
      </c>
      <c r="E1191" s="138">
        <v>23.888878047254831</v>
      </c>
    </row>
    <row r="1192" spans="1:5" x14ac:dyDescent="0.25">
      <c r="A1192" t="s">
        <v>196</v>
      </c>
      <c r="B1192" t="s">
        <v>457</v>
      </c>
      <c r="C1192" t="s">
        <v>1710</v>
      </c>
      <c r="D1192" t="s">
        <v>2033</v>
      </c>
      <c r="E1192" s="138">
        <v>26.881083993597588</v>
      </c>
    </row>
    <row r="1193" spans="1:5" x14ac:dyDescent="0.25">
      <c r="A1193" t="s">
        <v>196</v>
      </c>
      <c r="B1193" t="s">
        <v>457</v>
      </c>
      <c r="C1193" t="s">
        <v>1711</v>
      </c>
      <c r="D1193" t="s">
        <v>2033</v>
      </c>
      <c r="E1193" s="138">
        <v>27.055838280344901</v>
      </c>
    </row>
    <row r="1194" spans="1:5" x14ac:dyDescent="0.25">
      <c r="A1194" t="s">
        <v>196</v>
      </c>
      <c r="B1194" t="s">
        <v>457</v>
      </c>
      <c r="C1194" t="s">
        <v>1712</v>
      </c>
      <c r="D1194" t="s">
        <v>2033</v>
      </c>
      <c r="E1194" s="138">
        <v>25.85240860390395</v>
      </c>
    </row>
    <row r="1195" spans="1:5" x14ac:dyDescent="0.25">
      <c r="A1195" t="s">
        <v>196</v>
      </c>
      <c r="B1195" t="s">
        <v>458</v>
      </c>
      <c r="C1195" t="s">
        <v>1713</v>
      </c>
      <c r="D1195" t="s">
        <v>2033</v>
      </c>
      <c r="E1195" s="138">
        <v>26.071373238644071</v>
      </c>
    </row>
    <row r="1196" spans="1:5" x14ac:dyDescent="0.25">
      <c r="A1196" t="s">
        <v>196</v>
      </c>
      <c r="B1196" t="s">
        <v>458</v>
      </c>
      <c r="C1196" t="s">
        <v>1714</v>
      </c>
      <c r="D1196" t="s">
        <v>2033</v>
      </c>
      <c r="E1196" s="138">
        <v>26.44266929378594</v>
      </c>
    </row>
    <row r="1197" spans="1:5" x14ac:dyDescent="0.25">
      <c r="A1197" t="s">
        <v>196</v>
      </c>
      <c r="B1197" t="s">
        <v>459</v>
      </c>
      <c r="C1197" t="s">
        <v>1715</v>
      </c>
      <c r="D1197" t="s">
        <v>2033</v>
      </c>
      <c r="E1197" s="138">
        <v>26.796137908025351</v>
      </c>
    </row>
    <row r="1198" spans="1:5" x14ac:dyDescent="0.25">
      <c r="A1198" t="s">
        <v>196</v>
      </c>
      <c r="B1198" t="s">
        <v>459</v>
      </c>
      <c r="C1198" t="s">
        <v>1716</v>
      </c>
      <c r="D1198" t="s">
        <v>2033</v>
      </c>
      <c r="E1198" s="138">
        <v>25.882147289677039</v>
      </c>
    </row>
    <row r="1199" spans="1:5" x14ac:dyDescent="0.25">
      <c r="A1199" t="s">
        <v>196</v>
      </c>
      <c r="B1199" t="s">
        <v>460</v>
      </c>
      <c r="C1199" t="s">
        <v>1717</v>
      </c>
      <c r="D1199" t="s">
        <v>2033</v>
      </c>
      <c r="E1199" s="138">
        <v>25.97167206450759</v>
      </c>
    </row>
    <row r="1200" spans="1:5" x14ac:dyDescent="0.25">
      <c r="A1200" t="s">
        <v>196</v>
      </c>
      <c r="B1200" t="s">
        <v>460</v>
      </c>
      <c r="C1200" t="s">
        <v>1718</v>
      </c>
      <c r="D1200" t="s">
        <v>2033</v>
      </c>
      <c r="E1200" s="138">
        <v>26.43011151193469</v>
      </c>
    </row>
    <row r="1201" spans="1:5" x14ac:dyDescent="0.25">
      <c r="A1201" t="s">
        <v>196</v>
      </c>
      <c r="B1201" t="s">
        <v>461</v>
      </c>
      <c r="C1201" t="s">
        <v>1719</v>
      </c>
      <c r="D1201" t="s">
        <v>2033</v>
      </c>
      <c r="E1201" s="138">
        <v>16.822060057335019</v>
      </c>
    </row>
    <row r="1202" spans="1:5" x14ac:dyDescent="0.25">
      <c r="A1202" t="s">
        <v>196</v>
      </c>
      <c r="B1202" t="s">
        <v>461</v>
      </c>
      <c r="C1202" t="s">
        <v>1720</v>
      </c>
      <c r="D1202" t="s">
        <v>2033</v>
      </c>
      <c r="E1202" s="138">
        <v>27.149611203648611</v>
      </c>
    </row>
    <row r="1203" spans="1:5" x14ac:dyDescent="0.25">
      <c r="A1203" t="s">
        <v>196</v>
      </c>
      <c r="B1203" t="s">
        <v>461</v>
      </c>
      <c r="C1203" t="s">
        <v>1721</v>
      </c>
      <c r="D1203" t="s">
        <v>2033</v>
      </c>
      <c r="E1203" s="138">
        <v>26.208085792736629</v>
      </c>
    </row>
    <row r="1204" spans="1:5" x14ac:dyDescent="0.25">
      <c r="A1204" t="s">
        <v>196</v>
      </c>
      <c r="B1204" t="s">
        <v>461</v>
      </c>
      <c r="C1204" t="s">
        <v>1722</v>
      </c>
      <c r="D1204" t="s">
        <v>2033</v>
      </c>
      <c r="E1204" s="138">
        <v>27.577277377313099</v>
      </c>
    </row>
    <row r="1205" spans="1:5" x14ac:dyDescent="0.25">
      <c r="A1205" t="s">
        <v>196</v>
      </c>
      <c r="B1205" t="s">
        <v>462</v>
      </c>
      <c r="C1205" t="s">
        <v>1723</v>
      </c>
      <c r="D1205" t="s">
        <v>2033</v>
      </c>
      <c r="E1205" s="138">
        <v>19.246361262038771</v>
      </c>
    </row>
    <row r="1206" spans="1:5" x14ac:dyDescent="0.25">
      <c r="A1206" t="s">
        <v>196</v>
      </c>
      <c r="B1206" t="s">
        <v>462</v>
      </c>
      <c r="C1206" t="s">
        <v>1724</v>
      </c>
      <c r="D1206" t="s">
        <v>2033</v>
      </c>
      <c r="E1206" s="138">
        <v>10.18691588785047</v>
      </c>
    </row>
    <row r="1207" spans="1:5" x14ac:dyDescent="0.25">
      <c r="A1207" t="s">
        <v>196</v>
      </c>
      <c r="B1207" t="s">
        <v>462</v>
      </c>
      <c r="C1207" t="s">
        <v>1725</v>
      </c>
      <c r="D1207" t="s">
        <v>2033</v>
      </c>
      <c r="E1207" s="138">
        <v>45.877551020408163</v>
      </c>
    </row>
    <row r="1208" spans="1:5" x14ac:dyDescent="0.25">
      <c r="A1208" t="s">
        <v>196</v>
      </c>
      <c r="B1208" t="s">
        <v>462</v>
      </c>
      <c r="C1208" t="s">
        <v>1726</v>
      </c>
      <c r="D1208" t="s">
        <v>2033</v>
      </c>
      <c r="E1208" s="138">
        <v>46.469114781692618</v>
      </c>
    </row>
    <row r="1209" spans="1:5" x14ac:dyDescent="0.25">
      <c r="A1209" t="s">
        <v>196</v>
      </c>
      <c r="B1209" t="s">
        <v>462</v>
      </c>
      <c r="C1209" t="s">
        <v>1727</v>
      </c>
      <c r="D1209" t="s">
        <v>2033</v>
      </c>
      <c r="E1209" s="138">
        <v>35.171315651034043</v>
      </c>
    </row>
    <row r="1210" spans="1:5" x14ac:dyDescent="0.25">
      <c r="A1210" t="s">
        <v>196</v>
      </c>
      <c r="B1210" t="s">
        <v>462</v>
      </c>
      <c r="C1210" t="s">
        <v>1728</v>
      </c>
      <c r="D1210" t="s">
        <v>2033</v>
      </c>
      <c r="E1210" s="138">
        <v>29.804727646454261</v>
      </c>
    </row>
    <row r="1211" spans="1:5" x14ac:dyDescent="0.25">
      <c r="A1211" t="s">
        <v>196</v>
      </c>
      <c r="B1211" t="s">
        <v>462</v>
      </c>
      <c r="C1211" t="s">
        <v>1729</v>
      </c>
      <c r="D1211" t="s">
        <v>2033</v>
      </c>
      <c r="E1211" s="138">
        <v>22.398562291416599</v>
      </c>
    </row>
    <row r="1212" spans="1:5" x14ac:dyDescent="0.25">
      <c r="A1212" t="s">
        <v>196</v>
      </c>
      <c r="B1212" t="s">
        <v>462</v>
      </c>
      <c r="C1212" t="s">
        <v>1730</v>
      </c>
      <c r="D1212" t="s">
        <v>2033</v>
      </c>
      <c r="E1212" s="138">
        <v>12.69406392694064</v>
      </c>
    </row>
    <row r="1213" spans="1:5" x14ac:dyDescent="0.25">
      <c r="A1213" t="s">
        <v>196</v>
      </c>
      <c r="B1213" t="s">
        <v>462</v>
      </c>
      <c r="C1213" t="s">
        <v>1731</v>
      </c>
      <c r="D1213" t="s">
        <v>2033</v>
      </c>
      <c r="E1213" s="138">
        <v>30.019269995630371</v>
      </c>
    </row>
    <row r="1214" spans="1:5" x14ac:dyDescent="0.25">
      <c r="A1214" t="s">
        <v>196</v>
      </c>
      <c r="B1214" t="s">
        <v>462</v>
      </c>
      <c r="C1214" t="s">
        <v>1732</v>
      </c>
      <c r="D1214" t="s">
        <v>2033</v>
      </c>
      <c r="E1214" s="138">
        <v>30.363511291947979</v>
      </c>
    </row>
    <row r="1215" spans="1:5" x14ac:dyDescent="0.25">
      <c r="A1215" t="s">
        <v>196</v>
      </c>
      <c r="B1215" t="s">
        <v>462</v>
      </c>
      <c r="C1215" t="s">
        <v>1733</v>
      </c>
      <c r="D1215" t="s">
        <v>2033</v>
      </c>
      <c r="E1215" s="138">
        <v>34.641638225255967</v>
      </c>
    </row>
    <row r="1216" spans="1:5" x14ac:dyDescent="0.25">
      <c r="A1216" t="s">
        <v>196</v>
      </c>
      <c r="B1216" t="s">
        <v>462</v>
      </c>
      <c r="C1216" t="s">
        <v>1734</v>
      </c>
      <c r="D1216" t="s">
        <v>2033</v>
      </c>
      <c r="E1216" s="138">
        <v>11.47955457544656</v>
      </c>
    </row>
    <row r="1217" spans="1:5" x14ac:dyDescent="0.25">
      <c r="A1217" t="s">
        <v>196</v>
      </c>
      <c r="B1217" t="s">
        <v>462</v>
      </c>
      <c r="C1217" t="s">
        <v>1735</v>
      </c>
      <c r="D1217" t="s">
        <v>2033</v>
      </c>
      <c r="E1217" s="138">
        <v>18.997912317327771</v>
      </c>
    </row>
    <row r="1218" spans="1:5" x14ac:dyDescent="0.25">
      <c r="A1218" t="s">
        <v>196</v>
      </c>
      <c r="B1218" t="s">
        <v>462</v>
      </c>
      <c r="C1218" t="s">
        <v>1736</v>
      </c>
      <c r="D1218" t="s">
        <v>2033</v>
      </c>
      <c r="E1218" s="138">
        <v>21.038495971351839</v>
      </c>
    </row>
    <row r="1219" spans="1:5" x14ac:dyDescent="0.25">
      <c r="A1219" t="s">
        <v>196</v>
      </c>
      <c r="B1219" t="s">
        <v>462</v>
      </c>
      <c r="C1219" t="s">
        <v>1737</v>
      </c>
      <c r="D1219" t="s">
        <v>2033</v>
      </c>
      <c r="E1219" s="138">
        <v>33.464216522653579</v>
      </c>
    </row>
    <row r="1220" spans="1:5" x14ac:dyDescent="0.25">
      <c r="A1220" t="s">
        <v>196</v>
      </c>
      <c r="B1220" t="s">
        <v>462</v>
      </c>
      <c r="C1220" t="s">
        <v>1738</v>
      </c>
      <c r="D1220" t="s">
        <v>2033</v>
      </c>
      <c r="E1220" s="138">
        <v>20.097871516757412</v>
      </c>
    </row>
    <row r="1221" spans="1:5" x14ac:dyDescent="0.25">
      <c r="A1221" t="s">
        <v>196</v>
      </c>
      <c r="B1221" t="s">
        <v>462</v>
      </c>
      <c r="C1221" t="s">
        <v>1739</v>
      </c>
      <c r="D1221" t="s">
        <v>2033</v>
      </c>
      <c r="E1221" s="138">
        <v>9.5113438045375212</v>
      </c>
    </row>
    <row r="1222" spans="1:5" x14ac:dyDescent="0.25">
      <c r="A1222" t="s">
        <v>196</v>
      </c>
      <c r="B1222" t="s">
        <v>462</v>
      </c>
      <c r="C1222" t="s">
        <v>1740</v>
      </c>
      <c r="D1222" t="s">
        <v>2033</v>
      </c>
      <c r="E1222" s="138">
        <v>33.447979363714531</v>
      </c>
    </row>
    <row r="1223" spans="1:5" x14ac:dyDescent="0.25">
      <c r="A1223" t="s">
        <v>196</v>
      </c>
      <c r="B1223" t="s">
        <v>463</v>
      </c>
      <c r="C1223" t="s">
        <v>1741</v>
      </c>
      <c r="D1223" t="s">
        <v>2034</v>
      </c>
      <c r="E1223" s="138">
        <v>49.261629221520288</v>
      </c>
    </row>
    <row r="1224" spans="1:5" x14ac:dyDescent="0.25">
      <c r="A1224" t="s">
        <v>196</v>
      </c>
      <c r="B1224" t="s">
        <v>464</v>
      </c>
      <c r="C1224" t="s">
        <v>1742</v>
      </c>
      <c r="D1224" t="s">
        <v>2034</v>
      </c>
      <c r="E1224" s="138">
        <v>49.16807340402692</v>
      </c>
    </row>
    <row r="1225" spans="1:5" x14ac:dyDescent="0.25">
      <c r="A1225" t="s">
        <v>196</v>
      </c>
      <c r="B1225" t="s">
        <v>464</v>
      </c>
      <c r="C1225" t="s">
        <v>1743</v>
      </c>
      <c r="D1225" t="s">
        <v>2034</v>
      </c>
      <c r="E1225" s="138">
        <v>50.222036599138121</v>
      </c>
    </row>
    <row r="1226" spans="1:5" x14ac:dyDescent="0.25">
      <c r="A1226" t="s">
        <v>196</v>
      </c>
      <c r="B1226" t="s">
        <v>464</v>
      </c>
      <c r="C1226" t="s">
        <v>1744</v>
      </c>
      <c r="D1226" t="s">
        <v>2034</v>
      </c>
      <c r="E1226" s="138">
        <v>48.148069599776619</v>
      </c>
    </row>
    <row r="1227" spans="1:5" x14ac:dyDescent="0.25">
      <c r="A1227" t="s">
        <v>196</v>
      </c>
      <c r="B1227" t="s">
        <v>464</v>
      </c>
      <c r="C1227" t="s">
        <v>1745</v>
      </c>
      <c r="D1227" t="s">
        <v>2034</v>
      </c>
      <c r="E1227" s="138">
        <v>48.349567021266417</v>
      </c>
    </row>
    <row r="1228" spans="1:5" x14ac:dyDescent="0.25">
      <c r="A1228" t="s">
        <v>196</v>
      </c>
      <c r="B1228" t="s">
        <v>465</v>
      </c>
      <c r="C1228" t="s">
        <v>1746</v>
      </c>
      <c r="D1228" t="s">
        <v>2034</v>
      </c>
      <c r="E1228" s="138">
        <v>48.224406132023567</v>
      </c>
    </row>
    <row r="1229" spans="1:5" x14ac:dyDescent="0.25">
      <c r="A1229" t="s">
        <v>196</v>
      </c>
      <c r="B1229" t="s">
        <v>465</v>
      </c>
      <c r="C1229" t="s">
        <v>1747</v>
      </c>
      <c r="D1229" t="s">
        <v>2034</v>
      </c>
      <c r="E1229" s="138">
        <v>48.054544656775768</v>
      </c>
    </row>
    <row r="1230" spans="1:5" x14ac:dyDescent="0.25">
      <c r="A1230" t="s">
        <v>196</v>
      </c>
      <c r="B1230" t="s">
        <v>465</v>
      </c>
      <c r="C1230" t="s">
        <v>1748</v>
      </c>
      <c r="D1230" t="s">
        <v>2034</v>
      </c>
      <c r="E1230" s="138">
        <v>51.059575694807648</v>
      </c>
    </row>
    <row r="1231" spans="1:5" x14ac:dyDescent="0.25">
      <c r="A1231" t="s">
        <v>196</v>
      </c>
      <c r="B1231" t="s">
        <v>465</v>
      </c>
      <c r="C1231" t="s">
        <v>1749</v>
      </c>
      <c r="D1231" t="s">
        <v>2034</v>
      </c>
      <c r="E1231" s="138">
        <v>49.88673104668468</v>
      </c>
    </row>
    <row r="1232" spans="1:5" x14ac:dyDescent="0.25">
      <c r="A1232" t="s">
        <v>196</v>
      </c>
      <c r="B1232" t="s">
        <v>466</v>
      </c>
      <c r="C1232" t="s">
        <v>1750</v>
      </c>
      <c r="D1232" t="s">
        <v>2034</v>
      </c>
      <c r="E1232" s="138">
        <v>50.315152705891983</v>
      </c>
    </row>
    <row r="1233" spans="1:5" x14ac:dyDescent="0.25">
      <c r="A1233" t="s">
        <v>196</v>
      </c>
      <c r="B1233" t="s">
        <v>466</v>
      </c>
      <c r="C1233" t="s">
        <v>1751</v>
      </c>
      <c r="D1233" t="s">
        <v>2034</v>
      </c>
      <c r="E1233" s="138">
        <v>48.159853190398707</v>
      </c>
    </row>
    <row r="1234" spans="1:5" x14ac:dyDescent="0.25">
      <c r="A1234" t="s">
        <v>196</v>
      </c>
      <c r="B1234" t="s">
        <v>467</v>
      </c>
      <c r="C1234" t="s">
        <v>1752</v>
      </c>
      <c r="D1234" t="s">
        <v>2034</v>
      </c>
      <c r="E1234" s="138">
        <v>48.435691676558363</v>
      </c>
    </row>
    <row r="1235" spans="1:5" x14ac:dyDescent="0.25">
      <c r="A1235" t="s">
        <v>196</v>
      </c>
      <c r="B1235" t="s">
        <v>467</v>
      </c>
      <c r="C1235" t="s">
        <v>1753</v>
      </c>
      <c r="D1235" t="s">
        <v>2034</v>
      </c>
      <c r="E1235" s="138">
        <v>49.863740554318007</v>
      </c>
    </row>
    <row r="1236" spans="1:5" x14ac:dyDescent="0.25">
      <c r="A1236" t="s">
        <v>196</v>
      </c>
      <c r="B1236" t="s">
        <v>468</v>
      </c>
      <c r="C1236" t="s">
        <v>1754</v>
      </c>
      <c r="D1236" t="s">
        <v>2034</v>
      </c>
      <c r="E1236" s="138">
        <v>50.029861257267697</v>
      </c>
    </row>
    <row r="1237" spans="1:5" x14ac:dyDescent="0.25">
      <c r="A1237" t="s">
        <v>196</v>
      </c>
      <c r="B1237" t="s">
        <v>468</v>
      </c>
      <c r="C1237" t="s">
        <v>1755</v>
      </c>
      <c r="D1237" t="s">
        <v>2034</v>
      </c>
      <c r="E1237" s="138">
        <v>48.860450736699583</v>
      </c>
    </row>
    <row r="1238" spans="1:5" x14ac:dyDescent="0.25">
      <c r="A1238" t="s">
        <v>196</v>
      </c>
      <c r="B1238" t="s">
        <v>469</v>
      </c>
      <c r="C1238" t="s">
        <v>1756</v>
      </c>
      <c r="D1238" t="s">
        <v>2034</v>
      </c>
      <c r="E1238" s="138">
        <v>52.979951961130453</v>
      </c>
    </row>
    <row r="1239" spans="1:5" x14ac:dyDescent="0.25">
      <c r="A1239" t="s">
        <v>196</v>
      </c>
      <c r="B1239" t="s">
        <v>469</v>
      </c>
      <c r="C1239" t="s">
        <v>1757</v>
      </c>
      <c r="D1239" t="s">
        <v>2034</v>
      </c>
      <c r="E1239" s="138">
        <v>48.849217435197133</v>
      </c>
    </row>
    <row r="1240" spans="1:5" x14ac:dyDescent="0.25">
      <c r="A1240" t="s">
        <v>196</v>
      </c>
      <c r="B1240" t="s">
        <v>469</v>
      </c>
      <c r="C1240" t="s">
        <v>1758</v>
      </c>
      <c r="D1240" t="s">
        <v>2034</v>
      </c>
      <c r="E1240" s="138">
        <v>49.594002422937209</v>
      </c>
    </row>
    <row r="1241" spans="1:5" x14ac:dyDescent="0.25">
      <c r="A1241" t="s">
        <v>196</v>
      </c>
      <c r="B1241" t="s">
        <v>469</v>
      </c>
      <c r="C1241" t="s">
        <v>1759</v>
      </c>
      <c r="D1241" t="s">
        <v>2034</v>
      </c>
      <c r="E1241" s="138">
        <v>49.238255614599822</v>
      </c>
    </row>
    <row r="1242" spans="1:5" x14ac:dyDescent="0.25">
      <c r="A1242" t="s">
        <v>196</v>
      </c>
      <c r="B1242" t="s">
        <v>470</v>
      </c>
      <c r="C1242" t="s">
        <v>1760</v>
      </c>
      <c r="D1242" t="s">
        <v>2034</v>
      </c>
      <c r="E1242" s="138">
        <v>59.286804746971292</v>
      </c>
    </row>
    <row r="1243" spans="1:5" x14ac:dyDescent="0.25">
      <c r="A1243" t="s">
        <v>196</v>
      </c>
      <c r="B1243" t="s">
        <v>470</v>
      </c>
      <c r="C1243" t="s">
        <v>1761</v>
      </c>
      <c r="D1243" t="s">
        <v>2034</v>
      </c>
      <c r="E1243" s="138">
        <v>42.803738317757009</v>
      </c>
    </row>
    <row r="1244" spans="1:5" x14ac:dyDescent="0.25">
      <c r="A1244" t="s">
        <v>196</v>
      </c>
      <c r="B1244" t="s">
        <v>470</v>
      </c>
      <c r="C1244" t="s">
        <v>1762</v>
      </c>
      <c r="D1244" t="s">
        <v>2034</v>
      </c>
      <c r="E1244" s="138">
        <v>46.448979591836739</v>
      </c>
    </row>
    <row r="1245" spans="1:5" x14ac:dyDescent="0.25">
      <c r="A1245" t="s">
        <v>196</v>
      </c>
      <c r="B1245" t="s">
        <v>470</v>
      </c>
      <c r="C1245" t="s">
        <v>1763</v>
      </c>
      <c r="D1245" t="s">
        <v>2034</v>
      </c>
      <c r="E1245" s="138">
        <v>48.472453257004339</v>
      </c>
    </row>
    <row r="1246" spans="1:5" x14ac:dyDescent="0.25">
      <c r="A1246" t="s">
        <v>196</v>
      </c>
      <c r="B1246" t="s">
        <v>470</v>
      </c>
      <c r="C1246" t="s">
        <v>1764</v>
      </c>
      <c r="D1246" t="s">
        <v>2034</v>
      </c>
      <c r="E1246" s="138">
        <v>50.418058575273619</v>
      </c>
    </row>
    <row r="1247" spans="1:5" x14ac:dyDescent="0.25">
      <c r="A1247" t="s">
        <v>196</v>
      </c>
      <c r="B1247" t="s">
        <v>470</v>
      </c>
      <c r="C1247" t="s">
        <v>1765</v>
      </c>
      <c r="D1247" t="s">
        <v>2034</v>
      </c>
      <c r="E1247" s="138">
        <v>51.49023638232272</v>
      </c>
    </row>
    <row r="1248" spans="1:5" x14ac:dyDescent="0.25">
      <c r="A1248" t="s">
        <v>196</v>
      </c>
      <c r="B1248" t="s">
        <v>470</v>
      </c>
      <c r="C1248" t="s">
        <v>1766</v>
      </c>
      <c r="D1248" t="s">
        <v>2034</v>
      </c>
      <c r="E1248" s="138">
        <v>52.008187489919237</v>
      </c>
    </row>
    <row r="1249" spans="1:5" x14ac:dyDescent="0.25">
      <c r="A1249" t="s">
        <v>196</v>
      </c>
      <c r="B1249" t="s">
        <v>470</v>
      </c>
      <c r="C1249" t="s">
        <v>1767</v>
      </c>
      <c r="D1249" t="s">
        <v>2034</v>
      </c>
      <c r="E1249" s="138">
        <v>33.515981735159819</v>
      </c>
    </row>
    <row r="1250" spans="1:5" x14ac:dyDescent="0.25">
      <c r="A1250" t="s">
        <v>196</v>
      </c>
      <c r="B1250" t="s">
        <v>470</v>
      </c>
      <c r="C1250" t="s">
        <v>1768</v>
      </c>
      <c r="D1250" t="s">
        <v>2034</v>
      </c>
      <c r="E1250" s="138">
        <v>48.586154974725638</v>
      </c>
    </row>
    <row r="1251" spans="1:5" x14ac:dyDescent="0.25">
      <c r="A1251" t="s">
        <v>196</v>
      </c>
      <c r="B1251" t="s">
        <v>470</v>
      </c>
      <c r="C1251" t="s">
        <v>1769</v>
      </c>
      <c r="D1251" t="s">
        <v>2034</v>
      </c>
      <c r="E1251" s="138">
        <v>49.472823772633021</v>
      </c>
    </row>
    <row r="1252" spans="1:5" x14ac:dyDescent="0.25">
      <c r="A1252" t="s">
        <v>196</v>
      </c>
      <c r="B1252" t="s">
        <v>470</v>
      </c>
      <c r="C1252" t="s">
        <v>1770</v>
      </c>
      <c r="D1252" t="s">
        <v>2034</v>
      </c>
      <c r="E1252" s="138">
        <v>47.781569965870297</v>
      </c>
    </row>
    <row r="1253" spans="1:5" x14ac:dyDescent="0.25">
      <c r="A1253" t="s">
        <v>196</v>
      </c>
      <c r="B1253" t="s">
        <v>470</v>
      </c>
      <c r="C1253" t="s">
        <v>1771</v>
      </c>
      <c r="D1253" t="s">
        <v>2034</v>
      </c>
      <c r="E1253" s="138">
        <v>46.344520908913019</v>
      </c>
    </row>
    <row r="1254" spans="1:5" x14ac:dyDescent="0.25">
      <c r="A1254" t="s">
        <v>196</v>
      </c>
      <c r="B1254" t="s">
        <v>470</v>
      </c>
      <c r="C1254" t="s">
        <v>1772</v>
      </c>
      <c r="D1254" t="s">
        <v>2034</v>
      </c>
      <c r="E1254" s="138">
        <v>43.110647181628387</v>
      </c>
    </row>
    <row r="1255" spans="1:5" x14ac:dyDescent="0.25">
      <c r="A1255" t="s">
        <v>196</v>
      </c>
      <c r="B1255" t="s">
        <v>470</v>
      </c>
      <c r="C1255" t="s">
        <v>1773</v>
      </c>
      <c r="D1255" t="s">
        <v>2034</v>
      </c>
      <c r="E1255" s="138">
        <v>61.235452103849603</v>
      </c>
    </row>
    <row r="1256" spans="1:5" x14ac:dyDescent="0.25">
      <c r="A1256" t="s">
        <v>196</v>
      </c>
      <c r="B1256" t="s">
        <v>470</v>
      </c>
      <c r="C1256" t="s">
        <v>1774</v>
      </c>
      <c r="D1256" t="s">
        <v>2034</v>
      </c>
      <c r="E1256" s="138">
        <v>52.214106657359629</v>
      </c>
    </row>
    <row r="1257" spans="1:5" x14ac:dyDescent="0.25">
      <c r="A1257" t="s">
        <v>196</v>
      </c>
      <c r="B1257" t="s">
        <v>470</v>
      </c>
      <c r="C1257" t="s">
        <v>1775</v>
      </c>
      <c r="D1257" t="s">
        <v>2034</v>
      </c>
      <c r="E1257" s="138">
        <v>56.643070096008643</v>
      </c>
    </row>
    <row r="1258" spans="1:5" x14ac:dyDescent="0.25">
      <c r="A1258" t="s">
        <v>196</v>
      </c>
      <c r="B1258" t="s">
        <v>470</v>
      </c>
      <c r="C1258" t="s">
        <v>1776</v>
      </c>
      <c r="D1258" t="s">
        <v>2034</v>
      </c>
      <c r="E1258" s="138">
        <v>56.195462478184993</v>
      </c>
    </row>
    <row r="1259" spans="1:5" x14ac:dyDescent="0.25">
      <c r="A1259" t="s">
        <v>196</v>
      </c>
      <c r="B1259" t="s">
        <v>470</v>
      </c>
      <c r="C1259" t="s">
        <v>1777</v>
      </c>
      <c r="D1259" t="s">
        <v>2034</v>
      </c>
      <c r="E1259" s="138">
        <v>40.58469475494411</v>
      </c>
    </row>
    <row r="1260" spans="1:5" x14ac:dyDescent="0.25">
      <c r="A1260" t="s">
        <v>196</v>
      </c>
      <c r="B1260" t="s">
        <v>471</v>
      </c>
      <c r="C1260" t="s">
        <v>1778</v>
      </c>
      <c r="D1260" t="s">
        <v>2035</v>
      </c>
      <c r="E1260" s="138">
        <v>22.29214369512686</v>
      </c>
    </row>
    <row r="1261" spans="1:5" x14ac:dyDescent="0.25">
      <c r="A1261" t="s">
        <v>196</v>
      </c>
      <c r="B1261" t="s">
        <v>472</v>
      </c>
      <c r="C1261" t="s">
        <v>1779</v>
      </c>
      <c r="D1261" t="s">
        <v>2035</v>
      </c>
      <c r="E1261" s="138">
        <v>21.09732378099979</v>
      </c>
    </row>
    <row r="1262" spans="1:5" x14ac:dyDescent="0.25">
      <c r="A1262" t="s">
        <v>196</v>
      </c>
      <c r="B1262" t="s">
        <v>472</v>
      </c>
      <c r="C1262" t="s">
        <v>1780</v>
      </c>
      <c r="D1262" t="s">
        <v>2035</v>
      </c>
      <c r="E1262" s="138">
        <v>22.22794591229037</v>
      </c>
    </row>
    <row r="1263" spans="1:5" x14ac:dyDescent="0.25">
      <c r="A1263" t="s">
        <v>196</v>
      </c>
      <c r="B1263" t="s">
        <v>472</v>
      </c>
      <c r="C1263" t="s">
        <v>1781</v>
      </c>
      <c r="D1263" t="s">
        <v>2035</v>
      </c>
      <c r="E1263" s="138">
        <v>25.148338861543799</v>
      </c>
    </row>
    <row r="1264" spans="1:5" x14ac:dyDescent="0.25">
      <c r="A1264" t="s">
        <v>196</v>
      </c>
      <c r="B1264" t="s">
        <v>472</v>
      </c>
      <c r="C1264" t="s">
        <v>1782</v>
      </c>
      <c r="D1264" t="s">
        <v>2035</v>
      </c>
      <c r="E1264" s="138">
        <v>19.157785148807669</v>
      </c>
    </row>
    <row r="1265" spans="1:5" x14ac:dyDescent="0.25">
      <c r="A1265" t="s">
        <v>196</v>
      </c>
      <c r="B1265" t="s">
        <v>473</v>
      </c>
      <c r="C1265" t="s">
        <v>1783</v>
      </c>
      <c r="D1265" t="s">
        <v>2035</v>
      </c>
      <c r="E1265" s="138">
        <v>25.688792237653988</v>
      </c>
    </row>
    <row r="1266" spans="1:5" x14ac:dyDescent="0.25">
      <c r="A1266" t="s">
        <v>196</v>
      </c>
      <c r="B1266" t="s">
        <v>473</v>
      </c>
      <c r="C1266" t="s">
        <v>1784</v>
      </c>
      <c r="D1266" t="s">
        <v>2035</v>
      </c>
      <c r="E1266" s="138">
        <v>22.944050789741571</v>
      </c>
    </row>
    <row r="1267" spans="1:5" x14ac:dyDescent="0.25">
      <c r="A1267" t="s">
        <v>196</v>
      </c>
      <c r="B1267" t="s">
        <v>473</v>
      </c>
      <c r="C1267" t="s">
        <v>1785</v>
      </c>
      <c r="D1267" t="s">
        <v>2035</v>
      </c>
      <c r="E1267" s="138">
        <v>19.604342326318381</v>
      </c>
    </row>
    <row r="1268" spans="1:5" x14ac:dyDescent="0.25">
      <c r="A1268" t="s">
        <v>196</v>
      </c>
      <c r="B1268" t="s">
        <v>473</v>
      </c>
      <c r="C1268" t="s">
        <v>1786</v>
      </c>
      <c r="D1268" t="s">
        <v>2035</v>
      </c>
      <c r="E1268" s="138">
        <v>22.091455736372829</v>
      </c>
    </row>
    <row r="1269" spans="1:5" x14ac:dyDescent="0.25">
      <c r="A1269" t="s">
        <v>196</v>
      </c>
      <c r="B1269" t="s">
        <v>474</v>
      </c>
      <c r="C1269" t="s">
        <v>1787</v>
      </c>
      <c r="D1269" t="s">
        <v>2035</v>
      </c>
      <c r="E1269" s="138">
        <v>21.547271183290299</v>
      </c>
    </row>
    <row r="1270" spans="1:5" x14ac:dyDescent="0.25">
      <c r="A1270" t="s">
        <v>196</v>
      </c>
      <c r="B1270" t="s">
        <v>474</v>
      </c>
      <c r="C1270" t="s">
        <v>1788</v>
      </c>
      <c r="D1270" t="s">
        <v>2035</v>
      </c>
      <c r="E1270" s="138">
        <v>23.071132196054538</v>
      </c>
    </row>
    <row r="1271" spans="1:5" x14ac:dyDescent="0.25">
      <c r="A1271" t="s">
        <v>196</v>
      </c>
      <c r="B1271" t="s">
        <v>475</v>
      </c>
      <c r="C1271" t="s">
        <v>1789</v>
      </c>
      <c r="D1271" t="s">
        <v>2035</v>
      </c>
      <c r="E1271" s="138">
        <v>22.66430290683769</v>
      </c>
    </row>
    <row r="1272" spans="1:5" x14ac:dyDescent="0.25">
      <c r="A1272" t="s">
        <v>196</v>
      </c>
      <c r="B1272" t="s">
        <v>475</v>
      </c>
      <c r="C1272" t="s">
        <v>1790</v>
      </c>
      <c r="D1272" t="s">
        <v>2035</v>
      </c>
      <c r="E1272" s="138">
        <v>22.00385390151737</v>
      </c>
    </row>
    <row r="1273" spans="1:5" x14ac:dyDescent="0.25">
      <c r="A1273" t="s">
        <v>196</v>
      </c>
      <c r="B1273" t="s">
        <v>476</v>
      </c>
      <c r="C1273" t="s">
        <v>1791</v>
      </c>
      <c r="D1273" t="s">
        <v>2035</v>
      </c>
      <c r="E1273" s="138">
        <v>21.638868458566201</v>
      </c>
    </row>
    <row r="1274" spans="1:5" x14ac:dyDescent="0.25">
      <c r="A1274" t="s">
        <v>196</v>
      </c>
      <c r="B1274" t="s">
        <v>476</v>
      </c>
      <c r="C1274" t="s">
        <v>1792</v>
      </c>
      <c r="D1274" t="s">
        <v>2035</v>
      </c>
      <c r="E1274" s="138">
        <v>22.62655223040996</v>
      </c>
    </row>
    <row r="1275" spans="1:5" x14ac:dyDescent="0.25">
      <c r="A1275" t="s">
        <v>196</v>
      </c>
      <c r="B1275" t="s">
        <v>477</v>
      </c>
      <c r="C1275" t="s">
        <v>1793</v>
      </c>
      <c r="D1275" t="s">
        <v>2035</v>
      </c>
      <c r="E1275" s="138">
        <v>28.17192916398059</v>
      </c>
    </row>
    <row r="1276" spans="1:5" x14ac:dyDescent="0.25">
      <c r="A1276" t="s">
        <v>196</v>
      </c>
      <c r="B1276" t="s">
        <v>477</v>
      </c>
      <c r="C1276" t="s">
        <v>1794</v>
      </c>
      <c r="D1276" t="s">
        <v>2035</v>
      </c>
      <c r="E1276" s="138">
        <v>22.02470806450717</v>
      </c>
    </row>
    <row r="1277" spans="1:5" x14ac:dyDescent="0.25">
      <c r="A1277" t="s">
        <v>196</v>
      </c>
      <c r="B1277" t="s">
        <v>477</v>
      </c>
      <c r="C1277" t="s">
        <v>1795</v>
      </c>
      <c r="D1277" t="s">
        <v>2035</v>
      </c>
      <c r="E1277" s="138">
        <v>21.81173850948085</v>
      </c>
    </row>
    <row r="1278" spans="1:5" x14ac:dyDescent="0.25">
      <c r="A1278" t="s">
        <v>196</v>
      </c>
      <c r="B1278" t="s">
        <v>477</v>
      </c>
      <c r="C1278" t="s">
        <v>1796</v>
      </c>
      <c r="D1278" t="s">
        <v>2035</v>
      </c>
      <c r="E1278" s="138">
        <v>20.676868269893269</v>
      </c>
    </row>
    <row r="1279" spans="1:5" x14ac:dyDescent="0.25">
      <c r="A1279" t="s">
        <v>196</v>
      </c>
      <c r="B1279" t="s">
        <v>478</v>
      </c>
      <c r="C1279" t="s">
        <v>1797</v>
      </c>
      <c r="D1279" t="s">
        <v>2035</v>
      </c>
      <c r="E1279" s="138">
        <v>20.28209417828052</v>
      </c>
    </row>
    <row r="1280" spans="1:5" x14ac:dyDescent="0.25">
      <c r="A1280" t="s">
        <v>196</v>
      </c>
      <c r="B1280" t="s">
        <v>478</v>
      </c>
      <c r="C1280" t="s">
        <v>1798</v>
      </c>
      <c r="D1280" t="s">
        <v>2035</v>
      </c>
      <c r="E1280" s="138">
        <v>43.271028037383182</v>
      </c>
    </row>
    <row r="1281" spans="1:5" x14ac:dyDescent="0.25">
      <c r="A1281" t="s">
        <v>196</v>
      </c>
      <c r="B1281" t="s">
        <v>478</v>
      </c>
      <c r="C1281" t="s">
        <v>1799</v>
      </c>
      <c r="D1281" t="s">
        <v>2035</v>
      </c>
      <c r="E1281" s="138">
        <v>6.7755102040816322</v>
      </c>
    </row>
    <row r="1282" spans="1:5" x14ac:dyDescent="0.25">
      <c r="A1282" t="s">
        <v>196</v>
      </c>
      <c r="B1282" t="s">
        <v>478</v>
      </c>
      <c r="C1282" t="s">
        <v>1800</v>
      </c>
      <c r="D1282" t="s">
        <v>2035</v>
      </c>
      <c r="E1282" s="138">
        <v>4.3216903648422216</v>
      </c>
    </row>
    <row r="1283" spans="1:5" x14ac:dyDescent="0.25">
      <c r="A1283" t="s">
        <v>196</v>
      </c>
      <c r="B1283" t="s">
        <v>478</v>
      </c>
      <c r="C1283" t="s">
        <v>1801</v>
      </c>
      <c r="D1283" t="s">
        <v>2035</v>
      </c>
      <c r="E1283" s="138">
        <v>13.404645446933889</v>
      </c>
    </row>
    <row r="1284" spans="1:5" x14ac:dyDescent="0.25">
      <c r="A1284" t="s">
        <v>196</v>
      </c>
      <c r="B1284" t="s">
        <v>478</v>
      </c>
      <c r="C1284" t="s">
        <v>1802</v>
      </c>
      <c r="D1284" t="s">
        <v>2035</v>
      </c>
      <c r="E1284" s="138">
        <v>16.855087358684479</v>
      </c>
    </row>
    <row r="1285" spans="1:5" x14ac:dyDescent="0.25">
      <c r="A1285" t="s">
        <v>196</v>
      </c>
      <c r="B1285" t="s">
        <v>478</v>
      </c>
      <c r="C1285" t="s">
        <v>1803</v>
      </c>
      <c r="D1285" t="s">
        <v>2035</v>
      </c>
      <c r="E1285" s="138">
        <v>23.605629384785239</v>
      </c>
    </row>
    <row r="1286" spans="1:5" x14ac:dyDescent="0.25">
      <c r="A1286" t="s">
        <v>196</v>
      </c>
      <c r="B1286" t="s">
        <v>478</v>
      </c>
      <c r="C1286" t="s">
        <v>1804</v>
      </c>
      <c r="D1286" t="s">
        <v>2035</v>
      </c>
      <c r="E1286" s="138">
        <v>49.315068493150683</v>
      </c>
    </row>
    <row r="1287" spans="1:5" x14ac:dyDescent="0.25">
      <c r="A1287" t="s">
        <v>196</v>
      </c>
      <c r="B1287" t="s">
        <v>478</v>
      </c>
      <c r="C1287" t="s">
        <v>1805</v>
      </c>
      <c r="D1287" t="s">
        <v>2035</v>
      </c>
      <c r="E1287" s="138">
        <v>18.52380179986433</v>
      </c>
    </row>
    <row r="1288" spans="1:5" x14ac:dyDescent="0.25">
      <c r="A1288" t="s">
        <v>196</v>
      </c>
      <c r="B1288" t="s">
        <v>478</v>
      </c>
      <c r="C1288" t="s">
        <v>1806</v>
      </c>
      <c r="D1288" t="s">
        <v>2035</v>
      </c>
      <c r="E1288" s="138">
        <v>17.914599914181991</v>
      </c>
    </row>
    <row r="1289" spans="1:5" x14ac:dyDescent="0.25">
      <c r="A1289" t="s">
        <v>196</v>
      </c>
      <c r="B1289" t="s">
        <v>478</v>
      </c>
      <c r="C1289" t="s">
        <v>1807</v>
      </c>
      <c r="D1289" t="s">
        <v>2035</v>
      </c>
      <c r="E1289" s="138">
        <v>15.61433447098976</v>
      </c>
    </row>
    <row r="1290" spans="1:5" x14ac:dyDescent="0.25">
      <c r="A1290" t="s">
        <v>196</v>
      </c>
      <c r="B1290" t="s">
        <v>478</v>
      </c>
      <c r="C1290" t="s">
        <v>1808</v>
      </c>
      <c r="D1290" t="s">
        <v>2035</v>
      </c>
      <c r="E1290" s="138">
        <v>36.13004970440673</v>
      </c>
    </row>
    <row r="1291" spans="1:5" x14ac:dyDescent="0.25">
      <c r="A1291" t="s">
        <v>196</v>
      </c>
      <c r="B1291" t="s">
        <v>478</v>
      </c>
      <c r="C1291" t="s">
        <v>1809</v>
      </c>
      <c r="D1291" t="s">
        <v>2035</v>
      </c>
      <c r="E1291" s="138">
        <v>34.759916492693108</v>
      </c>
    </row>
    <row r="1292" spans="1:5" x14ac:dyDescent="0.25">
      <c r="A1292" t="s">
        <v>196</v>
      </c>
      <c r="B1292" t="s">
        <v>478</v>
      </c>
      <c r="C1292" t="s">
        <v>1810</v>
      </c>
      <c r="D1292" t="s">
        <v>2035</v>
      </c>
      <c r="E1292" s="138">
        <v>17.00984780662489</v>
      </c>
    </row>
    <row r="1293" spans="1:5" x14ac:dyDescent="0.25">
      <c r="A1293" t="s">
        <v>196</v>
      </c>
      <c r="B1293" t="s">
        <v>478</v>
      </c>
      <c r="C1293" t="s">
        <v>1811</v>
      </c>
      <c r="D1293" t="s">
        <v>2035</v>
      </c>
      <c r="E1293" s="138">
        <v>13.73054977900969</v>
      </c>
    </row>
    <row r="1294" spans="1:5" x14ac:dyDescent="0.25">
      <c r="A1294" t="s">
        <v>196</v>
      </c>
      <c r="B1294" t="s">
        <v>478</v>
      </c>
      <c r="C1294" t="s">
        <v>1812</v>
      </c>
      <c r="D1294" t="s">
        <v>2035</v>
      </c>
      <c r="E1294" s="138">
        <v>21.84276670472412</v>
      </c>
    </row>
    <row r="1295" spans="1:5" x14ac:dyDescent="0.25">
      <c r="A1295" t="s">
        <v>196</v>
      </c>
      <c r="B1295" t="s">
        <v>478</v>
      </c>
      <c r="C1295" t="s">
        <v>1813</v>
      </c>
      <c r="D1295" t="s">
        <v>2035</v>
      </c>
      <c r="E1295" s="138">
        <v>32.809773123909252</v>
      </c>
    </row>
    <row r="1296" spans="1:5" x14ac:dyDescent="0.25">
      <c r="A1296" t="s">
        <v>196</v>
      </c>
      <c r="B1296" t="s">
        <v>478</v>
      </c>
      <c r="C1296" t="s">
        <v>1814</v>
      </c>
      <c r="D1296" t="s">
        <v>2035</v>
      </c>
      <c r="E1296" s="138">
        <v>21.668099742046429</v>
      </c>
    </row>
    <row r="1297" spans="1:5" x14ac:dyDescent="0.25">
      <c r="A1297" t="s">
        <v>196</v>
      </c>
      <c r="B1297" t="s">
        <v>479</v>
      </c>
      <c r="C1297" t="s">
        <v>1815</v>
      </c>
      <c r="D1297" t="s">
        <v>2036</v>
      </c>
      <c r="E1297" s="138">
        <v>2.1933620794415551</v>
      </c>
    </row>
    <row r="1298" spans="1:5" x14ac:dyDescent="0.25">
      <c r="A1298" t="s">
        <v>196</v>
      </c>
      <c r="B1298" t="s">
        <v>480</v>
      </c>
      <c r="C1298" t="s">
        <v>1816</v>
      </c>
      <c r="D1298" t="s">
        <v>2036</v>
      </c>
      <c r="E1298" s="138">
        <v>2.524053559513562</v>
      </c>
    </row>
    <row r="1299" spans="1:5" x14ac:dyDescent="0.25">
      <c r="A1299" t="s">
        <v>196</v>
      </c>
      <c r="B1299" t="s">
        <v>480</v>
      </c>
      <c r="C1299" t="s">
        <v>1817</v>
      </c>
      <c r="D1299" t="s">
        <v>2036</v>
      </c>
      <c r="E1299" s="138">
        <v>2.344287616211385</v>
      </c>
    </row>
    <row r="1300" spans="1:5" x14ac:dyDescent="0.25">
      <c r="A1300" t="s">
        <v>196</v>
      </c>
      <c r="B1300" t="s">
        <v>480</v>
      </c>
      <c r="C1300" t="s">
        <v>1818</v>
      </c>
      <c r="D1300" t="s">
        <v>2036</v>
      </c>
      <c r="E1300" s="138">
        <v>1.9463462315406299</v>
      </c>
    </row>
    <row r="1301" spans="1:5" x14ac:dyDescent="0.25">
      <c r="A1301" t="s">
        <v>196</v>
      </c>
      <c r="B1301" t="s">
        <v>480</v>
      </c>
      <c r="C1301" t="s">
        <v>1819</v>
      </c>
      <c r="D1301" t="s">
        <v>2036</v>
      </c>
      <c r="E1301" s="138">
        <v>1.602013796503611</v>
      </c>
    </row>
    <row r="1302" spans="1:5" x14ac:dyDescent="0.25">
      <c r="A1302" t="s">
        <v>196</v>
      </c>
      <c r="B1302" t="s">
        <v>481</v>
      </c>
      <c r="C1302" t="s">
        <v>1820</v>
      </c>
      <c r="D1302" t="s">
        <v>2036</v>
      </c>
      <c r="E1302" s="138">
        <v>2.1979235830676069</v>
      </c>
    </row>
    <row r="1303" spans="1:5" x14ac:dyDescent="0.25">
      <c r="A1303" t="s">
        <v>196</v>
      </c>
      <c r="B1303" t="s">
        <v>481</v>
      </c>
      <c r="C1303" t="s">
        <v>1821</v>
      </c>
      <c r="D1303" t="s">
        <v>2036</v>
      </c>
      <c r="E1303" s="138">
        <v>2.1203205598850889</v>
      </c>
    </row>
    <row r="1304" spans="1:5" x14ac:dyDescent="0.25">
      <c r="A1304" t="s">
        <v>196</v>
      </c>
      <c r="B1304" t="s">
        <v>481</v>
      </c>
      <c r="C1304" t="s">
        <v>1822</v>
      </c>
      <c r="D1304" t="s">
        <v>2036</v>
      </c>
      <c r="E1304" s="138">
        <v>2.2802436985290679</v>
      </c>
    </row>
    <row r="1305" spans="1:5" x14ac:dyDescent="0.25">
      <c r="A1305" t="s">
        <v>196</v>
      </c>
      <c r="B1305" t="s">
        <v>481</v>
      </c>
      <c r="C1305" t="s">
        <v>1823</v>
      </c>
      <c r="D1305" t="s">
        <v>2036</v>
      </c>
      <c r="E1305" s="138">
        <v>2.1694046130385298</v>
      </c>
    </row>
    <row r="1306" spans="1:5" x14ac:dyDescent="0.25">
      <c r="A1306" t="s">
        <v>196</v>
      </c>
      <c r="B1306" t="s">
        <v>482</v>
      </c>
      <c r="C1306" t="s">
        <v>1824</v>
      </c>
      <c r="D1306" t="s">
        <v>2036</v>
      </c>
      <c r="E1306" s="138">
        <v>2.0662028721736529</v>
      </c>
    </row>
    <row r="1307" spans="1:5" x14ac:dyDescent="0.25">
      <c r="A1307" t="s">
        <v>196</v>
      </c>
      <c r="B1307" t="s">
        <v>482</v>
      </c>
      <c r="C1307" t="s">
        <v>1825</v>
      </c>
      <c r="D1307" t="s">
        <v>2036</v>
      </c>
      <c r="E1307" s="138">
        <v>2.326345319760823</v>
      </c>
    </row>
    <row r="1308" spans="1:5" x14ac:dyDescent="0.25">
      <c r="A1308" t="s">
        <v>196</v>
      </c>
      <c r="B1308" t="s">
        <v>483</v>
      </c>
      <c r="C1308" t="s">
        <v>1826</v>
      </c>
      <c r="D1308" t="s">
        <v>2036</v>
      </c>
      <c r="E1308" s="138">
        <v>2.1038675085785941</v>
      </c>
    </row>
    <row r="1309" spans="1:5" x14ac:dyDescent="0.25">
      <c r="A1309" t="s">
        <v>196</v>
      </c>
      <c r="B1309" t="s">
        <v>483</v>
      </c>
      <c r="C1309" t="s">
        <v>1827</v>
      </c>
      <c r="D1309" t="s">
        <v>2036</v>
      </c>
      <c r="E1309" s="138">
        <v>2.2502582544876089</v>
      </c>
    </row>
    <row r="1310" spans="1:5" x14ac:dyDescent="0.25">
      <c r="A1310" t="s">
        <v>196</v>
      </c>
      <c r="B1310" t="s">
        <v>484</v>
      </c>
      <c r="C1310" t="s">
        <v>1828</v>
      </c>
      <c r="D1310" t="s">
        <v>2036</v>
      </c>
      <c r="E1310" s="138">
        <v>2.359598219658519</v>
      </c>
    </row>
    <row r="1311" spans="1:5" x14ac:dyDescent="0.25">
      <c r="A1311" t="s">
        <v>196</v>
      </c>
      <c r="B1311" t="s">
        <v>484</v>
      </c>
      <c r="C1311" t="s">
        <v>1829</v>
      </c>
      <c r="D1311" t="s">
        <v>2036</v>
      </c>
      <c r="E1311" s="138">
        <v>2.082885520955791</v>
      </c>
    </row>
    <row r="1312" spans="1:5" x14ac:dyDescent="0.25">
      <c r="A1312" t="s">
        <v>196</v>
      </c>
      <c r="B1312" t="s">
        <v>485</v>
      </c>
      <c r="C1312" t="s">
        <v>1830</v>
      </c>
      <c r="D1312" t="s">
        <v>2036</v>
      </c>
      <c r="E1312" s="138">
        <v>2.0260588175539671</v>
      </c>
    </row>
    <row r="1313" spans="1:5" x14ac:dyDescent="0.25">
      <c r="A1313" t="s">
        <v>196</v>
      </c>
      <c r="B1313" t="s">
        <v>485</v>
      </c>
      <c r="C1313" t="s">
        <v>1831</v>
      </c>
      <c r="D1313" t="s">
        <v>2036</v>
      </c>
      <c r="E1313" s="138">
        <v>1.976463296647097</v>
      </c>
    </row>
    <row r="1314" spans="1:5" x14ac:dyDescent="0.25">
      <c r="A1314" t="s">
        <v>196</v>
      </c>
      <c r="B1314" t="s">
        <v>485</v>
      </c>
      <c r="C1314" t="s">
        <v>1832</v>
      </c>
      <c r="D1314" t="s">
        <v>2036</v>
      </c>
      <c r="E1314" s="138">
        <v>2.386173274845317</v>
      </c>
    </row>
    <row r="1315" spans="1:5" x14ac:dyDescent="0.25">
      <c r="A1315" t="s">
        <v>196</v>
      </c>
      <c r="B1315" t="s">
        <v>485</v>
      </c>
      <c r="C1315" t="s">
        <v>1833</v>
      </c>
      <c r="D1315" t="s">
        <v>2036</v>
      </c>
      <c r="E1315" s="138">
        <v>2.5075987381938298</v>
      </c>
    </row>
    <row r="1316" spans="1:5" x14ac:dyDescent="0.25">
      <c r="A1316" t="s">
        <v>196</v>
      </c>
      <c r="B1316" t="s">
        <v>486</v>
      </c>
      <c r="C1316" t="s">
        <v>1834</v>
      </c>
      <c r="D1316" t="s">
        <v>2036</v>
      </c>
      <c r="E1316" s="138">
        <v>1.1847398127093911</v>
      </c>
    </row>
    <row r="1317" spans="1:5" x14ac:dyDescent="0.25">
      <c r="A1317" t="s">
        <v>196</v>
      </c>
      <c r="B1317" t="s">
        <v>486</v>
      </c>
      <c r="C1317" t="s">
        <v>1835</v>
      </c>
      <c r="D1317" t="s">
        <v>2036</v>
      </c>
      <c r="E1317" s="138">
        <v>3.7383177570093449</v>
      </c>
    </row>
    <row r="1318" spans="1:5" x14ac:dyDescent="0.25">
      <c r="A1318" t="s">
        <v>196</v>
      </c>
      <c r="B1318" t="s">
        <v>486</v>
      </c>
      <c r="C1318" t="s">
        <v>1836</v>
      </c>
      <c r="D1318" t="s">
        <v>2036</v>
      </c>
      <c r="E1318" s="138">
        <v>0.89795918367346939</v>
      </c>
    </row>
    <row r="1319" spans="1:5" x14ac:dyDescent="0.25">
      <c r="A1319" t="s">
        <v>196</v>
      </c>
      <c r="B1319" t="s">
        <v>486</v>
      </c>
      <c r="C1319" t="s">
        <v>1837</v>
      </c>
      <c r="D1319" t="s">
        <v>2036</v>
      </c>
      <c r="E1319" s="138">
        <v>0.73674159646080162</v>
      </c>
    </row>
    <row r="1320" spans="1:5" x14ac:dyDescent="0.25">
      <c r="A1320" t="s">
        <v>196</v>
      </c>
      <c r="B1320" t="s">
        <v>486</v>
      </c>
      <c r="C1320" t="s">
        <v>1838</v>
      </c>
      <c r="D1320" t="s">
        <v>2036</v>
      </c>
      <c r="E1320" s="138">
        <v>1.005980326758465</v>
      </c>
    </row>
    <row r="1321" spans="1:5" x14ac:dyDescent="0.25">
      <c r="A1321" t="s">
        <v>196</v>
      </c>
      <c r="B1321" t="s">
        <v>486</v>
      </c>
      <c r="C1321" t="s">
        <v>1839</v>
      </c>
      <c r="D1321" t="s">
        <v>2036</v>
      </c>
      <c r="E1321" s="138">
        <v>1.8499486125385409</v>
      </c>
    </row>
    <row r="1322" spans="1:5" x14ac:dyDescent="0.25">
      <c r="A1322" t="s">
        <v>196</v>
      </c>
      <c r="B1322" t="s">
        <v>486</v>
      </c>
      <c r="C1322" t="s">
        <v>1840</v>
      </c>
      <c r="D1322" t="s">
        <v>2036</v>
      </c>
      <c r="E1322" s="138">
        <v>1.9876208338789161</v>
      </c>
    </row>
    <row r="1323" spans="1:5" x14ac:dyDescent="0.25">
      <c r="A1323" t="s">
        <v>196</v>
      </c>
      <c r="B1323" t="s">
        <v>486</v>
      </c>
      <c r="C1323" t="s">
        <v>1841</v>
      </c>
      <c r="D1323" t="s">
        <v>2036</v>
      </c>
      <c r="E1323" s="138">
        <v>4.474885844748858</v>
      </c>
    </row>
    <row r="1324" spans="1:5" x14ac:dyDescent="0.25">
      <c r="A1324" t="s">
        <v>196</v>
      </c>
      <c r="B1324" t="s">
        <v>486</v>
      </c>
      <c r="C1324" t="s">
        <v>1842</v>
      </c>
      <c r="D1324" t="s">
        <v>2036</v>
      </c>
      <c r="E1324" s="138">
        <v>2.8707732297796378</v>
      </c>
    </row>
    <row r="1325" spans="1:5" x14ac:dyDescent="0.25">
      <c r="A1325" t="s">
        <v>196</v>
      </c>
      <c r="B1325" t="s">
        <v>486</v>
      </c>
      <c r="C1325" t="s">
        <v>1843</v>
      </c>
      <c r="D1325" t="s">
        <v>2036</v>
      </c>
      <c r="E1325" s="138">
        <v>2.2490650212369978</v>
      </c>
    </row>
    <row r="1326" spans="1:5" x14ac:dyDescent="0.25">
      <c r="A1326" t="s">
        <v>196</v>
      </c>
      <c r="B1326" t="s">
        <v>486</v>
      </c>
      <c r="C1326" t="s">
        <v>1844</v>
      </c>
      <c r="D1326" t="s">
        <v>2036</v>
      </c>
      <c r="E1326" s="138">
        <v>1.9624573378839589</v>
      </c>
    </row>
    <row r="1327" spans="1:5" x14ac:dyDescent="0.25">
      <c r="A1327" t="s">
        <v>196</v>
      </c>
      <c r="B1327" t="s">
        <v>486</v>
      </c>
      <c r="C1327" t="s">
        <v>1845</v>
      </c>
      <c r="D1327" t="s">
        <v>2036</v>
      </c>
      <c r="E1327" s="138">
        <v>6.0458748112336806</v>
      </c>
    </row>
    <row r="1328" spans="1:5" x14ac:dyDescent="0.25">
      <c r="A1328" t="s">
        <v>196</v>
      </c>
      <c r="B1328" t="s">
        <v>486</v>
      </c>
      <c r="C1328" t="s">
        <v>1846</v>
      </c>
      <c r="D1328" t="s">
        <v>2036</v>
      </c>
      <c r="E1328" s="138">
        <v>3.131524008350731</v>
      </c>
    </row>
    <row r="1329" spans="1:5" x14ac:dyDescent="0.25">
      <c r="A1329" t="s">
        <v>196</v>
      </c>
      <c r="B1329" t="s">
        <v>486</v>
      </c>
      <c r="C1329" t="s">
        <v>1847</v>
      </c>
      <c r="D1329" t="s">
        <v>2036</v>
      </c>
      <c r="E1329" s="138">
        <v>0.71620411817367946</v>
      </c>
    </row>
    <row r="1330" spans="1:5" x14ac:dyDescent="0.25">
      <c r="A1330" t="s">
        <v>196</v>
      </c>
      <c r="B1330" t="s">
        <v>486</v>
      </c>
      <c r="C1330" t="s">
        <v>1848</v>
      </c>
      <c r="D1330" t="s">
        <v>2036</v>
      </c>
      <c r="E1330" s="138">
        <v>0.59112704097714963</v>
      </c>
    </row>
    <row r="1331" spans="1:5" x14ac:dyDescent="0.25">
      <c r="A1331" t="s">
        <v>196</v>
      </c>
      <c r="B1331" t="s">
        <v>486</v>
      </c>
      <c r="C1331" t="s">
        <v>1849</v>
      </c>
      <c r="D1331" t="s">
        <v>2036</v>
      </c>
      <c r="E1331" s="138">
        <v>1.4162916825098191</v>
      </c>
    </row>
    <row r="1332" spans="1:5" x14ac:dyDescent="0.25">
      <c r="A1332" t="s">
        <v>196</v>
      </c>
      <c r="B1332" t="s">
        <v>486</v>
      </c>
      <c r="C1332" t="s">
        <v>1850</v>
      </c>
      <c r="D1332" t="s">
        <v>2036</v>
      </c>
      <c r="E1332" s="138">
        <v>1.483420593368237</v>
      </c>
    </row>
    <row r="1333" spans="1:5" x14ac:dyDescent="0.25">
      <c r="A1333" t="s">
        <v>196</v>
      </c>
      <c r="B1333" t="s">
        <v>486</v>
      </c>
      <c r="C1333" t="s">
        <v>1851</v>
      </c>
      <c r="D1333" t="s">
        <v>2036</v>
      </c>
      <c r="E1333" s="138">
        <v>4.2992261392949267</v>
      </c>
    </row>
    <row r="1334" spans="1:5" x14ac:dyDescent="0.25">
      <c r="A1334" t="s">
        <v>197</v>
      </c>
      <c r="B1334" t="s">
        <v>487</v>
      </c>
      <c r="C1334" t="s">
        <v>1852</v>
      </c>
      <c r="D1334" t="s">
        <v>2037</v>
      </c>
      <c r="E1334" s="138">
        <v>28.491813517101441</v>
      </c>
    </row>
    <row r="1335" spans="1:5" x14ac:dyDescent="0.25">
      <c r="A1335" t="s">
        <v>197</v>
      </c>
      <c r="B1335" t="s">
        <v>488</v>
      </c>
      <c r="C1335" t="s">
        <v>1853</v>
      </c>
      <c r="D1335" t="s">
        <v>2037</v>
      </c>
      <c r="E1335" s="138">
        <v>28.843716731171671</v>
      </c>
    </row>
    <row r="1336" spans="1:5" x14ac:dyDescent="0.25">
      <c r="A1336" t="s">
        <v>197</v>
      </c>
      <c r="B1336" t="s">
        <v>488</v>
      </c>
      <c r="C1336" t="s">
        <v>1854</v>
      </c>
      <c r="D1336" t="s">
        <v>2037</v>
      </c>
      <c r="E1336" s="138">
        <v>28.309975320148599</v>
      </c>
    </row>
    <row r="1337" spans="1:5" x14ac:dyDescent="0.25">
      <c r="A1337" t="s">
        <v>197</v>
      </c>
      <c r="B1337" t="s">
        <v>488</v>
      </c>
      <c r="C1337" t="s">
        <v>1855</v>
      </c>
      <c r="D1337" t="s">
        <v>2037</v>
      </c>
      <c r="E1337" s="138">
        <v>27.774370405749121</v>
      </c>
    </row>
    <row r="1338" spans="1:5" x14ac:dyDescent="0.25">
      <c r="A1338" t="s">
        <v>197</v>
      </c>
      <c r="B1338" t="s">
        <v>488</v>
      </c>
      <c r="C1338" t="s">
        <v>1856</v>
      </c>
      <c r="D1338" t="s">
        <v>2037</v>
      </c>
      <c r="E1338" s="138">
        <v>29.902452375853709</v>
      </c>
    </row>
    <row r="1339" spans="1:5" x14ac:dyDescent="0.25">
      <c r="A1339" t="s">
        <v>197</v>
      </c>
      <c r="B1339" t="s">
        <v>489</v>
      </c>
      <c r="C1339" t="s">
        <v>1857</v>
      </c>
      <c r="D1339" t="s">
        <v>2037</v>
      </c>
      <c r="E1339" s="138">
        <v>25.095989821844778</v>
      </c>
    </row>
    <row r="1340" spans="1:5" x14ac:dyDescent="0.25">
      <c r="A1340" t="s">
        <v>197</v>
      </c>
      <c r="B1340" t="s">
        <v>489</v>
      </c>
      <c r="C1340" t="s">
        <v>1858</v>
      </c>
      <c r="D1340" t="s">
        <v>2037</v>
      </c>
      <c r="E1340" s="138">
        <v>28.899455185508149</v>
      </c>
    </row>
    <row r="1341" spans="1:5" x14ac:dyDescent="0.25">
      <c r="A1341" t="s">
        <v>197</v>
      </c>
      <c r="B1341" t="s">
        <v>489</v>
      </c>
      <c r="C1341" t="s">
        <v>1859</v>
      </c>
      <c r="D1341" t="s">
        <v>2037</v>
      </c>
      <c r="E1341" s="138">
        <v>29.97305172077575</v>
      </c>
    </row>
    <row r="1342" spans="1:5" x14ac:dyDescent="0.25">
      <c r="A1342" t="s">
        <v>197</v>
      </c>
      <c r="B1342" t="s">
        <v>489</v>
      </c>
      <c r="C1342" t="s">
        <v>1860</v>
      </c>
      <c r="D1342" t="s">
        <v>2037</v>
      </c>
      <c r="E1342" s="138">
        <v>29.182723539761231</v>
      </c>
    </row>
    <row r="1343" spans="1:5" x14ac:dyDescent="0.25">
      <c r="A1343" t="s">
        <v>197</v>
      </c>
      <c r="B1343" t="s">
        <v>490</v>
      </c>
      <c r="C1343" t="s">
        <v>1861</v>
      </c>
      <c r="D1343" t="s">
        <v>2037</v>
      </c>
      <c r="E1343" s="138">
        <v>28.742220899331169</v>
      </c>
    </row>
    <row r="1344" spans="1:5" x14ac:dyDescent="0.25">
      <c r="A1344" t="s">
        <v>197</v>
      </c>
      <c r="B1344" t="s">
        <v>490</v>
      </c>
      <c r="C1344" t="s">
        <v>1862</v>
      </c>
      <c r="D1344" t="s">
        <v>2037</v>
      </c>
      <c r="E1344" s="138">
        <v>28.230870937043701</v>
      </c>
    </row>
    <row r="1345" spans="1:5" x14ac:dyDescent="0.25">
      <c r="A1345" t="s">
        <v>197</v>
      </c>
      <c r="B1345" t="s">
        <v>491</v>
      </c>
      <c r="C1345" t="s">
        <v>1863</v>
      </c>
      <c r="D1345" t="s">
        <v>2037</v>
      </c>
      <c r="E1345" s="138">
        <v>28.229818135267589</v>
      </c>
    </row>
    <row r="1346" spans="1:5" x14ac:dyDescent="0.25">
      <c r="A1346" t="s">
        <v>197</v>
      </c>
      <c r="B1346" t="s">
        <v>491</v>
      </c>
      <c r="C1346" t="s">
        <v>1864</v>
      </c>
      <c r="D1346" t="s">
        <v>2037</v>
      </c>
      <c r="E1346" s="138">
        <v>28.65976312172171</v>
      </c>
    </row>
    <row r="1347" spans="1:5" x14ac:dyDescent="0.25">
      <c r="A1347" t="s">
        <v>197</v>
      </c>
      <c r="B1347" t="s">
        <v>492</v>
      </c>
      <c r="C1347" t="s">
        <v>1865</v>
      </c>
      <c r="D1347" t="s">
        <v>2037</v>
      </c>
      <c r="E1347" s="138">
        <v>28.264771410968251</v>
      </c>
    </row>
    <row r="1348" spans="1:5" x14ac:dyDescent="0.25">
      <c r="A1348" t="s">
        <v>197</v>
      </c>
      <c r="B1348" t="s">
        <v>492</v>
      </c>
      <c r="C1348" t="s">
        <v>1866</v>
      </c>
      <c r="D1348" t="s">
        <v>2037</v>
      </c>
      <c r="E1348" s="138">
        <v>28.55238476693787</v>
      </c>
    </row>
    <row r="1349" spans="1:5" x14ac:dyDescent="0.25">
      <c r="A1349" t="s">
        <v>197</v>
      </c>
      <c r="B1349" t="s">
        <v>493</v>
      </c>
      <c r="C1349" t="s">
        <v>1867</v>
      </c>
      <c r="D1349" t="s">
        <v>2037</v>
      </c>
      <c r="E1349" s="138">
        <v>24.927980782950531</v>
      </c>
    </row>
    <row r="1350" spans="1:5" x14ac:dyDescent="0.25">
      <c r="A1350" t="s">
        <v>197</v>
      </c>
      <c r="B1350" t="s">
        <v>493</v>
      </c>
      <c r="C1350" t="s">
        <v>1868</v>
      </c>
      <c r="D1350" t="s">
        <v>2037</v>
      </c>
      <c r="E1350" s="138">
        <v>28.850082459433029</v>
      </c>
    </row>
    <row r="1351" spans="1:5" x14ac:dyDescent="0.25">
      <c r="A1351" t="s">
        <v>197</v>
      </c>
      <c r="B1351" t="s">
        <v>493</v>
      </c>
      <c r="C1351" t="s">
        <v>1869</v>
      </c>
      <c r="D1351" t="s">
        <v>2037</v>
      </c>
      <c r="E1351" s="138">
        <v>28.219323144472039</v>
      </c>
    </row>
    <row r="1352" spans="1:5" x14ac:dyDescent="0.25">
      <c r="A1352" t="s">
        <v>197</v>
      </c>
      <c r="B1352" t="s">
        <v>493</v>
      </c>
      <c r="C1352" t="s">
        <v>1870</v>
      </c>
      <c r="D1352" t="s">
        <v>2037</v>
      </c>
      <c r="E1352" s="138">
        <v>31.11757367713362</v>
      </c>
    </row>
    <row r="1353" spans="1:5" x14ac:dyDescent="0.25">
      <c r="A1353" t="s">
        <v>197</v>
      </c>
      <c r="B1353" t="s">
        <v>494</v>
      </c>
      <c r="C1353" t="s">
        <v>1871</v>
      </c>
      <c r="D1353" t="s">
        <v>2037</v>
      </c>
      <c r="E1353" s="138">
        <v>37.099766988334387</v>
      </c>
    </row>
    <row r="1354" spans="1:5" x14ac:dyDescent="0.25">
      <c r="A1354" t="s">
        <v>197</v>
      </c>
      <c r="B1354" t="s">
        <v>494</v>
      </c>
      <c r="C1354" t="s">
        <v>1872</v>
      </c>
      <c r="D1354" t="s">
        <v>2037</v>
      </c>
      <c r="E1354" s="138">
        <v>16.47117902479598</v>
      </c>
    </row>
    <row r="1355" spans="1:5" x14ac:dyDescent="0.25">
      <c r="A1355" t="s">
        <v>197</v>
      </c>
      <c r="B1355" t="s">
        <v>494</v>
      </c>
      <c r="C1355" t="s">
        <v>1873</v>
      </c>
      <c r="D1355" t="s">
        <v>2037</v>
      </c>
      <c r="E1355" s="138">
        <v>35.717472118959108</v>
      </c>
    </row>
    <row r="1356" spans="1:5" x14ac:dyDescent="0.25">
      <c r="A1356" t="s">
        <v>197</v>
      </c>
      <c r="B1356" t="s">
        <v>494</v>
      </c>
      <c r="C1356" t="s">
        <v>1874</v>
      </c>
      <c r="D1356" t="s">
        <v>2037</v>
      </c>
      <c r="E1356" s="138">
        <v>42.03531280172394</v>
      </c>
    </row>
    <row r="1357" spans="1:5" x14ac:dyDescent="0.25">
      <c r="A1357" t="s">
        <v>197</v>
      </c>
      <c r="B1357" t="s">
        <v>494</v>
      </c>
      <c r="C1357" t="s">
        <v>1875</v>
      </c>
      <c r="D1357" t="s">
        <v>2037</v>
      </c>
      <c r="E1357" s="138">
        <v>36.105412016525698</v>
      </c>
    </row>
    <row r="1358" spans="1:5" x14ac:dyDescent="0.25">
      <c r="A1358" t="s">
        <v>197</v>
      </c>
      <c r="B1358" t="s">
        <v>494</v>
      </c>
      <c r="C1358" t="s">
        <v>1876</v>
      </c>
      <c r="D1358" t="s">
        <v>2037</v>
      </c>
      <c r="E1358" s="138">
        <v>24.148146857512561</v>
      </c>
    </row>
    <row r="1359" spans="1:5" x14ac:dyDescent="0.25">
      <c r="A1359" t="s">
        <v>197</v>
      </c>
      <c r="B1359" t="s">
        <v>494</v>
      </c>
      <c r="C1359" t="s">
        <v>1877</v>
      </c>
      <c r="D1359" t="s">
        <v>2037</v>
      </c>
      <c r="E1359" s="138">
        <v>29.588495567800969</v>
      </c>
    </row>
    <row r="1360" spans="1:5" x14ac:dyDescent="0.25">
      <c r="A1360" t="s">
        <v>197</v>
      </c>
      <c r="B1360" t="s">
        <v>494</v>
      </c>
      <c r="C1360" t="s">
        <v>1878</v>
      </c>
      <c r="D1360" t="s">
        <v>2037</v>
      </c>
      <c r="E1360" s="138">
        <v>19.357480069812599</v>
      </c>
    </row>
    <row r="1361" spans="1:5" x14ac:dyDescent="0.25">
      <c r="A1361" t="s">
        <v>197</v>
      </c>
      <c r="B1361" t="s">
        <v>494</v>
      </c>
      <c r="C1361" t="s">
        <v>1879</v>
      </c>
      <c r="D1361" t="s">
        <v>2037</v>
      </c>
      <c r="E1361" s="138">
        <v>28.242103415527179</v>
      </c>
    </row>
    <row r="1362" spans="1:5" x14ac:dyDescent="0.25">
      <c r="A1362" t="s">
        <v>197</v>
      </c>
      <c r="B1362" t="s">
        <v>494</v>
      </c>
      <c r="C1362" t="s">
        <v>1880</v>
      </c>
      <c r="D1362" t="s">
        <v>2037</v>
      </c>
      <c r="E1362" s="138">
        <v>29.026233949805729</v>
      </c>
    </row>
    <row r="1363" spans="1:5" x14ac:dyDescent="0.25">
      <c r="A1363" t="s">
        <v>197</v>
      </c>
      <c r="B1363" t="s">
        <v>494</v>
      </c>
      <c r="C1363" t="s">
        <v>1881</v>
      </c>
      <c r="D1363" t="s">
        <v>2037</v>
      </c>
      <c r="E1363" s="138">
        <v>32.010386890638202</v>
      </c>
    </row>
    <row r="1364" spans="1:5" x14ac:dyDescent="0.25">
      <c r="A1364" t="s">
        <v>197</v>
      </c>
      <c r="B1364" t="s">
        <v>494</v>
      </c>
      <c r="C1364" t="s">
        <v>1882</v>
      </c>
      <c r="D1364" t="s">
        <v>2037</v>
      </c>
      <c r="E1364" s="138">
        <v>19.28395204592471</v>
      </c>
    </row>
    <row r="1365" spans="1:5" x14ac:dyDescent="0.25">
      <c r="A1365" t="s">
        <v>197</v>
      </c>
      <c r="B1365" t="s">
        <v>494</v>
      </c>
      <c r="C1365" t="s">
        <v>1883</v>
      </c>
      <c r="D1365" t="s">
        <v>2037</v>
      </c>
      <c r="E1365" s="138">
        <v>27.973119068963559</v>
      </c>
    </row>
    <row r="1366" spans="1:5" x14ac:dyDescent="0.25">
      <c r="A1366" t="s">
        <v>197</v>
      </c>
      <c r="B1366" t="s">
        <v>494</v>
      </c>
      <c r="C1366" t="s">
        <v>1884</v>
      </c>
      <c r="D1366" t="s">
        <v>2037</v>
      </c>
      <c r="E1366" s="138">
        <v>24.597032369757489</v>
      </c>
    </row>
    <row r="1367" spans="1:5" x14ac:dyDescent="0.25">
      <c r="A1367" t="s">
        <v>197</v>
      </c>
      <c r="B1367" t="s">
        <v>494</v>
      </c>
      <c r="C1367" t="s">
        <v>1885</v>
      </c>
      <c r="D1367" t="s">
        <v>2037</v>
      </c>
      <c r="E1367" s="138">
        <v>35.342567950027153</v>
      </c>
    </row>
    <row r="1368" spans="1:5" x14ac:dyDescent="0.25">
      <c r="A1368" t="s">
        <v>197</v>
      </c>
      <c r="B1368" t="s">
        <v>494</v>
      </c>
      <c r="C1368" t="s">
        <v>1886</v>
      </c>
      <c r="D1368" t="s">
        <v>2037</v>
      </c>
      <c r="E1368" s="138">
        <v>24.43981178919271</v>
      </c>
    </row>
    <row r="1369" spans="1:5" x14ac:dyDescent="0.25">
      <c r="A1369" t="s">
        <v>197</v>
      </c>
      <c r="B1369" t="s">
        <v>494</v>
      </c>
      <c r="C1369" t="s">
        <v>1887</v>
      </c>
      <c r="D1369" t="s">
        <v>2037</v>
      </c>
      <c r="E1369" s="138">
        <v>18.3266118813149</v>
      </c>
    </row>
    <row r="1370" spans="1:5" x14ac:dyDescent="0.25">
      <c r="A1370" t="s">
        <v>197</v>
      </c>
      <c r="B1370" t="s">
        <v>494</v>
      </c>
      <c r="C1370" t="s">
        <v>1888</v>
      </c>
      <c r="D1370" t="s">
        <v>2037</v>
      </c>
      <c r="E1370" s="138">
        <v>29.680690971570161</v>
      </c>
    </row>
    <row r="1371" spans="1:5" x14ac:dyDescent="0.25">
      <c r="A1371" t="s">
        <v>197</v>
      </c>
      <c r="B1371" t="s">
        <v>495</v>
      </c>
      <c r="C1371" t="s">
        <v>1889</v>
      </c>
      <c r="D1371" t="s">
        <v>2038</v>
      </c>
      <c r="E1371" s="138">
        <v>51.464435361947537</v>
      </c>
    </row>
    <row r="1372" spans="1:5" x14ac:dyDescent="0.25">
      <c r="A1372" t="s">
        <v>197</v>
      </c>
      <c r="B1372" t="s">
        <v>496</v>
      </c>
      <c r="C1372" t="s">
        <v>1890</v>
      </c>
      <c r="D1372" t="s">
        <v>2038</v>
      </c>
      <c r="E1372" s="138">
        <v>50.754330694884906</v>
      </c>
    </row>
    <row r="1373" spans="1:5" x14ac:dyDescent="0.25">
      <c r="A1373" t="s">
        <v>197</v>
      </c>
      <c r="B1373" t="s">
        <v>496</v>
      </c>
      <c r="C1373" t="s">
        <v>1891</v>
      </c>
      <c r="D1373" t="s">
        <v>2038</v>
      </c>
      <c r="E1373" s="138">
        <v>51.401812566514707</v>
      </c>
    </row>
    <row r="1374" spans="1:5" x14ac:dyDescent="0.25">
      <c r="A1374" t="s">
        <v>197</v>
      </c>
      <c r="B1374" t="s">
        <v>496</v>
      </c>
      <c r="C1374" t="s">
        <v>1892</v>
      </c>
      <c r="D1374" t="s">
        <v>2038</v>
      </c>
      <c r="E1374" s="138">
        <v>51.97934358261147</v>
      </c>
    </row>
    <row r="1375" spans="1:5" x14ac:dyDescent="0.25">
      <c r="A1375" t="s">
        <v>197</v>
      </c>
      <c r="B1375" t="s">
        <v>496</v>
      </c>
      <c r="C1375" t="s">
        <v>1893</v>
      </c>
      <c r="D1375" t="s">
        <v>2038</v>
      </c>
      <c r="E1375" s="138">
        <v>52.320431252751952</v>
      </c>
    </row>
    <row r="1376" spans="1:5" x14ac:dyDescent="0.25">
      <c r="A1376" t="s">
        <v>197</v>
      </c>
      <c r="B1376" t="s">
        <v>497</v>
      </c>
      <c r="C1376" t="s">
        <v>1894</v>
      </c>
      <c r="D1376" t="s">
        <v>2038</v>
      </c>
      <c r="E1376" s="138">
        <v>51.554072424207909</v>
      </c>
    </row>
    <row r="1377" spans="1:5" x14ac:dyDescent="0.25">
      <c r="A1377" t="s">
        <v>197</v>
      </c>
      <c r="B1377" t="s">
        <v>497</v>
      </c>
      <c r="C1377" t="s">
        <v>1895</v>
      </c>
      <c r="D1377" t="s">
        <v>2038</v>
      </c>
      <c r="E1377" s="138">
        <v>51.167600915843323</v>
      </c>
    </row>
    <row r="1378" spans="1:5" x14ac:dyDescent="0.25">
      <c r="A1378" t="s">
        <v>197</v>
      </c>
      <c r="B1378" t="s">
        <v>497</v>
      </c>
      <c r="C1378" t="s">
        <v>1896</v>
      </c>
      <c r="D1378" t="s">
        <v>2038</v>
      </c>
      <c r="E1378" s="138">
        <v>51.646027840874929</v>
      </c>
    </row>
    <row r="1379" spans="1:5" x14ac:dyDescent="0.25">
      <c r="A1379" t="s">
        <v>197</v>
      </c>
      <c r="B1379" t="s">
        <v>497</v>
      </c>
      <c r="C1379" t="s">
        <v>1897</v>
      </c>
      <c r="D1379" t="s">
        <v>2038</v>
      </c>
      <c r="E1379" s="138">
        <v>51.84028875674489</v>
      </c>
    </row>
    <row r="1380" spans="1:5" x14ac:dyDescent="0.25">
      <c r="A1380" t="s">
        <v>197</v>
      </c>
      <c r="B1380" t="s">
        <v>498</v>
      </c>
      <c r="C1380" t="s">
        <v>1898</v>
      </c>
      <c r="D1380" t="s">
        <v>2038</v>
      </c>
      <c r="E1380" s="138">
        <v>52.101016759045038</v>
      </c>
    </row>
    <row r="1381" spans="1:5" x14ac:dyDescent="0.25">
      <c r="A1381" t="s">
        <v>197</v>
      </c>
      <c r="B1381" t="s">
        <v>498</v>
      </c>
      <c r="C1381" t="s">
        <v>1899</v>
      </c>
      <c r="D1381" t="s">
        <v>2038</v>
      </c>
      <c r="E1381" s="138">
        <v>50.801071563738986</v>
      </c>
    </row>
    <row r="1382" spans="1:5" x14ac:dyDescent="0.25">
      <c r="A1382" t="s">
        <v>197</v>
      </c>
      <c r="B1382" t="s">
        <v>499</v>
      </c>
      <c r="C1382" t="s">
        <v>1900</v>
      </c>
      <c r="D1382" t="s">
        <v>2038</v>
      </c>
      <c r="E1382" s="138">
        <v>51.12296475781195</v>
      </c>
    </row>
    <row r="1383" spans="1:5" x14ac:dyDescent="0.25">
      <c r="A1383" t="s">
        <v>197</v>
      </c>
      <c r="B1383" t="s">
        <v>499</v>
      </c>
      <c r="C1383" t="s">
        <v>1901</v>
      </c>
      <c r="D1383" t="s">
        <v>2038</v>
      </c>
      <c r="E1383" s="138">
        <v>51.790703009382852</v>
      </c>
    </row>
    <row r="1384" spans="1:5" x14ac:dyDescent="0.25">
      <c r="A1384" t="s">
        <v>197</v>
      </c>
      <c r="B1384" t="s">
        <v>500</v>
      </c>
      <c r="C1384" t="s">
        <v>1902</v>
      </c>
      <c r="D1384" t="s">
        <v>2038</v>
      </c>
      <c r="E1384" s="138">
        <v>51.238838748364287</v>
      </c>
    </row>
    <row r="1385" spans="1:5" x14ac:dyDescent="0.25">
      <c r="A1385" t="s">
        <v>197</v>
      </c>
      <c r="B1385" t="s">
        <v>500</v>
      </c>
      <c r="C1385" t="s">
        <v>1903</v>
      </c>
      <c r="D1385" t="s">
        <v>2038</v>
      </c>
      <c r="E1385" s="138">
        <v>51.623888689137488</v>
      </c>
    </row>
    <row r="1386" spans="1:5" x14ac:dyDescent="0.25">
      <c r="A1386" t="s">
        <v>197</v>
      </c>
      <c r="B1386" t="s">
        <v>501</v>
      </c>
      <c r="C1386" t="s">
        <v>1904</v>
      </c>
      <c r="D1386" t="s">
        <v>2038</v>
      </c>
      <c r="E1386" s="138">
        <v>53.834811842666262</v>
      </c>
    </row>
    <row r="1387" spans="1:5" x14ac:dyDescent="0.25">
      <c r="A1387" t="s">
        <v>197</v>
      </c>
      <c r="B1387" t="s">
        <v>501</v>
      </c>
      <c r="C1387" t="s">
        <v>1905</v>
      </c>
      <c r="D1387" t="s">
        <v>2038</v>
      </c>
      <c r="E1387" s="138">
        <v>51.309303252436393</v>
      </c>
    </row>
    <row r="1388" spans="1:5" x14ac:dyDescent="0.25">
      <c r="A1388" t="s">
        <v>197</v>
      </c>
      <c r="B1388" t="s">
        <v>501</v>
      </c>
      <c r="C1388" t="s">
        <v>1906</v>
      </c>
      <c r="D1388" t="s">
        <v>2038</v>
      </c>
      <c r="E1388" s="138">
        <v>51.225174773337272</v>
      </c>
    </row>
    <row r="1389" spans="1:5" x14ac:dyDescent="0.25">
      <c r="A1389" t="s">
        <v>197</v>
      </c>
      <c r="B1389" t="s">
        <v>501</v>
      </c>
      <c r="C1389" t="s">
        <v>1907</v>
      </c>
      <c r="D1389" t="s">
        <v>2038</v>
      </c>
      <c r="E1389" s="138">
        <v>51.327272097705112</v>
      </c>
    </row>
    <row r="1390" spans="1:5" x14ac:dyDescent="0.25">
      <c r="A1390" t="s">
        <v>197</v>
      </c>
      <c r="B1390" t="s">
        <v>502</v>
      </c>
      <c r="C1390" t="s">
        <v>1908</v>
      </c>
      <c r="D1390" t="s">
        <v>2038</v>
      </c>
      <c r="E1390" s="138">
        <v>51.016227494428023</v>
      </c>
    </row>
    <row r="1391" spans="1:5" x14ac:dyDescent="0.25">
      <c r="A1391" t="s">
        <v>197</v>
      </c>
      <c r="B1391" t="s">
        <v>502</v>
      </c>
      <c r="C1391" t="s">
        <v>1909</v>
      </c>
      <c r="D1391" t="s">
        <v>2038</v>
      </c>
      <c r="E1391" s="138">
        <v>55.222844027027357</v>
      </c>
    </row>
    <row r="1392" spans="1:5" x14ac:dyDescent="0.25">
      <c r="A1392" t="s">
        <v>197</v>
      </c>
      <c r="B1392" t="s">
        <v>502</v>
      </c>
      <c r="C1392" t="s">
        <v>1910</v>
      </c>
      <c r="D1392" t="s">
        <v>2038</v>
      </c>
      <c r="E1392" s="138">
        <v>51.338289962825279</v>
      </c>
    </row>
    <row r="1393" spans="1:5" x14ac:dyDescent="0.25">
      <c r="A1393" t="s">
        <v>197</v>
      </c>
      <c r="B1393" t="s">
        <v>502</v>
      </c>
      <c r="C1393" t="s">
        <v>1911</v>
      </c>
      <c r="D1393" t="s">
        <v>2038</v>
      </c>
      <c r="E1393" s="138">
        <v>48.569306050818618</v>
      </c>
    </row>
    <row r="1394" spans="1:5" x14ac:dyDescent="0.25">
      <c r="A1394" t="s">
        <v>197</v>
      </c>
      <c r="B1394" t="s">
        <v>502</v>
      </c>
      <c r="C1394" t="s">
        <v>1912</v>
      </c>
      <c r="D1394" t="s">
        <v>2038</v>
      </c>
      <c r="E1394" s="138">
        <v>50.717191611785729</v>
      </c>
    </row>
    <row r="1395" spans="1:5" x14ac:dyDescent="0.25">
      <c r="A1395" t="s">
        <v>197</v>
      </c>
      <c r="B1395" t="s">
        <v>502</v>
      </c>
      <c r="C1395" t="s">
        <v>1913</v>
      </c>
      <c r="D1395" t="s">
        <v>2038</v>
      </c>
      <c r="E1395" s="138">
        <v>53.720147693617648</v>
      </c>
    </row>
    <row r="1396" spans="1:5" x14ac:dyDescent="0.25">
      <c r="A1396" t="s">
        <v>197</v>
      </c>
      <c r="B1396" t="s">
        <v>502</v>
      </c>
      <c r="C1396" t="s">
        <v>1914</v>
      </c>
      <c r="D1396" t="s">
        <v>2038</v>
      </c>
      <c r="E1396" s="138">
        <v>49.359001872896343</v>
      </c>
    </row>
    <row r="1397" spans="1:5" x14ac:dyDescent="0.25">
      <c r="A1397" t="s">
        <v>197</v>
      </c>
      <c r="B1397" t="s">
        <v>502</v>
      </c>
      <c r="C1397" t="s">
        <v>1915</v>
      </c>
      <c r="D1397" t="s">
        <v>2038</v>
      </c>
      <c r="E1397" s="138">
        <v>48.137066954390093</v>
      </c>
    </row>
    <row r="1398" spans="1:5" x14ac:dyDescent="0.25">
      <c r="A1398" t="s">
        <v>197</v>
      </c>
      <c r="B1398" t="s">
        <v>502</v>
      </c>
      <c r="C1398" t="s">
        <v>1916</v>
      </c>
      <c r="D1398" t="s">
        <v>2038</v>
      </c>
      <c r="E1398" s="138">
        <v>51.430012377227698</v>
      </c>
    </row>
    <row r="1399" spans="1:5" x14ac:dyDescent="0.25">
      <c r="A1399" t="s">
        <v>197</v>
      </c>
      <c r="B1399" t="s">
        <v>502</v>
      </c>
      <c r="C1399" t="s">
        <v>1917</v>
      </c>
      <c r="D1399" t="s">
        <v>2038</v>
      </c>
      <c r="E1399" s="138">
        <v>51.514895057816602</v>
      </c>
    </row>
    <row r="1400" spans="1:5" x14ac:dyDescent="0.25">
      <c r="A1400" t="s">
        <v>197</v>
      </c>
      <c r="B1400" t="s">
        <v>502</v>
      </c>
      <c r="C1400" t="s">
        <v>1918</v>
      </c>
      <c r="D1400" t="s">
        <v>2038</v>
      </c>
      <c r="E1400" s="138">
        <v>50.365124536467512</v>
      </c>
    </row>
    <row r="1401" spans="1:5" x14ac:dyDescent="0.25">
      <c r="A1401" t="s">
        <v>197</v>
      </c>
      <c r="B1401" t="s">
        <v>502</v>
      </c>
      <c r="C1401" t="s">
        <v>1919</v>
      </c>
      <c r="D1401" t="s">
        <v>2038</v>
      </c>
      <c r="E1401" s="138">
        <v>50.426170291003089</v>
      </c>
    </row>
    <row r="1402" spans="1:5" x14ac:dyDescent="0.25">
      <c r="A1402" t="s">
        <v>197</v>
      </c>
      <c r="B1402" t="s">
        <v>502</v>
      </c>
      <c r="C1402" t="s">
        <v>1920</v>
      </c>
      <c r="D1402" t="s">
        <v>2038</v>
      </c>
      <c r="E1402" s="138">
        <v>49.038055477809323</v>
      </c>
    </row>
    <row r="1403" spans="1:5" x14ac:dyDescent="0.25">
      <c r="A1403" t="s">
        <v>197</v>
      </c>
      <c r="B1403" t="s">
        <v>502</v>
      </c>
      <c r="C1403" t="s">
        <v>1921</v>
      </c>
      <c r="D1403" t="s">
        <v>2038</v>
      </c>
      <c r="E1403" s="138">
        <v>61.359709957849162</v>
      </c>
    </row>
    <row r="1404" spans="1:5" x14ac:dyDescent="0.25">
      <c r="A1404" t="s">
        <v>197</v>
      </c>
      <c r="B1404" t="s">
        <v>502</v>
      </c>
      <c r="C1404" t="s">
        <v>1922</v>
      </c>
      <c r="D1404" t="s">
        <v>2038</v>
      </c>
      <c r="E1404" s="138">
        <v>50.371820087768633</v>
      </c>
    </row>
    <row r="1405" spans="1:5" x14ac:dyDescent="0.25">
      <c r="A1405" t="s">
        <v>197</v>
      </c>
      <c r="B1405" t="s">
        <v>502</v>
      </c>
      <c r="C1405" t="s">
        <v>1923</v>
      </c>
      <c r="D1405" t="s">
        <v>2038</v>
      </c>
      <c r="E1405" s="138">
        <v>53.112966754938313</v>
      </c>
    </row>
    <row r="1406" spans="1:5" x14ac:dyDescent="0.25">
      <c r="A1406" t="s">
        <v>197</v>
      </c>
      <c r="B1406" t="s">
        <v>502</v>
      </c>
      <c r="C1406" t="s">
        <v>1924</v>
      </c>
      <c r="D1406" t="s">
        <v>2038</v>
      </c>
      <c r="E1406" s="138">
        <v>58.665905141284142</v>
      </c>
    </row>
    <row r="1407" spans="1:5" x14ac:dyDescent="0.25">
      <c r="A1407" t="s">
        <v>197</v>
      </c>
      <c r="B1407" t="s">
        <v>502</v>
      </c>
      <c r="C1407" t="s">
        <v>1925</v>
      </c>
      <c r="D1407" t="s">
        <v>2038</v>
      </c>
      <c r="E1407" s="138">
        <v>41.861351935536362</v>
      </c>
    </row>
    <row r="1408" spans="1:5" x14ac:dyDescent="0.25">
      <c r="A1408" t="s">
        <v>197</v>
      </c>
      <c r="B1408" t="s">
        <v>503</v>
      </c>
      <c r="C1408" t="s">
        <v>1926</v>
      </c>
      <c r="D1408" t="s">
        <v>2039</v>
      </c>
      <c r="E1408" s="138">
        <v>17.310133807064169</v>
      </c>
    </row>
    <row r="1409" spans="1:5" x14ac:dyDescent="0.25">
      <c r="A1409" t="s">
        <v>197</v>
      </c>
      <c r="B1409" t="s">
        <v>504</v>
      </c>
      <c r="C1409" t="s">
        <v>1927</v>
      </c>
      <c r="D1409" t="s">
        <v>2039</v>
      </c>
      <c r="E1409" s="138">
        <v>17.448082817262851</v>
      </c>
    </row>
    <row r="1410" spans="1:5" x14ac:dyDescent="0.25">
      <c r="A1410" t="s">
        <v>197</v>
      </c>
      <c r="B1410" t="s">
        <v>504</v>
      </c>
      <c r="C1410" t="s">
        <v>1928</v>
      </c>
      <c r="D1410" t="s">
        <v>2039</v>
      </c>
      <c r="E1410" s="138">
        <v>17.52350293928632</v>
      </c>
    </row>
    <row r="1411" spans="1:5" x14ac:dyDescent="0.25">
      <c r="A1411" t="s">
        <v>197</v>
      </c>
      <c r="B1411" t="s">
        <v>504</v>
      </c>
      <c r="C1411" t="s">
        <v>1929</v>
      </c>
      <c r="D1411" t="s">
        <v>2039</v>
      </c>
      <c r="E1411" s="138">
        <v>17.796969648386941</v>
      </c>
    </row>
    <row r="1412" spans="1:5" x14ac:dyDescent="0.25">
      <c r="A1412" t="s">
        <v>197</v>
      </c>
      <c r="B1412" t="s">
        <v>504</v>
      </c>
      <c r="C1412" t="s">
        <v>1930</v>
      </c>
      <c r="D1412" t="s">
        <v>2039</v>
      </c>
      <c r="E1412" s="138">
        <v>15.25615845364327</v>
      </c>
    </row>
    <row r="1413" spans="1:5" x14ac:dyDescent="0.25">
      <c r="A1413" t="s">
        <v>197</v>
      </c>
      <c r="B1413" t="s">
        <v>505</v>
      </c>
      <c r="C1413" t="s">
        <v>1931</v>
      </c>
      <c r="D1413" t="s">
        <v>2039</v>
      </c>
      <c r="E1413" s="138">
        <v>20.384581781284218</v>
      </c>
    </row>
    <row r="1414" spans="1:5" x14ac:dyDescent="0.25">
      <c r="A1414" t="s">
        <v>197</v>
      </c>
      <c r="B1414" t="s">
        <v>505</v>
      </c>
      <c r="C1414" t="s">
        <v>1932</v>
      </c>
      <c r="D1414" t="s">
        <v>2039</v>
      </c>
      <c r="E1414" s="138">
        <v>17.063446212048319</v>
      </c>
    </row>
    <row r="1415" spans="1:5" x14ac:dyDescent="0.25">
      <c r="A1415" t="s">
        <v>197</v>
      </c>
      <c r="B1415" t="s">
        <v>505</v>
      </c>
      <c r="C1415" t="s">
        <v>1933</v>
      </c>
      <c r="D1415" t="s">
        <v>2039</v>
      </c>
      <c r="E1415" s="138">
        <v>15.81996660821558</v>
      </c>
    </row>
    <row r="1416" spans="1:5" x14ac:dyDescent="0.25">
      <c r="A1416" t="s">
        <v>197</v>
      </c>
      <c r="B1416" t="s">
        <v>505</v>
      </c>
      <c r="C1416" t="s">
        <v>1934</v>
      </c>
      <c r="D1416" t="s">
        <v>2039</v>
      </c>
      <c r="E1416" s="138">
        <v>16.71969665067525</v>
      </c>
    </row>
    <row r="1417" spans="1:5" x14ac:dyDescent="0.25">
      <c r="A1417" t="s">
        <v>197</v>
      </c>
      <c r="B1417" t="s">
        <v>506</v>
      </c>
      <c r="C1417" t="s">
        <v>1935</v>
      </c>
      <c r="D1417" t="s">
        <v>2039</v>
      </c>
      <c r="E1417" s="138">
        <v>16.518410479934591</v>
      </c>
    </row>
    <row r="1418" spans="1:5" x14ac:dyDescent="0.25">
      <c r="A1418" t="s">
        <v>197</v>
      </c>
      <c r="B1418" t="s">
        <v>506</v>
      </c>
      <c r="C1418" t="s">
        <v>1936</v>
      </c>
      <c r="D1418" t="s">
        <v>2039</v>
      </c>
      <c r="E1418" s="138">
        <v>18.135166702793761</v>
      </c>
    </row>
    <row r="1419" spans="1:5" x14ac:dyDescent="0.25">
      <c r="A1419" t="s">
        <v>197</v>
      </c>
      <c r="B1419" t="s">
        <v>507</v>
      </c>
      <c r="C1419" t="s">
        <v>1937</v>
      </c>
      <c r="D1419" t="s">
        <v>2039</v>
      </c>
      <c r="E1419" s="138">
        <v>17.76303838381709</v>
      </c>
    </row>
    <row r="1420" spans="1:5" x14ac:dyDescent="0.25">
      <c r="A1420" t="s">
        <v>197</v>
      </c>
      <c r="B1420" t="s">
        <v>507</v>
      </c>
      <c r="C1420" t="s">
        <v>1938</v>
      </c>
      <c r="D1420" t="s">
        <v>2039</v>
      </c>
      <c r="E1420" s="138">
        <v>16.95108044061541</v>
      </c>
    </row>
    <row r="1421" spans="1:5" x14ac:dyDescent="0.25">
      <c r="A1421" t="s">
        <v>197</v>
      </c>
      <c r="B1421" t="s">
        <v>508</v>
      </c>
      <c r="C1421" t="s">
        <v>1939</v>
      </c>
      <c r="D1421" t="s">
        <v>2039</v>
      </c>
      <c r="E1421" s="138">
        <v>17.784517929024311</v>
      </c>
    </row>
    <row r="1422" spans="1:5" x14ac:dyDescent="0.25">
      <c r="A1422" t="s">
        <v>197</v>
      </c>
      <c r="B1422" t="s">
        <v>508</v>
      </c>
      <c r="C1422" t="s">
        <v>1940</v>
      </c>
      <c r="D1422" t="s">
        <v>2039</v>
      </c>
      <c r="E1422" s="138">
        <v>17.102941285493539</v>
      </c>
    </row>
    <row r="1423" spans="1:5" x14ac:dyDescent="0.25">
      <c r="A1423" t="s">
        <v>197</v>
      </c>
      <c r="B1423" t="s">
        <v>509</v>
      </c>
      <c r="C1423" t="s">
        <v>1941</v>
      </c>
      <c r="D1423" t="s">
        <v>2039</v>
      </c>
      <c r="E1423" s="138">
        <v>18.642647226305769</v>
      </c>
    </row>
    <row r="1424" spans="1:5" x14ac:dyDescent="0.25">
      <c r="A1424" t="s">
        <v>197</v>
      </c>
      <c r="B1424" t="s">
        <v>509</v>
      </c>
      <c r="C1424" t="s">
        <v>1942</v>
      </c>
      <c r="D1424" t="s">
        <v>2039</v>
      </c>
      <c r="E1424" s="138">
        <v>17.087379671300301</v>
      </c>
    </row>
    <row r="1425" spans="1:5" x14ac:dyDescent="0.25">
      <c r="A1425" t="s">
        <v>197</v>
      </c>
      <c r="B1425" t="s">
        <v>509</v>
      </c>
      <c r="C1425" t="s">
        <v>1943</v>
      </c>
      <c r="D1425" t="s">
        <v>2039</v>
      </c>
      <c r="E1425" s="138">
        <v>17.658096634037818</v>
      </c>
    </row>
    <row r="1426" spans="1:5" x14ac:dyDescent="0.25">
      <c r="A1426" t="s">
        <v>197</v>
      </c>
      <c r="B1426" t="s">
        <v>509</v>
      </c>
      <c r="C1426" t="s">
        <v>1944</v>
      </c>
      <c r="D1426" t="s">
        <v>2039</v>
      </c>
      <c r="E1426" s="138">
        <v>14.764674707763231</v>
      </c>
    </row>
    <row r="1427" spans="1:5" x14ac:dyDescent="0.25">
      <c r="A1427" t="s">
        <v>197</v>
      </c>
      <c r="B1427" t="s">
        <v>510</v>
      </c>
      <c r="C1427" t="s">
        <v>1945</v>
      </c>
      <c r="D1427" t="s">
        <v>2039</v>
      </c>
      <c r="E1427" s="138">
        <v>11.048694270639251</v>
      </c>
    </row>
    <row r="1428" spans="1:5" x14ac:dyDescent="0.25">
      <c r="A1428" t="s">
        <v>197</v>
      </c>
      <c r="B1428" t="s">
        <v>510</v>
      </c>
      <c r="C1428" t="s">
        <v>1946</v>
      </c>
      <c r="D1428" t="s">
        <v>2039</v>
      </c>
      <c r="E1428" s="138">
        <v>25.820752092897742</v>
      </c>
    </row>
    <row r="1429" spans="1:5" x14ac:dyDescent="0.25">
      <c r="A1429" t="s">
        <v>197</v>
      </c>
      <c r="B1429" t="s">
        <v>510</v>
      </c>
      <c r="C1429" t="s">
        <v>1947</v>
      </c>
      <c r="D1429" t="s">
        <v>2039</v>
      </c>
      <c r="E1429" s="138">
        <v>11.5092936802974</v>
      </c>
    </row>
    <row r="1430" spans="1:5" x14ac:dyDescent="0.25">
      <c r="A1430" t="s">
        <v>197</v>
      </c>
      <c r="B1430" t="s">
        <v>510</v>
      </c>
      <c r="C1430" t="s">
        <v>1948</v>
      </c>
      <c r="D1430" t="s">
        <v>2039</v>
      </c>
      <c r="E1430" s="138">
        <v>8.0914797671279715</v>
      </c>
    </row>
    <row r="1431" spans="1:5" x14ac:dyDescent="0.25">
      <c r="A1431" t="s">
        <v>197</v>
      </c>
      <c r="B1431" t="s">
        <v>510</v>
      </c>
      <c r="C1431" t="s">
        <v>1949</v>
      </c>
      <c r="D1431" t="s">
        <v>2039</v>
      </c>
      <c r="E1431" s="138">
        <v>11.09783347297858</v>
      </c>
    </row>
    <row r="1432" spans="1:5" x14ac:dyDescent="0.25">
      <c r="A1432" t="s">
        <v>197</v>
      </c>
      <c r="B1432" t="s">
        <v>510</v>
      </c>
      <c r="C1432" t="s">
        <v>1950</v>
      </c>
      <c r="D1432" t="s">
        <v>2039</v>
      </c>
      <c r="E1432" s="138">
        <v>19.320874292651101</v>
      </c>
    </row>
    <row r="1433" spans="1:5" x14ac:dyDescent="0.25">
      <c r="A1433" t="s">
        <v>197</v>
      </c>
      <c r="B1433" t="s">
        <v>510</v>
      </c>
      <c r="C1433" t="s">
        <v>1951</v>
      </c>
      <c r="D1433" t="s">
        <v>2039</v>
      </c>
      <c r="E1433" s="138">
        <v>17.370346754110511</v>
      </c>
    </row>
    <row r="1434" spans="1:5" x14ac:dyDescent="0.25">
      <c r="A1434" t="s">
        <v>197</v>
      </c>
      <c r="B1434" t="s">
        <v>510</v>
      </c>
      <c r="C1434" t="s">
        <v>1952</v>
      </c>
      <c r="D1434" t="s">
        <v>2039</v>
      </c>
      <c r="E1434" s="138">
        <v>29.164009982564551</v>
      </c>
    </row>
    <row r="1435" spans="1:5" x14ac:dyDescent="0.25">
      <c r="A1435" t="s">
        <v>197</v>
      </c>
      <c r="B1435" t="s">
        <v>510</v>
      </c>
      <c r="C1435" t="s">
        <v>1953</v>
      </c>
      <c r="D1435" t="s">
        <v>2039</v>
      </c>
      <c r="E1435" s="138">
        <v>16.831912683697769</v>
      </c>
    </row>
    <row r="1436" spans="1:5" x14ac:dyDescent="0.25">
      <c r="A1436" t="s">
        <v>197</v>
      </c>
      <c r="B1436" t="s">
        <v>510</v>
      </c>
      <c r="C1436" t="s">
        <v>1954</v>
      </c>
      <c r="D1436" t="s">
        <v>2039</v>
      </c>
      <c r="E1436" s="138">
        <v>15.81209359987732</v>
      </c>
    </row>
    <row r="1437" spans="1:5" x14ac:dyDescent="0.25">
      <c r="A1437" t="s">
        <v>197</v>
      </c>
      <c r="B1437" t="s">
        <v>510</v>
      </c>
      <c r="C1437" t="s">
        <v>1955</v>
      </c>
      <c r="D1437" t="s">
        <v>2039</v>
      </c>
      <c r="E1437" s="138">
        <v>15.1591715600666</v>
      </c>
    </row>
    <row r="1438" spans="1:5" x14ac:dyDescent="0.25">
      <c r="A1438" t="s">
        <v>197</v>
      </c>
      <c r="B1438" t="s">
        <v>510</v>
      </c>
      <c r="C1438" t="s">
        <v>1956</v>
      </c>
      <c r="D1438" t="s">
        <v>2039</v>
      </c>
      <c r="E1438" s="138">
        <v>25.310710820923461</v>
      </c>
    </row>
    <row r="1439" spans="1:5" x14ac:dyDescent="0.25">
      <c r="A1439" t="s">
        <v>197</v>
      </c>
      <c r="B1439" t="s">
        <v>510</v>
      </c>
      <c r="C1439" t="s">
        <v>1957</v>
      </c>
      <c r="D1439" t="s">
        <v>2039</v>
      </c>
      <c r="E1439" s="138">
        <v>19.013903734567581</v>
      </c>
    </row>
    <row r="1440" spans="1:5" x14ac:dyDescent="0.25">
      <c r="A1440" t="s">
        <v>197</v>
      </c>
      <c r="B1440" t="s">
        <v>510</v>
      </c>
      <c r="C1440" t="s">
        <v>1958</v>
      </c>
      <c r="D1440" t="s">
        <v>2039</v>
      </c>
      <c r="E1440" s="138">
        <v>12.496510598996601</v>
      </c>
    </row>
    <row r="1441" spans="1:5" x14ac:dyDescent="0.25">
      <c r="A1441" t="s">
        <v>197</v>
      </c>
      <c r="B1441" t="s">
        <v>510</v>
      </c>
      <c r="C1441" t="s">
        <v>1959</v>
      </c>
      <c r="D1441" t="s">
        <v>2039</v>
      </c>
      <c r="E1441" s="138">
        <v>12.48874475276955</v>
      </c>
    </row>
    <row r="1442" spans="1:5" x14ac:dyDescent="0.25">
      <c r="A1442" t="s">
        <v>197</v>
      </c>
      <c r="B1442" t="s">
        <v>510</v>
      </c>
      <c r="C1442" t="s">
        <v>1960</v>
      </c>
      <c r="D1442" t="s">
        <v>2039</v>
      </c>
      <c r="E1442" s="138">
        <v>18.972216307241069</v>
      </c>
    </row>
    <row r="1443" spans="1:5" x14ac:dyDescent="0.25">
      <c r="A1443" t="s">
        <v>197</v>
      </c>
      <c r="B1443" t="s">
        <v>510</v>
      </c>
      <c r="C1443" t="s">
        <v>1961</v>
      </c>
      <c r="D1443" t="s">
        <v>2039</v>
      </c>
      <c r="E1443" s="138">
        <v>21.489695211404669</v>
      </c>
    </row>
    <row r="1444" spans="1:5" x14ac:dyDescent="0.25">
      <c r="A1444" t="s">
        <v>197</v>
      </c>
      <c r="B1444" t="s">
        <v>510</v>
      </c>
      <c r="C1444" t="s">
        <v>1962</v>
      </c>
      <c r="D1444" t="s">
        <v>2039</v>
      </c>
      <c r="E1444" s="138">
        <v>22.803797764987308</v>
      </c>
    </row>
    <row r="1445" spans="1:5" x14ac:dyDescent="0.25">
      <c r="A1445" t="s">
        <v>197</v>
      </c>
      <c r="B1445" t="s">
        <v>511</v>
      </c>
      <c r="C1445" t="s">
        <v>1963</v>
      </c>
      <c r="D1445" t="s">
        <v>2040</v>
      </c>
      <c r="E1445" s="138">
        <v>2.7336173138868749</v>
      </c>
    </row>
    <row r="1446" spans="1:5" x14ac:dyDescent="0.25">
      <c r="A1446" t="s">
        <v>197</v>
      </c>
      <c r="B1446" t="s">
        <v>512</v>
      </c>
      <c r="C1446" t="s">
        <v>1964</v>
      </c>
      <c r="D1446" t="s">
        <v>2040</v>
      </c>
      <c r="E1446" s="138">
        <v>2.9538697566805761</v>
      </c>
    </row>
    <row r="1447" spans="1:5" x14ac:dyDescent="0.25">
      <c r="A1447" t="s">
        <v>197</v>
      </c>
      <c r="B1447" t="s">
        <v>512</v>
      </c>
      <c r="C1447" t="s">
        <v>1965</v>
      </c>
      <c r="D1447" t="s">
        <v>2040</v>
      </c>
      <c r="E1447" s="138">
        <v>2.7647091740503802</v>
      </c>
    </row>
    <row r="1448" spans="1:5" x14ac:dyDescent="0.25">
      <c r="A1448" t="s">
        <v>197</v>
      </c>
      <c r="B1448" t="s">
        <v>512</v>
      </c>
      <c r="C1448" t="s">
        <v>1966</v>
      </c>
      <c r="D1448" t="s">
        <v>2040</v>
      </c>
      <c r="E1448" s="138">
        <v>2.4493163632524562</v>
      </c>
    </row>
    <row r="1449" spans="1:5" x14ac:dyDescent="0.25">
      <c r="A1449" t="s">
        <v>197</v>
      </c>
      <c r="B1449" t="s">
        <v>512</v>
      </c>
      <c r="C1449" t="s">
        <v>1967</v>
      </c>
      <c r="D1449" t="s">
        <v>2040</v>
      </c>
      <c r="E1449" s="138">
        <v>2.5209579177510721</v>
      </c>
    </row>
    <row r="1450" spans="1:5" x14ac:dyDescent="0.25">
      <c r="A1450" t="s">
        <v>197</v>
      </c>
      <c r="B1450" t="s">
        <v>513</v>
      </c>
      <c r="C1450" t="s">
        <v>1968</v>
      </c>
      <c r="D1450" t="s">
        <v>2040</v>
      </c>
      <c r="E1450" s="138">
        <v>2.9653559726630911</v>
      </c>
    </row>
    <row r="1451" spans="1:5" x14ac:dyDescent="0.25">
      <c r="A1451" t="s">
        <v>197</v>
      </c>
      <c r="B1451" t="s">
        <v>513</v>
      </c>
      <c r="C1451" t="s">
        <v>1969</v>
      </c>
      <c r="D1451" t="s">
        <v>2040</v>
      </c>
      <c r="E1451" s="138">
        <v>2.8694976866002211</v>
      </c>
    </row>
    <row r="1452" spans="1:5" x14ac:dyDescent="0.25">
      <c r="A1452" t="s">
        <v>197</v>
      </c>
      <c r="B1452" t="s">
        <v>513</v>
      </c>
      <c r="C1452" t="s">
        <v>1970</v>
      </c>
      <c r="D1452" t="s">
        <v>2040</v>
      </c>
      <c r="E1452" s="138">
        <v>2.5609538301337391</v>
      </c>
    </row>
    <row r="1453" spans="1:5" x14ac:dyDescent="0.25">
      <c r="A1453" t="s">
        <v>197</v>
      </c>
      <c r="B1453" t="s">
        <v>513</v>
      </c>
      <c r="C1453" t="s">
        <v>1971</v>
      </c>
      <c r="D1453" t="s">
        <v>2040</v>
      </c>
      <c r="E1453" s="138">
        <v>2.257291052818629</v>
      </c>
    </row>
    <row r="1454" spans="1:5" x14ac:dyDescent="0.25">
      <c r="A1454" t="s">
        <v>197</v>
      </c>
      <c r="B1454" t="s">
        <v>514</v>
      </c>
      <c r="C1454" t="s">
        <v>1972</v>
      </c>
      <c r="D1454" t="s">
        <v>2040</v>
      </c>
      <c r="E1454" s="138">
        <v>2.638351861689173</v>
      </c>
    </row>
    <row r="1455" spans="1:5" x14ac:dyDescent="0.25">
      <c r="A1455" t="s">
        <v>197</v>
      </c>
      <c r="B1455" t="s">
        <v>514</v>
      </c>
      <c r="C1455" t="s">
        <v>1973</v>
      </c>
      <c r="D1455" t="s">
        <v>2040</v>
      </c>
      <c r="E1455" s="138">
        <v>2.832890796423527</v>
      </c>
    </row>
    <row r="1456" spans="1:5" x14ac:dyDescent="0.25">
      <c r="A1456" t="s">
        <v>197</v>
      </c>
      <c r="B1456" t="s">
        <v>515</v>
      </c>
      <c r="C1456" t="s">
        <v>1974</v>
      </c>
      <c r="D1456" t="s">
        <v>2040</v>
      </c>
      <c r="E1456" s="138">
        <v>2.8841787231033651</v>
      </c>
    </row>
    <row r="1457" spans="1:5" x14ac:dyDescent="0.25">
      <c r="A1457" t="s">
        <v>197</v>
      </c>
      <c r="B1457" t="s">
        <v>515</v>
      </c>
      <c r="C1457" t="s">
        <v>1975</v>
      </c>
      <c r="D1457" t="s">
        <v>2040</v>
      </c>
      <c r="E1457" s="138">
        <v>2.5984534282800582</v>
      </c>
    </row>
    <row r="1458" spans="1:5" x14ac:dyDescent="0.25">
      <c r="A1458" t="s">
        <v>197</v>
      </c>
      <c r="B1458" t="s">
        <v>516</v>
      </c>
      <c r="C1458" t="s">
        <v>1976</v>
      </c>
      <c r="D1458" t="s">
        <v>2040</v>
      </c>
      <c r="E1458" s="138">
        <v>2.711871911643156</v>
      </c>
    </row>
    <row r="1459" spans="1:5" x14ac:dyDescent="0.25">
      <c r="A1459" t="s">
        <v>197</v>
      </c>
      <c r="B1459" t="s">
        <v>516</v>
      </c>
      <c r="C1459" t="s">
        <v>1977</v>
      </c>
      <c r="D1459" t="s">
        <v>2040</v>
      </c>
      <c r="E1459" s="138">
        <v>2.720785258431127</v>
      </c>
    </row>
    <row r="1460" spans="1:5" x14ac:dyDescent="0.25">
      <c r="A1460" t="s">
        <v>197</v>
      </c>
      <c r="B1460" t="s">
        <v>517</v>
      </c>
      <c r="C1460" t="s">
        <v>1978</v>
      </c>
      <c r="D1460" t="s">
        <v>2040</v>
      </c>
      <c r="E1460" s="138">
        <v>2.5945601480774512</v>
      </c>
    </row>
    <row r="1461" spans="1:5" x14ac:dyDescent="0.25">
      <c r="A1461" t="s">
        <v>197</v>
      </c>
      <c r="B1461" t="s">
        <v>517</v>
      </c>
      <c r="C1461" t="s">
        <v>1979</v>
      </c>
      <c r="D1461" t="s">
        <v>2040</v>
      </c>
      <c r="E1461" s="138">
        <v>2.7532346168302722</v>
      </c>
    </row>
    <row r="1462" spans="1:5" x14ac:dyDescent="0.25">
      <c r="A1462" t="s">
        <v>197</v>
      </c>
      <c r="B1462" t="s">
        <v>517</v>
      </c>
      <c r="C1462" t="s">
        <v>1980</v>
      </c>
      <c r="D1462" t="s">
        <v>2040</v>
      </c>
      <c r="E1462" s="138">
        <v>2.8974054481528859</v>
      </c>
    </row>
    <row r="1463" spans="1:5" x14ac:dyDescent="0.25">
      <c r="A1463" t="s">
        <v>197</v>
      </c>
      <c r="B1463" t="s">
        <v>517</v>
      </c>
      <c r="C1463" t="s">
        <v>1981</v>
      </c>
      <c r="D1463" t="s">
        <v>2040</v>
      </c>
      <c r="E1463" s="138">
        <v>2.7904795173980599</v>
      </c>
    </row>
    <row r="1464" spans="1:5" x14ac:dyDescent="0.25">
      <c r="A1464" t="s">
        <v>197</v>
      </c>
      <c r="B1464" t="s">
        <v>518</v>
      </c>
      <c r="C1464" t="s">
        <v>1982</v>
      </c>
      <c r="D1464" t="s">
        <v>2040</v>
      </c>
      <c r="E1464" s="138">
        <v>0.83531124659834388</v>
      </c>
    </row>
    <row r="1465" spans="1:5" x14ac:dyDescent="0.25">
      <c r="A1465" t="s">
        <v>197</v>
      </c>
      <c r="B1465" t="s">
        <v>518</v>
      </c>
      <c r="C1465" t="s">
        <v>1983</v>
      </c>
      <c r="D1465" t="s">
        <v>2040</v>
      </c>
      <c r="E1465" s="138">
        <v>2.485224855278922</v>
      </c>
    </row>
    <row r="1466" spans="1:5" x14ac:dyDescent="0.25">
      <c r="A1466" t="s">
        <v>197</v>
      </c>
      <c r="B1466" t="s">
        <v>518</v>
      </c>
      <c r="C1466" t="s">
        <v>1984</v>
      </c>
      <c r="D1466" t="s">
        <v>2040</v>
      </c>
      <c r="E1466" s="138">
        <v>1.434944237918216</v>
      </c>
    </row>
    <row r="1467" spans="1:5" x14ac:dyDescent="0.25">
      <c r="A1467" t="s">
        <v>197</v>
      </c>
      <c r="B1467" t="s">
        <v>518</v>
      </c>
      <c r="C1467" t="s">
        <v>1985</v>
      </c>
      <c r="D1467" t="s">
        <v>2040</v>
      </c>
      <c r="E1467" s="138">
        <v>1.3039013803294639</v>
      </c>
    </row>
    <row r="1468" spans="1:5" x14ac:dyDescent="0.25">
      <c r="A1468" t="s">
        <v>197</v>
      </c>
      <c r="B1468" t="s">
        <v>518</v>
      </c>
      <c r="C1468" t="s">
        <v>1986</v>
      </c>
      <c r="D1468" t="s">
        <v>2040</v>
      </c>
      <c r="E1468" s="138">
        <v>2.079562898709987</v>
      </c>
    </row>
    <row r="1469" spans="1:5" x14ac:dyDescent="0.25">
      <c r="A1469" t="s">
        <v>197</v>
      </c>
      <c r="B1469" t="s">
        <v>518</v>
      </c>
      <c r="C1469" t="s">
        <v>1987</v>
      </c>
      <c r="D1469" t="s">
        <v>2040</v>
      </c>
      <c r="E1469" s="138">
        <v>2.810831156218653</v>
      </c>
    </row>
    <row r="1470" spans="1:5" x14ac:dyDescent="0.25">
      <c r="A1470" t="s">
        <v>197</v>
      </c>
      <c r="B1470" t="s">
        <v>518</v>
      </c>
      <c r="C1470" t="s">
        <v>1988</v>
      </c>
      <c r="D1470" t="s">
        <v>2040</v>
      </c>
      <c r="E1470" s="138">
        <v>3.6821558051921852</v>
      </c>
    </row>
    <row r="1471" spans="1:5" x14ac:dyDescent="0.25">
      <c r="A1471" t="s">
        <v>197</v>
      </c>
      <c r="B1471" t="s">
        <v>518</v>
      </c>
      <c r="C1471" t="s">
        <v>1989</v>
      </c>
      <c r="D1471" t="s">
        <v>2040</v>
      </c>
      <c r="E1471" s="138">
        <v>3.341442993232735</v>
      </c>
    </row>
    <row r="1472" spans="1:5" x14ac:dyDescent="0.25">
      <c r="A1472" t="s">
        <v>197</v>
      </c>
      <c r="B1472" t="s">
        <v>518</v>
      </c>
      <c r="C1472" t="s">
        <v>1990</v>
      </c>
      <c r="D1472" t="s">
        <v>2040</v>
      </c>
      <c r="E1472" s="138">
        <v>3.495971523547369</v>
      </c>
    </row>
    <row r="1473" spans="1:5" x14ac:dyDescent="0.25">
      <c r="A1473" t="s">
        <v>197</v>
      </c>
      <c r="B1473" t="s">
        <v>518</v>
      </c>
      <c r="C1473" t="s">
        <v>1991</v>
      </c>
      <c r="D1473" t="s">
        <v>2040</v>
      </c>
      <c r="E1473" s="138">
        <v>3.6467773925003808</v>
      </c>
    </row>
    <row r="1474" spans="1:5" x14ac:dyDescent="0.25">
      <c r="A1474" t="s">
        <v>197</v>
      </c>
      <c r="B1474" t="s">
        <v>518</v>
      </c>
      <c r="C1474" t="s">
        <v>1992</v>
      </c>
      <c r="D1474" t="s">
        <v>2040</v>
      </c>
      <c r="E1474" s="138">
        <v>2.4653170128276618</v>
      </c>
    </row>
    <row r="1475" spans="1:5" x14ac:dyDescent="0.25">
      <c r="A1475" t="s">
        <v>197</v>
      </c>
      <c r="B1475" t="s">
        <v>518</v>
      </c>
      <c r="C1475" t="s">
        <v>1993</v>
      </c>
      <c r="D1475" t="s">
        <v>2040</v>
      </c>
      <c r="E1475" s="138">
        <v>4.9791668421487918</v>
      </c>
    </row>
    <row r="1476" spans="1:5" x14ac:dyDescent="0.25">
      <c r="A1476" t="s">
        <v>197</v>
      </c>
      <c r="B1476" t="s">
        <v>518</v>
      </c>
      <c r="C1476" t="s">
        <v>1994</v>
      </c>
      <c r="D1476" t="s">
        <v>2040</v>
      </c>
      <c r="E1476" s="138">
        <v>3.9749217186595009</v>
      </c>
    </row>
    <row r="1477" spans="1:5" x14ac:dyDescent="0.25">
      <c r="A1477" t="s">
        <v>197</v>
      </c>
      <c r="B1477" t="s">
        <v>518</v>
      </c>
      <c r="C1477" t="s">
        <v>1995</v>
      </c>
      <c r="D1477" t="s">
        <v>2040</v>
      </c>
      <c r="E1477" s="138">
        <v>1.546747073396723</v>
      </c>
    </row>
    <row r="1478" spans="1:5" x14ac:dyDescent="0.25">
      <c r="A1478" t="s">
        <v>197</v>
      </c>
      <c r="B1478" t="s">
        <v>518</v>
      </c>
      <c r="C1478" t="s">
        <v>1996</v>
      </c>
      <c r="D1478" t="s">
        <v>2040</v>
      </c>
      <c r="E1478" s="138">
        <v>1.796867209434678</v>
      </c>
    </row>
    <row r="1479" spans="1:5" x14ac:dyDescent="0.25">
      <c r="A1479" t="s">
        <v>197</v>
      </c>
      <c r="B1479" t="s">
        <v>518</v>
      </c>
      <c r="C1479" t="s">
        <v>1997</v>
      </c>
      <c r="D1479" t="s">
        <v>2040</v>
      </c>
      <c r="E1479" s="138">
        <v>3.4750051486279592</v>
      </c>
    </row>
    <row r="1480" spans="1:5" x14ac:dyDescent="0.25">
      <c r="A1480" t="s">
        <v>197</v>
      </c>
      <c r="B1480" t="s">
        <v>518</v>
      </c>
      <c r="C1480" t="s">
        <v>1998</v>
      </c>
      <c r="D1480" t="s">
        <v>2040</v>
      </c>
      <c r="E1480" s="138">
        <v>1.517787765996278</v>
      </c>
    </row>
    <row r="1481" spans="1:5" x14ac:dyDescent="0.25">
      <c r="A1481" t="s">
        <v>197</v>
      </c>
      <c r="B1481" t="s">
        <v>518</v>
      </c>
      <c r="C1481" t="s">
        <v>1999</v>
      </c>
      <c r="D1481" t="s">
        <v>2040</v>
      </c>
      <c r="E1481" s="138">
        <v>5.6541593279061964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Gini</vt:lpstr>
      <vt:lpstr>Unfair</vt:lpstr>
      <vt:lpstr>Relative vs. Absolute</vt:lpstr>
      <vt:lpstr>Variables Availability</vt:lpstr>
      <vt:lpstr>Statistics of the sample</vt:lpstr>
      <vt:lpstr>Surveys</vt:lpstr>
      <vt:lpstr>Country_availability</vt:lpstr>
      <vt:lpstr>Table Aux_1</vt:lpstr>
      <vt:lpstr>Not used -&gt;</vt:lpstr>
      <vt:lpstr>CCTs</vt:lpstr>
      <vt:lpstr>Convergence</vt:lpstr>
      <vt:lpstr>Variance</vt:lpstr>
      <vt:lpstr>Fairness by group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German Jeremias Reyes</dc:creator>
  <cp:lastModifiedBy>Germán Reyes</cp:lastModifiedBy>
  <dcterms:created xsi:type="dcterms:W3CDTF">2017-03-15T23:13:27Z</dcterms:created>
  <dcterms:modified xsi:type="dcterms:W3CDTF">2021-05-12T15:35:46Z</dcterms:modified>
</cp:coreProperties>
</file>