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3.xml" ContentType="application/vnd.openxmlformats-officedocument.themeOverrid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5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7.xml" ContentType="application/vnd.openxmlformats-officedocument.themeOverrid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8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20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21.xml" ContentType="application/vnd.openxmlformats-officedocument.themeOverride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22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23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4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5.xml" ContentType="application/vnd.openxmlformats-officedocument.themeOverride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6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7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8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9.xml" ContentType="application/vnd.openxmlformats-officedocument.themeOverride+xml"/>
  <Override PartName="/xl/drawings/drawing9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30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31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32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33.xml" ContentType="application/vnd.openxmlformats-officedocument.themeOverride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34.xml" ContentType="application/vnd.openxmlformats-officedocument.themeOverrid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35.xml" ContentType="application/vnd.openxmlformats-officedocument.themeOverrid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36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37.xml" ContentType="application/vnd.openxmlformats-officedocument.themeOverride+xml"/>
  <Override PartName="/xl/drawings/drawing11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38.xml" ContentType="application/vnd.openxmlformats-officedocument.themeOverrid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heme/themeOverride39.xml" ContentType="application/vnd.openxmlformats-officedocument.themeOverrid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theme/themeOverride40.xml" ContentType="application/vnd.openxmlformats-officedocument.themeOverrid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theme/themeOverride41.xml" ContentType="application/vnd.openxmlformats-officedocument.themeOverride+xml"/>
  <Override PartName="/xl/drawings/drawing12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theme/themeOverride42.xml" ContentType="application/vnd.openxmlformats-officedocument.themeOverrid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theme/themeOverride43.xml" ContentType="application/vnd.openxmlformats-officedocument.themeOverrid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theme/themeOverride44.xml" ContentType="application/vnd.openxmlformats-officedocument.themeOverrid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theme/themeOverride45.xml" ContentType="application/vnd.openxmlformats-officedocument.themeOverride+xml"/>
  <Override PartName="/xl/drawings/drawing13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theme/themeOverride46.xml" ContentType="application/vnd.openxmlformats-officedocument.themeOverrid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theme/themeOverride47.xml" ContentType="application/vnd.openxmlformats-officedocument.themeOverrid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theme/themeOverride48.xml" ContentType="application/vnd.openxmlformats-officedocument.themeOverrid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theme/themeOverride49.xml" ContentType="application/vnd.openxmlformats-officedocument.themeOverride+xml"/>
  <Override PartName="/xl/drawings/drawing14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theme/themeOverride50.xml" ContentType="application/vnd.openxmlformats-officedocument.themeOverrid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theme/themeOverride51.xml" ContentType="application/vnd.openxmlformats-officedocument.themeOverrid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theme/themeOverride52.xml" ContentType="application/vnd.openxmlformats-officedocument.themeOverrid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theme/themeOverride53.xml" ContentType="application/vnd.openxmlformats-officedocument.themeOverride+xml"/>
  <Override PartName="/xl/drawings/drawing15.xml" ContentType="application/vnd.openxmlformats-officedocument.drawing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theme/themeOverride54.xml" ContentType="application/vnd.openxmlformats-officedocument.themeOverrid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theme/themeOverride55.xml" ContentType="application/vnd.openxmlformats-officedocument.themeOverrid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theme/themeOverride56.xml" ContentType="application/vnd.openxmlformats-officedocument.themeOverrid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theme/themeOverride57.xml" ContentType="application/vnd.openxmlformats-officedocument.themeOverride+xml"/>
  <Override PartName="/xl/drawings/drawing16.xml" ContentType="application/vnd.openxmlformats-officedocument.drawing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theme/themeOverride58.xml" ContentType="application/vnd.openxmlformats-officedocument.themeOverrid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theme/themeOverride59.xml" ContentType="application/vnd.openxmlformats-officedocument.themeOverrid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theme/themeOverride60.xml" ContentType="application/vnd.openxmlformats-officedocument.themeOverrid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theme/themeOverride61.xml" ContentType="application/vnd.openxmlformats-officedocument.themeOverride+xml"/>
  <Override PartName="/xl/drawings/drawing17.xml" ContentType="application/vnd.openxmlformats-officedocument.drawing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theme/themeOverride62.xml" ContentType="application/vnd.openxmlformats-officedocument.themeOverrid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theme/themeOverride63.xml" ContentType="application/vnd.openxmlformats-officedocument.themeOverrid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theme/themeOverride64.xml" ContentType="application/vnd.openxmlformats-officedocument.themeOverrid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theme/themeOverride65.xml" ContentType="application/vnd.openxmlformats-officedocument.themeOverride+xml"/>
  <Override PartName="/xl/drawings/drawing18.xml" ContentType="application/vnd.openxmlformats-officedocument.drawing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theme/themeOverride66.xml" ContentType="application/vnd.openxmlformats-officedocument.themeOverrid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theme/themeOverride67.xml" ContentType="application/vnd.openxmlformats-officedocument.themeOverrid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theme/themeOverride68.xml" ContentType="application/vnd.openxmlformats-officedocument.themeOverrid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theme/themeOverride69.xml" ContentType="application/vnd.openxmlformats-officedocument.themeOverride+xml"/>
  <Override PartName="/xl/drawings/drawing19.xml" ContentType="application/vnd.openxmlformats-officedocument.drawing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theme/themeOverride70.xml" ContentType="application/vnd.openxmlformats-officedocument.themeOverrid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theme/themeOverride71.xml" ContentType="application/vnd.openxmlformats-officedocument.themeOverrid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theme/themeOverride72.xml" ContentType="application/vnd.openxmlformats-officedocument.themeOverrid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theme/themeOverride73.xml" ContentType="application/vnd.openxmlformats-officedocument.themeOverride+xml"/>
  <Override PartName="/xl/drawings/drawing20.xml" ContentType="application/vnd.openxmlformats-officedocument.drawing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theme/themeOverride74.xml" ContentType="application/vnd.openxmlformats-officedocument.themeOverrid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theme/themeOverride75.xml" ContentType="application/vnd.openxmlformats-officedocument.themeOverrid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theme/themeOverride76.xml" ContentType="application/vnd.openxmlformats-officedocument.themeOverrid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theme/themeOverride77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b484541\Box Sync\Personal\Perceptions about inequality\04_Output\"/>
    </mc:Choice>
  </mc:AlternateContent>
  <bookViews>
    <workbookView xWindow="0" yWindow="15" windowWidth="16155" windowHeight="10230" tabRatio="676"/>
  </bookViews>
  <sheets>
    <sheet name="lac" sheetId="19" r:id="rId1"/>
    <sheet name="arg" sheetId="1" r:id="rId2"/>
    <sheet name="bol" sheetId="2" r:id="rId3"/>
    <sheet name="bra" sheetId="3" r:id="rId4"/>
    <sheet name="chl" sheetId="4" r:id="rId5"/>
    <sheet name="col" sheetId="5" r:id="rId6"/>
    <sheet name="cri" sheetId="6" r:id="rId7"/>
    <sheet name="dom" sheetId="7" r:id="rId8"/>
    <sheet name="ecu" sheetId="8" r:id="rId9"/>
    <sheet name="gtm" sheetId="9" r:id="rId10"/>
    <sheet name="hnd" sheetId="10" r:id="rId11"/>
    <sheet name="mex" sheetId="11" r:id="rId12"/>
    <sheet name="nic" sheetId="12" r:id="rId13"/>
    <sheet name="pan" sheetId="13" r:id="rId14"/>
    <sheet name="per" sheetId="14" r:id="rId15"/>
    <sheet name="pry" sheetId="15" r:id="rId16"/>
    <sheet name="slv" sheetId="16" r:id="rId17"/>
    <sheet name="ury" sheetId="17" r:id="rId18"/>
    <sheet name="ven" sheetId="18" r:id="rId19"/>
  </sheets>
  <calcPr calcId="152511"/>
</workbook>
</file>

<file path=xl/calcChain.xml><?xml version="1.0" encoding="utf-8"?>
<calcChain xmlns="http://schemas.openxmlformats.org/spreadsheetml/2006/main">
  <c r="Y3" i="19" l="1"/>
  <c r="Z3" i="19"/>
  <c r="Y4" i="19"/>
  <c r="Z4" i="19"/>
  <c r="Y5" i="19"/>
  <c r="Z5" i="19"/>
  <c r="Y6" i="19"/>
  <c r="Z6" i="19"/>
  <c r="Y7" i="19"/>
  <c r="Z7" i="19"/>
  <c r="Y8" i="19"/>
  <c r="Z8" i="19"/>
  <c r="Y9" i="19"/>
  <c r="Z9" i="19"/>
  <c r="Y10" i="19"/>
  <c r="Z10" i="19"/>
  <c r="Z2" i="19"/>
  <c r="Y2" i="19"/>
</calcChain>
</file>

<file path=xl/sharedStrings.xml><?xml version="1.0" encoding="utf-8"?>
<sst xmlns="http://schemas.openxmlformats.org/spreadsheetml/2006/main" count="441" uniqueCount="23">
  <si>
    <t>% Fair</t>
  </si>
  <si>
    <t>% Unfair or Very Unfair</t>
  </si>
  <si>
    <t>% Very Fair</t>
  </si>
  <si>
    <t>% Very Unfair</t>
  </si>
  <si>
    <t>Mean index</t>
  </si>
  <si>
    <t>Coefficient Variation</t>
  </si>
  <si>
    <t>Absolute Gini</t>
  </si>
  <si>
    <t>Gini coefficient (no zero income)</t>
  </si>
  <si>
    <t>Ratio 75/25</t>
  </si>
  <si>
    <t>Ratio 90/10</t>
  </si>
  <si>
    <t>Theil index, GE(1)</t>
  </si>
  <si>
    <t>Variance</t>
  </si>
  <si>
    <t>% Unfair</t>
  </si>
  <si>
    <t>Atk (0.5)</t>
  </si>
  <si>
    <t>Atk (1)</t>
  </si>
  <si>
    <t>Atk (2)</t>
  </si>
  <si>
    <t>GE(0)</t>
  </si>
  <si>
    <t>a) Perception of fairness (%)</t>
  </si>
  <si>
    <t>Gini coefficient</t>
  </si>
  <si>
    <t>c) Perception of fairness and relative inequality indicators</t>
  </si>
  <si>
    <t>b) Perception of fairness and Gini coefficient</t>
  </si>
  <si>
    <t>d) Perception of fairness and absolute gini</t>
  </si>
  <si>
    <t>GE(2)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</si>
</sst>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 x14ac:knownFonts="1">
    <font>
      <sz val="10"/>
      <name val="Arial"/>
    </font>
    <font>
      <sz val="10"/>
      <name val="Arial"/>
      <family val="2"/>
    </font>
    <font>
      <sz val="12"/>
      <name val="Bell MT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Relationship Id="rId4" Type="http://schemas.openxmlformats.org/officeDocument/2006/relationships/chartUserShapes" Target="../drawings/drawing2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4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5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6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7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8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9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0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1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2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3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4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5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6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7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8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9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0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1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2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3.xml"/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4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5.xml"/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6.xml"/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7.xml"/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8.xml"/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9.xml"/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0.xml"/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1.xml"/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2.xml"/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3.xml"/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4.xml"/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5.xml"/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6.xml"/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7.xml"/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8.xml"/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9.xml"/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0.xml"/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1.xml"/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2.xml"/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3.xml"/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4.xml"/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5.xml"/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6.xml"/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7.xml"/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0"/>
          <c:order val="0"/>
          <c:tx>
            <c:strRef>
              <c:f>lac!$C$1</c:f>
              <c:strCache>
                <c:ptCount val="1"/>
                <c:pt idx="0">
                  <c:v>% Unfair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cat>
            <c:numRef>
              <c:f>lac!$A$2:$A$20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lac!$C$2:$C$20</c:f>
              <c:numCache>
                <c:formatCode>0.00</c:formatCode>
                <c:ptCount val="19"/>
                <c:pt idx="0">
                  <c:v>51.633045196533203</c:v>
                </c:pt>
                <c:pt idx="4">
                  <c:v>51.434837341308594</c:v>
                </c:pt>
                <c:pt idx="5">
                  <c:v>53.523593902587891</c:v>
                </c:pt>
                <c:pt idx="10">
                  <c:v>50.161735534667969</c:v>
                </c:pt>
                <c:pt idx="12">
                  <c:v>53.425437927246094</c:v>
                </c:pt>
                <c:pt idx="13">
                  <c:v>53.232002258300781</c:v>
                </c:pt>
                <c:pt idx="14">
                  <c:v>54.985263824462891</c:v>
                </c:pt>
                <c:pt idx="16">
                  <c:v>47.272560119628906</c:v>
                </c:pt>
                <c:pt idx="18">
                  <c:v>49.256275177001953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lac!$F$1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lac!$A$2:$A$20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lac!$F$2:$F$20</c:f>
              <c:numCache>
                <c:formatCode>0.00</c:formatCode>
                <c:ptCount val="19"/>
                <c:pt idx="0">
                  <c:v>80.390068054199219</c:v>
                </c:pt>
                <c:pt idx="4">
                  <c:v>88.869705200195313</c:v>
                </c:pt>
                <c:pt idx="5">
                  <c:v>86.606796264648437</c:v>
                </c:pt>
                <c:pt idx="10">
                  <c:v>77.75323486328125</c:v>
                </c:pt>
                <c:pt idx="12">
                  <c:v>77.85107421875</c:v>
                </c:pt>
                <c:pt idx="13">
                  <c:v>77.948577880859375</c:v>
                </c:pt>
                <c:pt idx="14">
                  <c:v>79.455070495605469</c:v>
                </c:pt>
                <c:pt idx="16">
                  <c:v>72.909950256347656</c:v>
                </c:pt>
                <c:pt idx="18">
                  <c:v>75.084632873535156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lac!$B$1</c:f>
              <c:strCache>
                <c:ptCount val="1"/>
                <c:pt idx="0">
                  <c:v>% Very Unfair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lac!$A$2:$A$20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lac!$B$2:$B$20</c:f>
              <c:numCache>
                <c:formatCode>0.00</c:formatCode>
                <c:ptCount val="19"/>
                <c:pt idx="0">
                  <c:v>28.757022857666016</c:v>
                </c:pt>
                <c:pt idx="4">
                  <c:v>37.434867858886719</c:v>
                </c:pt>
                <c:pt idx="5">
                  <c:v>33.083198547363281</c:v>
                </c:pt>
                <c:pt idx="10">
                  <c:v>27.591503143310547</c:v>
                </c:pt>
                <c:pt idx="12">
                  <c:v>24.425638198852539</c:v>
                </c:pt>
                <c:pt idx="13">
                  <c:v>24.716573715209961</c:v>
                </c:pt>
                <c:pt idx="14">
                  <c:v>24.469806671142578</c:v>
                </c:pt>
                <c:pt idx="16">
                  <c:v>25.637388229370117</c:v>
                </c:pt>
                <c:pt idx="18">
                  <c:v>25.82835578918457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686288"/>
        <c:axId val="645686680"/>
      </c:lineChart>
      <c:catAx>
        <c:axId val="64568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5686680"/>
        <c:crosses val="autoZero"/>
        <c:auto val="1"/>
        <c:lblAlgn val="ctr"/>
        <c:lblOffset val="100"/>
        <c:noMultiLvlLbl val="0"/>
      </c:catAx>
      <c:valAx>
        <c:axId val="645686680"/>
        <c:scaling>
          <c:orientation val="minMax"/>
          <c:max val="100"/>
          <c:min val="2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568628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942694663167115E-2"/>
          <c:y val="0.90544400699912508"/>
          <c:w val="0.8700958005249344"/>
          <c:h val="7.3335885097696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3350940507436555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lac!$F$1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lac!$A$2:$A$20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lac!$F$2:$F$20</c:f>
              <c:numCache>
                <c:formatCode>0.00</c:formatCode>
                <c:ptCount val="19"/>
                <c:pt idx="0">
                  <c:v>80.390068054199219</c:v>
                </c:pt>
                <c:pt idx="4">
                  <c:v>88.869705200195313</c:v>
                </c:pt>
                <c:pt idx="5">
                  <c:v>86.606796264648437</c:v>
                </c:pt>
                <c:pt idx="10">
                  <c:v>77.75323486328125</c:v>
                </c:pt>
                <c:pt idx="12">
                  <c:v>77.85107421875</c:v>
                </c:pt>
                <c:pt idx="13">
                  <c:v>77.948577880859375</c:v>
                </c:pt>
                <c:pt idx="14">
                  <c:v>79.455070495605469</c:v>
                </c:pt>
                <c:pt idx="16">
                  <c:v>72.909950256347656</c:v>
                </c:pt>
                <c:pt idx="18">
                  <c:v>75.084632873535156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687464"/>
        <c:axId val="645687856"/>
      </c:lineChart>
      <c:lineChart>
        <c:grouping val="standard"/>
        <c:varyColors val="0"/>
        <c:ser>
          <c:idx val="0"/>
          <c:order val="1"/>
          <c:tx>
            <c:strRef>
              <c:f>lac!$N$1</c:f>
              <c:strCache>
                <c:ptCount val="1"/>
                <c:pt idx="0">
                  <c:v>Gini coefficient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lac!$N$2:$N$20</c:f>
              <c:numCache>
                <c:formatCode>0.00</c:formatCode>
                <c:ptCount val="19"/>
                <c:pt idx="0">
                  <c:v>0.54566875214321653</c:v>
                </c:pt>
                <c:pt idx="4">
                  <c:v>0.53790696425077866</c:v>
                </c:pt>
                <c:pt idx="5">
                  <c:v>0.53744588568453899</c:v>
                </c:pt>
                <c:pt idx="10">
                  <c:v>0.50604460145487407</c:v>
                </c:pt>
                <c:pt idx="12">
                  <c:v>0.48962708953357353</c:v>
                </c:pt>
                <c:pt idx="13">
                  <c:v>0.4846444817651171</c:v>
                </c:pt>
                <c:pt idx="14">
                  <c:v>0.48130264411350154</c:v>
                </c:pt>
                <c:pt idx="16">
                  <c:v>0.47656148719443131</c:v>
                </c:pt>
                <c:pt idx="18">
                  <c:v>0.4715095446724743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688640"/>
        <c:axId val="645688248"/>
      </c:lineChart>
      <c:catAx>
        <c:axId val="645687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5687856"/>
        <c:crosses val="autoZero"/>
        <c:auto val="1"/>
        <c:lblAlgn val="ctr"/>
        <c:lblOffset val="100"/>
        <c:noMultiLvlLbl val="0"/>
      </c:catAx>
      <c:valAx>
        <c:axId val="645687856"/>
        <c:scaling>
          <c:orientation val="minMax"/>
          <c:max val="100"/>
          <c:min val="7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5687464"/>
        <c:crosses val="autoZero"/>
        <c:crossBetween val="between"/>
        <c:majorUnit val="10"/>
      </c:valAx>
      <c:valAx>
        <c:axId val="645688248"/>
        <c:scaling>
          <c:orientation val="minMax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Gini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5688640"/>
        <c:crosses val="max"/>
        <c:crossBetween val="between"/>
        <c:majorUnit val="5.000000000000001E-2"/>
      </c:valAx>
      <c:catAx>
        <c:axId val="645688640"/>
        <c:scaling>
          <c:orientation val="minMax"/>
        </c:scaling>
        <c:delete val="1"/>
        <c:axPos val="b"/>
        <c:majorTickMark val="out"/>
        <c:minorTickMark val="none"/>
        <c:tickLblPos val="nextTo"/>
        <c:crossAx val="645688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lac!$F$1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lac!$A$2:$A$20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lac!$F$2:$F$20</c:f>
              <c:numCache>
                <c:formatCode>0.00</c:formatCode>
                <c:ptCount val="19"/>
                <c:pt idx="0">
                  <c:v>80.390068054199219</c:v>
                </c:pt>
                <c:pt idx="4">
                  <c:v>88.869705200195313</c:v>
                </c:pt>
                <c:pt idx="5">
                  <c:v>86.606796264648437</c:v>
                </c:pt>
                <c:pt idx="10">
                  <c:v>77.75323486328125</c:v>
                </c:pt>
                <c:pt idx="12">
                  <c:v>77.85107421875</c:v>
                </c:pt>
                <c:pt idx="13">
                  <c:v>77.948577880859375</c:v>
                </c:pt>
                <c:pt idx="14">
                  <c:v>79.455070495605469</c:v>
                </c:pt>
                <c:pt idx="16">
                  <c:v>72.909950256347656</c:v>
                </c:pt>
                <c:pt idx="18">
                  <c:v>75.084632873535156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122224"/>
        <c:axId val="184122616"/>
      </c:lineChart>
      <c:lineChart>
        <c:grouping val="standard"/>
        <c:varyColors val="0"/>
        <c:ser>
          <c:idx val="0"/>
          <c:order val="1"/>
          <c:tx>
            <c:strRef>
              <c:f>lac!$P$1</c:f>
              <c:strCache>
                <c:ptCount val="1"/>
                <c:pt idx="0">
                  <c:v>GE(0)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lac!$P$2:$P$20</c:f>
              <c:numCache>
                <c:formatCode>0.00</c:formatCode>
                <c:ptCount val="19"/>
                <c:pt idx="0">
                  <c:v>0.54425245664240329</c:v>
                </c:pt>
                <c:pt idx="4">
                  <c:v>0.52948532559612926</c:v>
                </c:pt>
                <c:pt idx="5">
                  <c:v>0.53254507536183193</c:v>
                </c:pt>
                <c:pt idx="10">
                  <c:v>0.46258576027743104</c:v>
                </c:pt>
                <c:pt idx="12">
                  <c:v>0.43314103899578277</c:v>
                </c:pt>
                <c:pt idx="13">
                  <c:v>0.42439450887727426</c:v>
                </c:pt>
                <c:pt idx="14">
                  <c:v>0.42004640550263733</c:v>
                </c:pt>
                <c:pt idx="16">
                  <c:v>0.4080543492979401</c:v>
                </c:pt>
                <c:pt idx="18">
                  <c:v>0.39802933214181907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lac!$I$1</c:f>
              <c:strCache>
                <c:ptCount val="1"/>
                <c:pt idx="0">
                  <c:v>Atk (1)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lac!$I$2:$I$20</c:f>
              <c:numCache>
                <c:formatCode>0.00</c:formatCode>
                <c:ptCount val="19"/>
                <c:pt idx="0">
                  <c:v>0.41793566335914373</c:v>
                </c:pt>
                <c:pt idx="4">
                  <c:v>0.40893566133771653</c:v>
                </c:pt>
                <c:pt idx="5">
                  <c:v>0.4097673874152501</c:v>
                </c:pt>
                <c:pt idx="10">
                  <c:v>0.36808672524803598</c:v>
                </c:pt>
                <c:pt idx="12">
                  <c:v>0.34987323442538037</c:v>
                </c:pt>
                <c:pt idx="13">
                  <c:v>0.34385596624007192</c:v>
                </c:pt>
                <c:pt idx="14">
                  <c:v>0.34034462218034478</c:v>
                </c:pt>
                <c:pt idx="16">
                  <c:v>0.33329858452058014</c:v>
                </c:pt>
                <c:pt idx="18">
                  <c:v>0.32681289527011687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lac!$H$1</c:f>
              <c:strCache>
                <c:ptCount val="1"/>
                <c:pt idx="0">
                  <c:v>Atk (0.5)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lac!$H$2:$H$20</c:f>
              <c:numCache>
                <c:formatCode>0.00</c:formatCode>
                <c:ptCount val="19"/>
                <c:pt idx="0">
                  <c:v>0.2467688807457111</c:v>
                </c:pt>
                <c:pt idx="4">
                  <c:v>0.24064535828728814</c:v>
                </c:pt>
                <c:pt idx="5">
                  <c:v>0.24120893933637694</c:v>
                </c:pt>
                <c:pt idx="10">
                  <c:v>0.21409323283254963</c:v>
                </c:pt>
                <c:pt idx="12">
                  <c:v>0.20014669972131566</c:v>
                </c:pt>
                <c:pt idx="13">
                  <c:v>0.19657700921580648</c:v>
                </c:pt>
                <c:pt idx="14">
                  <c:v>0.19430628169979861</c:v>
                </c:pt>
                <c:pt idx="16">
                  <c:v>0.18989439839898978</c:v>
                </c:pt>
                <c:pt idx="18">
                  <c:v>0.18581055459374651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lac!$J$1</c:f>
              <c:strCache>
                <c:ptCount val="1"/>
                <c:pt idx="0">
                  <c:v>Atk (2)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lac!$J$2:$J$20</c:f>
              <c:numCache>
                <c:formatCode>0.00</c:formatCode>
                <c:ptCount val="19"/>
                <c:pt idx="0">
                  <c:v>0.68063271579576101</c:v>
                </c:pt>
                <c:pt idx="4">
                  <c:v>0.65324365299175013</c:v>
                </c:pt>
                <c:pt idx="5">
                  <c:v>0.67784602812840189</c:v>
                </c:pt>
                <c:pt idx="10">
                  <c:v>0.60399439740441851</c:v>
                </c:pt>
                <c:pt idx="12">
                  <c:v>0.60285885808087836</c:v>
                </c:pt>
                <c:pt idx="13">
                  <c:v>0.59624424294924649</c:v>
                </c:pt>
                <c:pt idx="14">
                  <c:v>0.59219742029718825</c:v>
                </c:pt>
                <c:pt idx="16">
                  <c:v>0.58112866954412723</c:v>
                </c:pt>
                <c:pt idx="18">
                  <c:v>0.55316497770974249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123400"/>
        <c:axId val="184123008"/>
      </c:lineChart>
      <c:catAx>
        <c:axId val="184122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184122616"/>
        <c:crosses val="autoZero"/>
        <c:auto val="1"/>
        <c:lblAlgn val="ctr"/>
        <c:lblOffset val="100"/>
        <c:noMultiLvlLbl val="0"/>
      </c:catAx>
      <c:valAx>
        <c:axId val="184122616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184122224"/>
        <c:crosses val="autoZero"/>
        <c:crossBetween val="between"/>
        <c:majorUnit val="20"/>
      </c:valAx>
      <c:valAx>
        <c:axId val="184123008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184123400"/>
        <c:crosses val="max"/>
        <c:crossBetween val="between"/>
        <c:majorUnit val="0.2"/>
      </c:valAx>
      <c:catAx>
        <c:axId val="184123400"/>
        <c:scaling>
          <c:orientation val="minMax"/>
        </c:scaling>
        <c:delete val="1"/>
        <c:axPos val="b"/>
        <c:majorTickMark val="out"/>
        <c:minorTickMark val="none"/>
        <c:tickLblPos val="nextTo"/>
        <c:crossAx val="184123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952938174394868"/>
          <c:w val="1"/>
          <c:h val="9.2692840478273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lac!$F$1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lac!$A$2:$A$20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lac!$F$2:$F$20</c:f>
              <c:numCache>
                <c:formatCode>0.00</c:formatCode>
                <c:ptCount val="19"/>
                <c:pt idx="0">
                  <c:v>80.390068054199219</c:v>
                </c:pt>
                <c:pt idx="4">
                  <c:v>88.869705200195313</c:v>
                </c:pt>
                <c:pt idx="5">
                  <c:v>86.606796264648437</c:v>
                </c:pt>
                <c:pt idx="10">
                  <c:v>77.75323486328125</c:v>
                </c:pt>
                <c:pt idx="12">
                  <c:v>77.85107421875</c:v>
                </c:pt>
                <c:pt idx="13">
                  <c:v>77.948577880859375</c:v>
                </c:pt>
                <c:pt idx="14">
                  <c:v>79.455070495605469</c:v>
                </c:pt>
                <c:pt idx="16">
                  <c:v>72.909950256347656</c:v>
                </c:pt>
                <c:pt idx="18">
                  <c:v>75.084632873535156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lac!$M$1</c:f>
              <c:strCache>
                <c:ptCount val="1"/>
                <c:pt idx="0">
                  <c:v>Absolute Gini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lac!$A$2:$A$20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lac!$M$2:$M$20</c:f>
              <c:numCache>
                <c:formatCode>0.00</c:formatCode>
                <c:ptCount val="19"/>
                <c:pt idx="0">
                  <c:v>89.162311244520581</c:v>
                </c:pt>
                <c:pt idx="4">
                  <c:v>93.736615352350896</c:v>
                </c:pt>
                <c:pt idx="5">
                  <c:v>89.747540982717467</c:v>
                </c:pt>
                <c:pt idx="10">
                  <c:v>97.874452816892472</c:v>
                </c:pt>
                <c:pt idx="12">
                  <c:v>97.718671712523857</c:v>
                </c:pt>
                <c:pt idx="13">
                  <c:v>98.254753775145048</c:v>
                </c:pt>
                <c:pt idx="14">
                  <c:v>101.21178079158133</c:v>
                </c:pt>
                <c:pt idx="16">
                  <c:v>106.50994336686773</c:v>
                </c:pt>
                <c:pt idx="18">
                  <c:v>109.04347340259223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124184"/>
        <c:axId val="184124576"/>
      </c:lineChart>
      <c:catAx>
        <c:axId val="184124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184124576"/>
        <c:crosses val="autoZero"/>
        <c:auto val="1"/>
        <c:lblAlgn val="ctr"/>
        <c:lblOffset val="100"/>
        <c:noMultiLvlLbl val="0"/>
      </c:catAx>
      <c:valAx>
        <c:axId val="184124576"/>
        <c:scaling>
          <c:orientation val="minMax"/>
          <c:min val="7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18412418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141783247967786E-2"/>
          <c:y val="4.9836601307189546E-2"/>
          <c:w val="0.88531950496479206"/>
          <c:h val="0.82130435901394683"/>
        </c:manualLayout>
      </c:layout>
      <c:areaChart>
        <c:grouping val="stacked"/>
        <c:varyColors val="0"/>
        <c:ser>
          <c:idx val="0"/>
          <c:order val="0"/>
          <c:tx>
            <c:strRef>
              <c:f>lac!$W$1</c:f>
              <c:strCache>
                <c:ptCount val="1"/>
                <c:pt idx="0">
                  <c:v>% Very Unfair</c:v>
                </c:pt>
              </c:strCache>
            </c:strRef>
          </c:tx>
          <c:spPr>
            <a:solidFill>
              <a:srgbClr val="4F81BD"/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cat>
            <c:numRef>
              <c:f>lac!$V$2:$V$10</c:f>
              <c:numCache>
                <c:formatCode>General</c:formatCode>
                <c:ptCount val="9"/>
                <c:pt idx="0">
                  <c:v>1997</c:v>
                </c:pt>
                <c:pt idx="1">
                  <c:v>2001</c:v>
                </c:pt>
                <c:pt idx="2">
                  <c:v>2002</c:v>
                </c:pt>
                <c:pt idx="3">
                  <c:v>2007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2013</c:v>
                </c:pt>
                <c:pt idx="8">
                  <c:v>2015</c:v>
                </c:pt>
              </c:numCache>
            </c:numRef>
          </c:cat>
          <c:val>
            <c:numRef>
              <c:f>lac!$W$2:$W$10</c:f>
              <c:numCache>
                <c:formatCode>0.00</c:formatCode>
                <c:ptCount val="9"/>
                <c:pt idx="0">
                  <c:v>28.757022857666016</c:v>
                </c:pt>
                <c:pt idx="1">
                  <c:v>37.434867858886719</c:v>
                </c:pt>
                <c:pt idx="2">
                  <c:v>33.083198547363281</c:v>
                </c:pt>
                <c:pt idx="3">
                  <c:v>27.591503143310547</c:v>
                </c:pt>
                <c:pt idx="4">
                  <c:v>24.425638198852539</c:v>
                </c:pt>
                <c:pt idx="5">
                  <c:v>24.716573715209961</c:v>
                </c:pt>
                <c:pt idx="6">
                  <c:v>24.469806671142578</c:v>
                </c:pt>
                <c:pt idx="7">
                  <c:v>25.637388229370117</c:v>
                </c:pt>
                <c:pt idx="8">
                  <c:v>25.82835578918457</c:v>
                </c:pt>
              </c:numCache>
            </c:numRef>
          </c:val>
        </c:ser>
        <c:ser>
          <c:idx val="1"/>
          <c:order val="1"/>
          <c:tx>
            <c:strRef>
              <c:f>lac!$X$1</c:f>
              <c:strCache>
                <c:ptCount val="1"/>
                <c:pt idx="0">
                  <c:v>% Unfair</c:v>
                </c:pt>
              </c:strCache>
            </c:strRef>
          </c:tx>
          <c:spPr>
            <a:solidFill>
              <a:srgbClr val="C0504D"/>
            </a:solidFill>
            <a:ln w="28575" cap="rnd">
              <a:noFill/>
              <a:round/>
            </a:ln>
            <a:effectLst/>
          </c:spPr>
          <c:cat>
            <c:numRef>
              <c:f>lac!$V$2:$V$10</c:f>
              <c:numCache>
                <c:formatCode>General</c:formatCode>
                <c:ptCount val="9"/>
                <c:pt idx="0">
                  <c:v>1997</c:v>
                </c:pt>
                <c:pt idx="1">
                  <c:v>2001</c:v>
                </c:pt>
                <c:pt idx="2">
                  <c:v>2002</c:v>
                </c:pt>
                <c:pt idx="3">
                  <c:v>2007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2013</c:v>
                </c:pt>
                <c:pt idx="8">
                  <c:v>2015</c:v>
                </c:pt>
              </c:numCache>
            </c:numRef>
          </c:cat>
          <c:val>
            <c:numRef>
              <c:f>lac!$X$2:$X$10</c:f>
              <c:numCache>
                <c:formatCode>0.00</c:formatCode>
                <c:ptCount val="9"/>
                <c:pt idx="0">
                  <c:v>51.633045196533203</c:v>
                </c:pt>
                <c:pt idx="1">
                  <c:v>51.434837341308594</c:v>
                </c:pt>
                <c:pt idx="2">
                  <c:v>53.523593902587891</c:v>
                </c:pt>
                <c:pt idx="3">
                  <c:v>50.161735534667969</c:v>
                </c:pt>
                <c:pt idx="4">
                  <c:v>53.425437927246094</c:v>
                </c:pt>
                <c:pt idx="5">
                  <c:v>53.232002258300781</c:v>
                </c:pt>
                <c:pt idx="6">
                  <c:v>54.985263824462891</c:v>
                </c:pt>
                <c:pt idx="7">
                  <c:v>47.272560119628906</c:v>
                </c:pt>
                <c:pt idx="8">
                  <c:v>49.256275177001953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25360"/>
        <c:axId val="184125752"/>
      </c:areaChart>
      <c:catAx>
        <c:axId val="184125360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184125752"/>
        <c:crosses val="autoZero"/>
        <c:auto val="1"/>
        <c:lblAlgn val="ctr"/>
        <c:lblOffset val="100"/>
        <c:noMultiLvlLbl val="0"/>
      </c:catAx>
      <c:valAx>
        <c:axId val="184125752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184125360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0"/>
          <c:order val="0"/>
          <c:tx>
            <c:strRef>
              <c:f>arg!$B$1</c:f>
              <c:strCache>
                <c:ptCount val="1"/>
                <c:pt idx="0">
                  <c:v>% Unfair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cat>
            <c:numRef>
              <c:f>arg!$A$2:$A$20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arg!$B$2:$B$20</c:f>
              <c:numCache>
                <c:formatCode>0.00</c:formatCode>
                <c:ptCount val="19"/>
                <c:pt idx="0">
                  <c:v>40.990604400634766</c:v>
                </c:pt>
                <c:pt idx="4">
                  <c:v>42.004795074462891</c:v>
                </c:pt>
                <c:pt idx="5">
                  <c:v>33.837421417236328</c:v>
                </c:pt>
                <c:pt idx="10">
                  <c:v>58.186275482177734</c:v>
                </c:pt>
                <c:pt idx="12">
                  <c:v>51.276046752929687</c:v>
                </c:pt>
                <c:pt idx="13">
                  <c:v>53.624755859375</c:v>
                </c:pt>
                <c:pt idx="14">
                  <c:v>61.651985168457031</c:v>
                </c:pt>
                <c:pt idx="16">
                  <c:v>55.790149688720703</c:v>
                </c:pt>
                <c:pt idx="18">
                  <c:v>59.28680419921875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arg!$D$1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arg!$A$2:$A$20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arg!$D$2:$D$20</c:f>
              <c:numCache>
                <c:formatCode>0.00</c:formatCode>
                <c:ptCount val="19"/>
                <c:pt idx="0">
                  <c:v>95.730140686035156</c:v>
                </c:pt>
                <c:pt idx="4">
                  <c:v>96.883186340332031</c:v>
                </c:pt>
                <c:pt idx="5">
                  <c:v>97.525993347167969</c:v>
                </c:pt>
                <c:pt idx="10">
                  <c:v>89.662818908691406</c:v>
                </c:pt>
                <c:pt idx="12">
                  <c:v>95.546234130859375</c:v>
                </c:pt>
                <c:pt idx="13">
                  <c:v>87.601699829101563</c:v>
                </c:pt>
                <c:pt idx="14">
                  <c:v>83.662101745605469</c:v>
                </c:pt>
                <c:pt idx="16">
                  <c:v>75.039443969726563</c:v>
                </c:pt>
                <c:pt idx="18">
                  <c:v>78.533164978027344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arg!$F$1</c:f>
              <c:strCache>
                <c:ptCount val="1"/>
                <c:pt idx="0">
                  <c:v>% Very Unfair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arg!$A$2:$A$20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arg!$F$2:$F$20</c:f>
              <c:numCache>
                <c:formatCode>0.00</c:formatCode>
                <c:ptCount val="19"/>
                <c:pt idx="0">
                  <c:v>54.739540100097656</c:v>
                </c:pt>
                <c:pt idx="4">
                  <c:v>54.878391265869141</c:v>
                </c:pt>
                <c:pt idx="5">
                  <c:v>63.688575744628906</c:v>
                </c:pt>
                <c:pt idx="10">
                  <c:v>31.476541519165039</c:v>
                </c:pt>
                <c:pt idx="12">
                  <c:v>44.270187377929687</c:v>
                </c:pt>
                <c:pt idx="13">
                  <c:v>33.976940155029297</c:v>
                </c:pt>
                <c:pt idx="14">
                  <c:v>22.010116577148437</c:v>
                </c:pt>
                <c:pt idx="16">
                  <c:v>19.249292373657227</c:v>
                </c:pt>
                <c:pt idx="18">
                  <c:v>19.246360778808594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843168"/>
        <c:axId val="647843560"/>
      </c:lineChart>
      <c:catAx>
        <c:axId val="647843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7843560"/>
        <c:crosses val="autoZero"/>
        <c:auto val="1"/>
        <c:lblAlgn val="ctr"/>
        <c:lblOffset val="100"/>
        <c:noMultiLvlLbl val="0"/>
      </c:catAx>
      <c:valAx>
        <c:axId val="647843560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784316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942694663167115E-2"/>
          <c:y val="0.90544400699912508"/>
          <c:w val="0.8700958005249344"/>
          <c:h val="7.3335885097696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3350940507436555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arg!$D$1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arg!$A$2:$A$20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arg!$D$2:$D$20</c:f>
              <c:numCache>
                <c:formatCode>0.00</c:formatCode>
                <c:ptCount val="19"/>
                <c:pt idx="0">
                  <c:v>95.730140686035156</c:v>
                </c:pt>
                <c:pt idx="4">
                  <c:v>96.883186340332031</c:v>
                </c:pt>
                <c:pt idx="5">
                  <c:v>97.525993347167969</c:v>
                </c:pt>
                <c:pt idx="10">
                  <c:v>89.662818908691406</c:v>
                </c:pt>
                <c:pt idx="12">
                  <c:v>95.546234130859375</c:v>
                </c:pt>
                <c:pt idx="13">
                  <c:v>87.601699829101563</c:v>
                </c:pt>
                <c:pt idx="14">
                  <c:v>83.662101745605469</c:v>
                </c:pt>
                <c:pt idx="16">
                  <c:v>75.039443969726563</c:v>
                </c:pt>
                <c:pt idx="18">
                  <c:v>78.533164978027344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844344"/>
        <c:axId val="647844736"/>
      </c:lineChart>
      <c:lineChart>
        <c:grouping val="standard"/>
        <c:varyColors val="0"/>
        <c:ser>
          <c:idx val="0"/>
          <c:order val="1"/>
          <c:tx>
            <c:strRef>
              <c:f>arg!$N$1</c:f>
              <c:strCache>
                <c:ptCount val="1"/>
                <c:pt idx="0">
                  <c:v>Gini coefficient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arg!$N$2:$N$20</c:f>
              <c:numCache>
                <c:formatCode>0.00</c:formatCode>
                <c:ptCount val="19"/>
                <c:pt idx="0">
                  <c:v>0.57865101687891496</c:v>
                </c:pt>
                <c:pt idx="4">
                  <c:v>0.53667741973470839</c:v>
                </c:pt>
                <c:pt idx="5">
                  <c:v>0.52618402044865675</c:v>
                </c:pt>
                <c:pt idx="10">
                  <c:v>0.47371702401840088</c:v>
                </c:pt>
                <c:pt idx="12">
                  <c:v>0.45273022544629832</c:v>
                </c:pt>
                <c:pt idx="13">
                  <c:v>0.44495505506256477</c:v>
                </c:pt>
                <c:pt idx="14">
                  <c:v>0.43572283594249928</c:v>
                </c:pt>
                <c:pt idx="16">
                  <c:v>0.4228384031640216</c:v>
                </c:pt>
                <c:pt idx="18">
                  <c:v>0.42666015724546619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845520"/>
        <c:axId val="647845128"/>
      </c:lineChart>
      <c:catAx>
        <c:axId val="647844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7844736"/>
        <c:crosses val="autoZero"/>
        <c:auto val="1"/>
        <c:lblAlgn val="ctr"/>
        <c:lblOffset val="100"/>
        <c:noMultiLvlLbl val="0"/>
      </c:catAx>
      <c:valAx>
        <c:axId val="647844736"/>
        <c:scaling>
          <c:orientation val="minMax"/>
          <c:max val="100"/>
          <c:min val="7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7844344"/>
        <c:crosses val="autoZero"/>
        <c:crossBetween val="between"/>
        <c:majorUnit val="10"/>
      </c:valAx>
      <c:valAx>
        <c:axId val="647845128"/>
        <c:scaling>
          <c:orientation val="minMax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Gini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7845520"/>
        <c:crosses val="max"/>
        <c:crossBetween val="between"/>
        <c:majorUnit val="5.000000000000001E-2"/>
      </c:valAx>
      <c:catAx>
        <c:axId val="647845520"/>
        <c:scaling>
          <c:orientation val="minMax"/>
        </c:scaling>
        <c:delete val="1"/>
        <c:axPos val="b"/>
        <c:majorTickMark val="out"/>
        <c:minorTickMark val="none"/>
        <c:tickLblPos val="nextTo"/>
        <c:crossAx val="647845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arg!$D$1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arg!$A$2:$A$20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arg!$D$2:$D$20</c:f>
              <c:numCache>
                <c:formatCode>0.00</c:formatCode>
                <c:ptCount val="19"/>
                <c:pt idx="0">
                  <c:v>95.730140686035156</c:v>
                </c:pt>
                <c:pt idx="4">
                  <c:v>96.883186340332031</c:v>
                </c:pt>
                <c:pt idx="5">
                  <c:v>97.525993347167969</c:v>
                </c:pt>
                <c:pt idx="10">
                  <c:v>89.662818908691406</c:v>
                </c:pt>
                <c:pt idx="12">
                  <c:v>95.546234130859375</c:v>
                </c:pt>
                <c:pt idx="13">
                  <c:v>87.601699829101563</c:v>
                </c:pt>
                <c:pt idx="14">
                  <c:v>83.662101745605469</c:v>
                </c:pt>
                <c:pt idx="16">
                  <c:v>75.039443969726563</c:v>
                </c:pt>
                <c:pt idx="18">
                  <c:v>78.533164978027344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846304"/>
        <c:axId val="707656784"/>
      </c:lineChart>
      <c:lineChart>
        <c:grouping val="standard"/>
        <c:varyColors val="0"/>
        <c:ser>
          <c:idx val="0"/>
          <c:order val="1"/>
          <c:tx>
            <c:strRef>
              <c:f>arg!$P$1</c:f>
              <c:strCache>
                <c:ptCount val="1"/>
                <c:pt idx="0">
                  <c:v>GE(0)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arg!$P$2:$P$20</c:f>
              <c:numCache>
                <c:formatCode>0.00</c:formatCode>
                <c:ptCount val="19"/>
                <c:pt idx="0">
                  <c:v>0.55325069093266066</c:v>
                </c:pt>
                <c:pt idx="4">
                  <c:v>0.49404014307853217</c:v>
                </c:pt>
                <c:pt idx="5">
                  <c:v>0.47923750611499827</c:v>
                </c:pt>
                <c:pt idx="10">
                  <c:v>0.40522432129733432</c:v>
                </c:pt>
                <c:pt idx="12">
                  <c:v>0.37561904737027008</c:v>
                </c:pt>
                <c:pt idx="13">
                  <c:v>0.35460766635985302</c:v>
                </c:pt>
                <c:pt idx="14">
                  <c:v>0.33826694862989182</c:v>
                </c:pt>
                <c:pt idx="16">
                  <c:v>0.31785674619825183</c:v>
                </c:pt>
                <c:pt idx="18">
                  <c:v>0.32070794273118569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arg!$I$1</c:f>
              <c:strCache>
                <c:ptCount val="1"/>
                <c:pt idx="0">
                  <c:v>Atk (1)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arg!$I$2:$I$20</c:f>
              <c:numCache>
                <c:formatCode>0.00</c:formatCode>
                <c:ptCount val="19"/>
                <c:pt idx="0">
                  <c:v>0.4333564659633069</c:v>
                </c:pt>
                <c:pt idx="4">
                  <c:v>0.39328299536403222</c:v>
                </c:pt>
                <c:pt idx="5">
                  <c:v>0.38326462771421532</c:v>
                </c:pt>
                <c:pt idx="10">
                  <c:v>0.33317278946512507</c:v>
                </c:pt>
                <c:pt idx="12">
                  <c:v>0.31313605416548868</c:v>
                </c:pt>
                <c:pt idx="13">
                  <c:v>0.29855140889075638</c:v>
                </c:pt>
                <c:pt idx="14">
                  <c:v>0.28699507319727591</c:v>
                </c:pt>
                <c:pt idx="16">
                  <c:v>0.27229297225353222</c:v>
                </c:pt>
                <c:pt idx="18">
                  <c:v>0.27436485293504947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arg!$H$1</c:f>
              <c:strCache>
                <c:ptCount val="1"/>
                <c:pt idx="0">
                  <c:v>Atk (0.5)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arg!$H$2:$H$20</c:f>
              <c:numCache>
                <c:formatCode>0.00</c:formatCode>
                <c:ptCount val="19"/>
                <c:pt idx="0">
                  <c:v>0.2729450906118025</c:v>
                </c:pt>
                <c:pt idx="4">
                  <c:v>0.23736176575757639</c:v>
                </c:pt>
                <c:pt idx="5">
                  <c:v>0.22846593454401898</c:v>
                </c:pt>
                <c:pt idx="10">
                  <c:v>0.18398677847624051</c:v>
                </c:pt>
                <c:pt idx="12">
                  <c:v>0.16619511604912809</c:v>
                </c:pt>
                <c:pt idx="13">
                  <c:v>0.15975858836266371</c:v>
                </c:pt>
                <c:pt idx="14">
                  <c:v>0.15338050637224979</c:v>
                </c:pt>
                <c:pt idx="16">
                  <c:v>0.14420735273384</c:v>
                </c:pt>
                <c:pt idx="18">
                  <c:v>0.14577608021906169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arg!$J$1</c:f>
              <c:strCache>
                <c:ptCount val="1"/>
                <c:pt idx="0">
                  <c:v>Atk (2)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arg!$J$2:$J$20</c:f>
              <c:numCache>
                <c:formatCode>0.00</c:formatCode>
                <c:ptCount val="19"/>
                <c:pt idx="0">
                  <c:v>0.6857434523572401</c:v>
                </c:pt>
                <c:pt idx="4">
                  <c:v>0.64773703837696317</c:v>
                </c:pt>
                <c:pt idx="5">
                  <c:v>0.63823543488189571</c:v>
                </c:pt>
                <c:pt idx="10">
                  <c:v>0.59072741740655377</c:v>
                </c:pt>
                <c:pt idx="12">
                  <c:v>0.57172421041641697</c:v>
                </c:pt>
                <c:pt idx="13">
                  <c:v>0.55756018787862538</c:v>
                </c:pt>
                <c:pt idx="14">
                  <c:v>0.51976484128332234</c:v>
                </c:pt>
                <c:pt idx="16">
                  <c:v>0.50281118030456695</c:v>
                </c:pt>
                <c:pt idx="18">
                  <c:v>0.49926224793243612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657568"/>
        <c:axId val="707657176"/>
      </c:lineChart>
      <c:catAx>
        <c:axId val="647846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07656784"/>
        <c:crosses val="autoZero"/>
        <c:auto val="1"/>
        <c:lblAlgn val="ctr"/>
        <c:lblOffset val="100"/>
        <c:noMultiLvlLbl val="0"/>
      </c:catAx>
      <c:valAx>
        <c:axId val="707656784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7846304"/>
        <c:crosses val="autoZero"/>
        <c:crossBetween val="between"/>
        <c:majorUnit val="20"/>
      </c:valAx>
      <c:valAx>
        <c:axId val="707657176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07657568"/>
        <c:crosses val="max"/>
        <c:crossBetween val="between"/>
        <c:majorUnit val="0.2"/>
      </c:valAx>
      <c:catAx>
        <c:axId val="707657568"/>
        <c:scaling>
          <c:orientation val="minMax"/>
        </c:scaling>
        <c:delete val="1"/>
        <c:axPos val="b"/>
        <c:majorTickMark val="out"/>
        <c:minorTickMark val="none"/>
        <c:tickLblPos val="nextTo"/>
        <c:crossAx val="7076571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952938174394868"/>
          <c:w val="1"/>
          <c:h val="9.2692840478273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arg!$D$1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arg!$A$2:$A$20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arg!$D$2:$D$20</c:f>
              <c:numCache>
                <c:formatCode>0.00</c:formatCode>
                <c:ptCount val="19"/>
                <c:pt idx="0">
                  <c:v>95.730140686035156</c:v>
                </c:pt>
                <c:pt idx="4">
                  <c:v>96.883186340332031</c:v>
                </c:pt>
                <c:pt idx="5">
                  <c:v>97.525993347167969</c:v>
                </c:pt>
                <c:pt idx="10">
                  <c:v>89.662818908691406</c:v>
                </c:pt>
                <c:pt idx="12">
                  <c:v>95.546234130859375</c:v>
                </c:pt>
                <c:pt idx="13">
                  <c:v>87.601699829101563</c:v>
                </c:pt>
                <c:pt idx="14">
                  <c:v>83.662101745605469</c:v>
                </c:pt>
                <c:pt idx="16">
                  <c:v>75.039443969726563</c:v>
                </c:pt>
                <c:pt idx="18">
                  <c:v>78.533164978027344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arg!$M$1</c:f>
              <c:strCache>
                <c:ptCount val="1"/>
                <c:pt idx="0">
                  <c:v>Absolute Gini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arg!$M$2:$M$20</c:f>
              <c:numCache>
                <c:formatCode>0.00</c:formatCode>
                <c:ptCount val="19"/>
                <c:pt idx="0">
                  <c:v>78.987454669955696</c:v>
                </c:pt>
                <c:pt idx="4">
                  <c:v>86.273859904556048</c:v>
                </c:pt>
                <c:pt idx="5">
                  <c:v>88.095461213205908</c:v>
                </c:pt>
                <c:pt idx="10">
                  <c:v>97.203467756456206</c:v>
                </c:pt>
                <c:pt idx="12">
                  <c:v>100.84667037375638</c:v>
                </c:pt>
                <c:pt idx="13">
                  <c:v>100.82579229004112</c:v>
                </c:pt>
                <c:pt idx="14">
                  <c:v>106.47556330197385</c:v>
                </c:pt>
                <c:pt idx="16">
                  <c:v>101.54721776865956</c:v>
                </c:pt>
                <c:pt idx="18">
                  <c:v>93.101282783815677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658352"/>
        <c:axId val="707658744"/>
      </c:lineChart>
      <c:catAx>
        <c:axId val="707658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07658744"/>
        <c:crosses val="autoZero"/>
        <c:auto val="1"/>
        <c:lblAlgn val="ctr"/>
        <c:lblOffset val="100"/>
        <c:noMultiLvlLbl val="0"/>
      </c:catAx>
      <c:valAx>
        <c:axId val="707658744"/>
        <c:scaling>
          <c:orientation val="minMax"/>
          <c:min val="7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0765835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0"/>
          <c:order val="0"/>
          <c:tx>
            <c:strRef>
              <c:f>bol!$B$1</c:f>
              <c:strCache>
                <c:ptCount val="1"/>
                <c:pt idx="0">
                  <c:v>% Unfair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cat>
            <c:numRef>
              <c:f>bol!$A$2:$A$20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bol!$B$2:$B$20</c:f>
              <c:numCache>
                <c:formatCode>0.00</c:formatCode>
                <c:ptCount val="19"/>
                <c:pt idx="0">
                  <c:v>66.237113952636719</c:v>
                </c:pt>
                <c:pt idx="4">
                  <c:v>57.142860412597656</c:v>
                </c:pt>
                <c:pt idx="5">
                  <c:v>63.166446685791016</c:v>
                </c:pt>
                <c:pt idx="10">
                  <c:v>54.152252197265625</c:v>
                </c:pt>
                <c:pt idx="12">
                  <c:v>48.853614807128906</c:v>
                </c:pt>
                <c:pt idx="13">
                  <c:v>55.585830688476563</c:v>
                </c:pt>
                <c:pt idx="14">
                  <c:v>65.514183044433594</c:v>
                </c:pt>
                <c:pt idx="16">
                  <c:v>51.679103851318359</c:v>
                </c:pt>
                <c:pt idx="18">
                  <c:v>42.803737640380859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bol!$D$1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bol!$A$2:$A$20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bol!$D$2:$D$20</c:f>
              <c:numCache>
                <c:formatCode>0.00</c:formatCode>
                <c:ptCount val="19"/>
                <c:pt idx="0">
                  <c:v>90.077316284179687</c:v>
                </c:pt>
                <c:pt idx="4">
                  <c:v>91.390731811523438</c:v>
                </c:pt>
                <c:pt idx="5">
                  <c:v>86.814018249511719</c:v>
                </c:pt>
                <c:pt idx="10">
                  <c:v>68.598617553710938</c:v>
                </c:pt>
                <c:pt idx="12">
                  <c:v>63.668430328369141</c:v>
                </c:pt>
                <c:pt idx="13">
                  <c:v>72.116256713867188</c:v>
                </c:pt>
                <c:pt idx="14">
                  <c:v>78.102836608886719</c:v>
                </c:pt>
                <c:pt idx="16">
                  <c:v>63.432838439941406</c:v>
                </c:pt>
                <c:pt idx="18">
                  <c:v>52.990657806396484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bol!$F$1</c:f>
              <c:strCache>
                <c:ptCount val="1"/>
                <c:pt idx="0">
                  <c:v>% Very Unfair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bol!$A$2:$A$20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bol!$F$2:$F$20</c:f>
              <c:numCache>
                <c:formatCode>0.00</c:formatCode>
                <c:ptCount val="19"/>
                <c:pt idx="0">
                  <c:v>23.840206146240234</c:v>
                </c:pt>
                <c:pt idx="4">
                  <c:v>34.247871398925781</c:v>
                </c:pt>
                <c:pt idx="5">
                  <c:v>23.647571563720703</c:v>
                </c:pt>
                <c:pt idx="10">
                  <c:v>14.446367263793945</c:v>
                </c:pt>
                <c:pt idx="12">
                  <c:v>14.814814567565918</c:v>
                </c:pt>
                <c:pt idx="13">
                  <c:v>16.530427932739258</c:v>
                </c:pt>
                <c:pt idx="14">
                  <c:v>12.588652610778809</c:v>
                </c:pt>
                <c:pt idx="16">
                  <c:v>11.753730773925781</c:v>
                </c:pt>
                <c:pt idx="18">
                  <c:v>10.186915397644043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659528"/>
        <c:axId val="707659920"/>
      </c:lineChart>
      <c:catAx>
        <c:axId val="707659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07659920"/>
        <c:crosses val="autoZero"/>
        <c:auto val="1"/>
        <c:lblAlgn val="ctr"/>
        <c:lblOffset val="100"/>
        <c:noMultiLvlLbl val="0"/>
      </c:catAx>
      <c:valAx>
        <c:axId val="707659920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0765952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942694663167115E-2"/>
          <c:y val="0.90544400699912508"/>
          <c:w val="0.8700958005249344"/>
          <c:h val="7.3335885097696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3350940507436555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bol!$D$1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bol!$A$2:$A$20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bol!$D$2:$D$20</c:f>
              <c:numCache>
                <c:formatCode>0.00</c:formatCode>
                <c:ptCount val="19"/>
                <c:pt idx="0">
                  <c:v>90.077316284179687</c:v>
                </c:pt>
                <c:pt idx="4">
                  <c:v>91.390731811523438</c:v>
                </c:pt>
                <c:pt idx="5">
                  <c:v>86.814018249511719</c:v>
                </c:pt>
                <c:pt idx="10">
                  <c:v>68.598617553710938</c:v>
                </c:pt>
                <c:pt idx="12">
                  <c:v>63.668430328369141</c:v>
                </c:pt>
                <c:pt idx="13">
                  <c:v>72.116256713867188</c:v>
                </c:pt>
                <c:pt idx="14">
                  <c:v>78.102836608886719</c:v>
                </c:pt>
                <c:pt idx="16">
                  <c:v>63.432838439941406</c:v>
                </c:pt>
                <c:pt idx="18">
                  <c:v>52.990657806396484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9199320"/>
        <c:axId val="649199712"/>
      </c:lineChart>
      <c:lineChart>
        <c:grouping val="standard"/>
        <c:varyColors val="0"/>
        <c:ser>
          <c:idx val="0"/>
          <c:order val="1"/>
          <c:tx>
            <c:strRef>
              <c:f>bol!$N$1</c:f>
              <c:strCache>
                <c:ptCount val="1"/>
                <c:pt idx="0">
                  <c:v>Gini coefficient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bol!$A$2:$A$20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bol!$N$2:$N$20</c:f>
              <c:numCache>
                <c:formatCode>0.00</c:formatCode>
                <c:ptCount val="19"/>
                <c:pt idx="0">
                  <c:v>0.58164428419883829</c:v>
                </c:pt>
                <c:pt idx="4">
                  <c:v>0.58876695377626664</c:v>
                </c:pt>
                <c:pt idx="5">
                  <c:v>0.60158359865190281</c:v>
                </c:pt>
                <c:pt idx="10">
                  <c:v>0.55444921054480434</c:v>
                </c:pt>
                <c:pt idx="12">
                  <c:v>0.49653070632326129</c:v>
                </c:pt>
                <c:pt idx="13">
                  <c:v>0.47956769349786299</c:v>
                </c:pt>
                <c:pt idx="14">
                  <c:v>0.46260468067246802</c:v>
                </c:pt>
                <c:pt idx="16">
                  <c:v>0.48060334472822458</c:v>
                </c:pt>
                <c:pt idx="18">
                  <c:v>0.48395805106815099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9200496"/>
        <c:axId val="649200104"/>
      </c:lineChart>
      <c:catAx>
        <c:axId val="649199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9199712"/>
        <c:crosses val="autoZero"/>
        <c:auto val="1"/>
        <c:lblAlgn val="ctr"/>
        <c:lblOffset val="100"/>
        <c:noMultiLvlLbl val="0"/>
      </c:catAx>
      <c:valAx>
        <c:axId val="649199712"/>
        <c:scaling>
          <c:orientation val="minMax"/>
          <c:max val="100"/>
          <c:min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9199320"/>
        <c:crosses val="autoZero"/>
        <c:crossBetween val="between"/>
        <c:majorUnit val="10"/>
      </c:valAx>
      <c:valAx>
        <c:axId val="649200104"/>
        <c:scaling>
          <c:orientation val="minMax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Gini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9200496"/>
        <c:crosses val="max"/>
        <c:crossBetween val="between"/>
        <c:majorUnit val="5.000000000000001E-2"/>
      </c:valAx>
      <c:catAx>
        <c:axId val="649200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9200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bol!$D$1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arg!$A$2:$A$20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arg!$D$2:$D$20</c:f>
              <c:numCache>
                <c:formatCode>0.00</c:formatCode>
                <c:ptCount val="19"/>
                <c:pt idx="0">
                  <c:v>95.730140686035156</c:v>
                </c:pt>
                <c:pt idx="4">
                  <c:v>96.883186340332031</c:v>
                </c:pt>
                <c:pt idx="5">
                  <c:v>97.525993347167969</c:v>
                </c:pt>
                <c:pt idx="10">
                  <c:v>89.662818908691406</c:v>
                </c:pt>
                <c:pt idx="12">
                  <c:v>95.546234130859375</c:v>
                </c:pt>
                <c:pt idx="13">
                  <c:v>87.601699829101563</c:v>
                </c:pt>
                <c:pt idx="14">
                  <c:v>83.662101745605469</c:v>
                </c:pt>
                <c:pt idx="16">
                  <c:v>75.039443969726563</c:v>
                </c:pt>
                <c:pt idx="18">
                  <c:v>78.533164978027344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9201280"/>
        <c:axId val="649201672"/>
      </c:lineChart>
      <c:lineChart>
        <c:grouping val="standard"/>
        <c:varyColors val="0"/>
        <c:ser>
          <c:idx val="0"/>
          <c:order val="1"/>
          <c:tx>
            <c:strRef>
              <c:f>arg!$P$1</c:f>
              <c:strCache>
                <c:ptCount val="1"/>
                <c:pt idx="0">
                  <c:v>GE(0)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bol!$P$2:$P$20</c:f>
              <c:numCache>
                <c:formatCode>0.00</c:formatCode>
                <c:ptCount val="19"/>
                <c:pt idx="0">
                  <c:v>0.68564600809154097</c:v>
                </c:pt>
                <c:pt idx="4">
                  <c:v>0.73985549386769711</c:v>
                </c:pt>
                <c:pt idx="5">
                  <c:v>0.8057504863034578</c:v>
                </c:pt>
                <c:pt idx="10">
                  <c:v>0.61153769290116444</c:v>
                </c:pt>
                <c:pt idx="12">
                  <c:v>0.5034167766401455</c:v>
                </c:pt>
                <c:pt idx="13">
                  <c:v>0.46065494944653551</c:v>
                </c:pt>
                <c:pt idx="14">
                  <c:v>0.41789312225290581</c:v>
                </c:pt>
                <c:pt idx="16">
                  <c:v>0.45748594639734141</c:v>
                </c:pt>
                <c:pt idx="18">
                  <c:v>0.45317838380704772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arg!$I$1</c:f>
              <c:strCache>
                <c:ptCount val="1"/>
                <c:pt idx="0">
                  <c:v>Atk (1)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bol!$I$2:$I$20</c:f>
              <c:numCache>
                <c:formatCode>0.00</c:formatCode>
                <c:ptCount val="19"/>
                <c:pt idx="0">
                  <c:v>0.49623531162992729</c:v>
                </c:pt>
                <c:pt idx="4">
                  <c:v>0.52281713361056803</c:v>
                </c:pt>
                <c:pt idx="5">
                  <c:v>0.55324748093084652</c:v>
                </c:pt>
                <c:pt idx="10">
                  <c:v>0.4574839956524055</c:v>
                </c:pt>
                <c:pt idx="12">
                  <c:v>0.3955381836764148</c:v>
                </c:pt>
                <c:pt idx="13">
                  <c:v>0.36855279360976567</c:v>
                </c:pt>
                <c:pt idx="14">
                  <c:v>0.3415674035431126</c:v>
                </c:pt>
                <c:pt idx="16">
                  <c:v>0.3671272768936048</c:v>
                </c:pt>
                <c:pt idx="18">
                  <c:v>0.36439525808060069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arg!$H$1</c:f>
              <c:strCache>
                <c:ptCount val="1"/>
                <c:pt idx="0">
                  <c:v>Atk (0.5)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bol!$H$2:$H$20</c:f>
              <c:numCache>
                <c:formatCode>0.00</c:formatCode>
                <c:ptCount val="19"/>
                <c:pt idx="0">
                  <c:v>0.28695944530586492</c:v>
                </c:pt>
                <c:pt idx="4">
                  <c:v>0.29409999765864181</c:v>
                </c:pt>
                <c:pt idx="5">
                  <c:v>0.31070436471259932</c:v>
                </c:pt>
                <c:pt idx="10">
                  <c:v>0.25634094195499241</c:v>
                </c:pt>
                <c:pt idx="12">
                  <c:v>0.21258172804498779</c:v>
                </c:pt>
                <c:pt idx="13">
                  <c:v>0.19588957690039877</c:v>
                </c:pt>
                <c:pt idx="14">
                  <c:v>0.17919742575580119</c:v>
                </c:pt>
                <c:pt idx="16">
                  <c:v>0.1949660606513661</c:v>
                </c:pt>
                <c:pt idx="18">
                  <c:v>0.20084300374958139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arg!$J$1</c:f>
              <c:strCache>
                <c:ptCount val="1"/>
                <c:pt idx="0">
                  <c:v>Atk (2)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bol!$J$2:$J$20</c:f>
              <c:numCache>
                <c:formatCode>0.00</c:formatCode>
                <c:ptCount val="19"/>
                <c:pt idx="0">
                  <c:v>0.79219561238137204</c:v>
                </c:pt>
                <c:pt idx="4">
                  <c:v>0.87096730254079835</c:v>
                </c:pt>
                <c:pt idx="5">
                  <c:v>0.90996956248107919</c:v>
                </c:pt>
                <c:pt idx="10">
                  <c:v>0.83659108914655622</c:v>
                </c:pt>
                <c:pt idx="12">
                  <c:v>0.74559294886196792</c:v>
                </c:pt>
                <c:pt idx="13">
                  <c:v>0.70064335511953857</c:v>
                </c:pt>
                <c:pt idx="14">
                  <c:v>0.65569376137712521</c:v>
                </c:pt>
                <c:pt idx="16">
                  <c:v>0.71090986868510453</c:v>
                </c:pt>
                <c:pt idx="18">
                  <c:v>0.67274756073782982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9202456"/>
        <c:axId val="649202064"/>
      </c:lineChart>
      <c:catAx>
        <c:axId val="649201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9201672"/>
        <c:crosses val="autoZero"/>
        <c:auto val="1"/>
        <c:lblAlgn val="ctr"/>
        <c:lblOffset val="100"/>
        <c:noMultiLvlLbl val="0"/>
      </c:catAx>
      <c:valAx>
        <c:axId val="649201672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9201280"/>
        <c:crosses val="autoZero"/>
        <c:crossBetween val="between"/>
        <c:majorUnit val="20"/>
      </c:valAx>
      <c:valAx>
        <c:axId val="649202064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9202456"/>
        <c:crosses val="max"/>
        <c:crossBetween val="between"/>
        <c:majorUnit val="0.2"/>
      </c:valAx>
      <c:catAx>
        <c:axId val="649202456"/>
        <c:scaling>
          <c:orientation val="minMax"/>
        </c:scaling>
        <c:delete val="1"/>
        <c:axPos val="b"/>
        <c:majorTickMark val="out"/>
        <c:minorTickMark val="none"/>
        <c:tickLblPos val="nextTo"/>
        <c:crossAx val="649202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952938174394868"/>
          <c:w val="1"/>
          <c:h val="9.2692840478273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bol!$D$1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bol!$A$2:$A$20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bol!$D$2:$D$20</c:f>
              <c:numCache>
                <c:formatCode>0.00</c:formatCode>
                <c:ptCount val="19"/>
                <c:pt idx="0">
                  <c:v>90.077316284179687</c:v>
                </c:pt>
                <c:pt idx="4">
                  <c:v>91.390731811523438</c:v>
                </c:pt>
                <c:pt idx="5">
                  <c:v>86.814018249511719</c:v>
                </c:pt>
                <c:pt idx="10">
                  <c:v>68.598617553710938</c:v>
                </c:pt>
                <c:pt idx="12">
                  <c:v>63.668430328369141</c:v>
                </c:pt>
                <c:pt idx="13">
                  <c:v>72.116256713867188</c:v>
                </c:pt>
                <c:pt idx="14">
                  <c:v>78.102836608886719</c:v>
                </c:pt>
                <c:pt idx="16">
                  <c:v>63.432838439941406</c:v>
                </c:pt>
                <c:pt idx="18">
                  <c:v>52.990657806396484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bol!$M$1</c:f>
              <c:strCache>
                <c:ptCount val="1"/>
                <c:pt idx="0">
                  <c:v>Absolute Gini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bol!$A$2:$A$20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bol!$M$2:$M$20</c:f>
              <c:numCache>
                <c:formatCode>0.00</c:formatCode>
                <c:ptCount val="19"/>
                <c:pt idx="0">
                  <c:v>97.812896236533319</c:v>
                </c:pt>
                <c:pt idx="4">
                  <c:v>86.895466146916405</c:v>
                </c:pt>
                <c:pt idx="5">
                  <c:v>88.271102222698275</c:v>
                </c:pt>
                <c:pt idx="10">
                  <c:v>97.73869899628842</c:v>
                </c:pt>
                <c:pt idx="12">
                  <c:v>96.354106200171046</c:v>
                </c:pt>
                <c:pt idx="13">
                  <c:v>97.698744221378092</c:v>
                </c:pt>
                <c:pt idx="14">
                  <c:v>99.043382242585551</c:v>
                </c:pt>
                <c:pt idx="16">
                  <c:v>115.54769999368253</c:v>
                </c:pt>
                <c:pt idx="18">
                  <c:v>118.33666585184753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200776"/>
        <c:axId val="498201168"/>
      </c:lineChart>
      <c:catAx>
        <c:axId val="498200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8201168"/>
        <c:crosses val="autoZero"/>
        <c:auto val="1"/>
        <c:lblAlgn val="ctr"/>
        <c:lblOffset val="100"/>
        <c:noMultiLvlLbl val="0"/>
      </c:catAx>
      <c:valAx>
        <c:axId val="498201168"/>
        <c:scaling>
          <c:orientation val="minMax"/>
          <c:min val="5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820077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0"/>
          <c:order val="0"/>
          <c:tx>
            <c:strRef>
              <c:f>bra!$B$1</c:f>
              <c:strCache>
                <c:ptCount val="1"/>
                <c:pt idx="0">
                  <c:v>% Unfair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cat>
            <c:numRef>
              <c:f>bra!$A$2:$A$20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bra!$B$2:$B$20</c:f>
              <c:numCache>
                <c:formatCode>0.00</c:formatCode>
                <c:ptCount val="19"/>
                <c:pt idx="0">
                  <c:v>54.098361968994141</c:v>
                </c:pt>
                <c:pt idx="4">
                  <c:v>50.686378479003906</c:v>
                </c:pt>
                <c:pt idx="5">
                  <c:v>53.04437255859375</c:v>
                </c:pt>
                <c:pt idx="10">
                  <c:v>53.173244476318359</c:v>
                </c:pt>
                <c:pt idx="12">
                  <c:v>58.397270202636719</c:v>
                </c:pt>
                <c:pt idx="13">
                  <c:v>61.217391967773438</c:v>
                </c:pt>
                <c:pt idx="14">
                  <c:v>58.445949554443359</c:v>
                </c:pt>
                <c:pt idx="16">
                  <c:v>47.878787994384766</c:v>
                </c:pt>
                <c:pt idx="18">
                  <c:v>46.448978424072266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bra!$D$1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bra!$A$2:$A$20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bra!$D$2:$D$20</c:f>
              <c:numCache>
                <c:formatCode>0.00</c:formatCode>
                <c:ptCount val="19"/>
                <c:pt idx="0">
                  <c:v>92.622955322265625</c:v>
                </c:pt>
                <c:pt idx="4">
                  <c:v>86.378036499023438</c:v>
                </c:pt>
                <c:pt idx="5">
                  <c:v>85.964912414550781</c:v>
                </c:pt>
                <c:pt idx="10">
                  <c:v>86.277870178222656</c:v>
                </c:pt>
                <c:pt idx="12">
                  <c:v>83.375961303710938</c:v>
                </c:pt>
                <c:pt idx="13">
                  <c:v>77.913047790527344</c:v>
                </c:pt>
                <c:pt idx="14">
                  <c:v>85.135139465332031</c:v>
                </c:pt>
                <c:pt idx="16">
                  <c:v>80.952384948730469</c:v>
                </c:pt>
                <c:pt idx="18">
                  <c:v>92.326530456542969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bra!$F$1</c:f>
              <c:strCache>
                <c:ptCount val="1"/>
                <c:pt idx="0">
                  <c:v>% Very Unfair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bra!$A$2:$A$20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bra!$F$2:$F$20</c:f>
              <c:numCache>
                <c:formatCode>0.00</c:formatCode>
                <c:ptCount val="19"/>
                <c:pt idx="0">
                  <c:v>38.524589538574219</c:v>
                </c:pt>
                <c:pt idx="4">
                  <c:v>35.691658020019531</c:v>
                </c:pt>
                <c:pt idx="5">
                  <c:v>32.920536041259766</c:v>
                </c:pt>
                <c:pt idx="10">
                  <c:v>33.104629516601563</c:v>
                </c:pt>
                <c:pt idx="12">
                  <c:v>24.978687286376953</c:v>
                </c:pt>
                <c:pt idx="13">
                  <c:v>16.695652008056641</c:v>
                </c:pt>
                <c:pt idx="14">
                  <c:v>26.689189910888672</c:v>
                </c:pt>
                <c:pt idx="16">
                  <c:v>33.073593139648438</c:v>
                </c:pt>
                <c:pt idx="18">
                  <c:v>45.877552032470703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201952"/>
        <c:axId val="498202344"/>
      </c:lineChart>
      <c:catAx>
        <c:axId val="498201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8202344"/>
        <c:crosses val="autoZero"/>
        <c:auto val="1"/>
        <c:lblAlgn val="ctr"/>
        <c:lblOffset val="100"/>
        <c:noMultiLvlLbl val="0"/>
      </c:catAx>
      <c:valAx>
        <c:axId val="498202344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820195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942694663167115E-2"/>
          <c:y val="0.90544400699912508"/>
          <c:w val="0.8700958005249344"/>
          <c:h val="7.3335885097696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3350940507436555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bra!$D$1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bra!$A$2:$A$20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bra!$D$2:$D$20</c:f>
              <c:numCache>
                <c:formatCode>0.00</c:formatCode>
                <c:ptCount val="19"/>
                <c:pt idx="0">
                  <c:v>92.622955322265625</c:v>
                </c:pt>
                <c:pt idx="4">
                  <c:v>86.378036499023438</c:v>
                </c:pt>
                <c:pt idx="5">
                  <c:v>85.964912414550781</c:v>
                </c:pt>
                <c:pt idx="10">
                  <c:v>86.277870178222656</c:v>
                </c:pt>
                <c:pt idx="12">
                  <c:v>83.375961303710938</c:v>
                </c:pt>
                <c:pt idx="13">
                  <c:v>77.913047790527344</c:v>
                </c:pt>
                <c:pt idx="14">
                  <c:v>85.135139465332031</c:v>
                </c:pt>
                <c:pt idx="16">
                  <c:v>80.952384948730469</c:v>
                </c:pt>
                <c:pt idx="18">
                  <c:v>92.326530456542969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203128"/>
        <c:axId val="498203520"/>
      </c:lineChart>
      <c:lineChart>
        <c:grouping val="standard"/>
        <c:varyColors val="0"/>
        <c:ser>
          <c:idx val="0"/>
          <c:order val="1"/>
          <c:tx>
            <c:strRef>
              <c:f>bra!$N$1</c:f>
              <c:strCache>
                <c:ptCount val="1"/>
                <c:pt idx="0">
                  <c:v>Gini coefficient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bra!$A$2:$A$20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bra!$N$2:$N$20</c:f>
              <c:numCache>
                <c:formatCode>0.00</c:formatCode>
                <c:ptCount val="19"/>
                <c:pt idx="0">
                  <c:v>0.59799658294434221</c:v>
                </c:pt>
                <c:pt idx="4">
                  <c:v>0.59330162455213398</c:v>
                </c:pt>
                <c:pt idx="5">
                  <c:v>0.58619826231675065</c:v>
                </c:pt>
                <c:pt idx="10">
                  <c:v>0.55233232739613347</c:v>
                </c:pt>
                <c:pt idx="12">
                  <c:v>0.53873230490342605</c:v>
                </c:pt>
                <c:pt idx="13">
                  <c:v>0.53483955765563174</c:v>
                </c:pt>
                <c:pt idx="14">
                  <c:v>0.53094681040783653</c:v>
                </c:pt>
                <c:pt idx="16">
                  <c:v>0.5287386170223205</c:v>
                </c:pt>
                <c:pt idx="18">
                  <c:v>0.51478924958339178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204304"/>
        <c:axId val="498203912"/>
      </c:lineChart>
      <c:catAx>
        <c:axId val="498203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8203520"/>
        <c:crosses val="autoZero"/>
        <c:auto val="1"/>
        <c:lblAlgn val="ctr"/>
        <c:lblOffset val="100"/>
        <c:noMultiLvlLbl val="0"/>
      </c:catAx>
      <c:valAx>
        <c:axId val="498203520"/>
        <c:scaling>
          <c:orientation val="minMax"/>
          <c:max val="100"/>
          <c:min val="7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8203128"/>
        <c:crosses val="autoZero"/>
        <c:crossBetween val="between"/>
        <c:majorUnit val="10"/>
      </c:valAx>
      <c:valAx>
        <c:axId val="498203912"/>
        <c:scaling>
          <c:orientation val="minMax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Gini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8204304"/>
        <c:crosses val="max"/>
        <c:crossBetween val="between"/>
        <c:majorUnit val="5.000000000000001E-2"/>
      </c:valAx>
      <c:catAx>
        <c:axId val="498204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82039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bra!$D$1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bra!$A$2:$A$20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bra!$D$2:$D$20</c:f>
              <c:numCache>
                <c:formatCode>0.00</c:formatCode>
                <c:ptCount val="19"/>
                <c:pt idx="0">
                  <c:v>92.622955322265625</c:v>
                </c:pt>
                <c:pt idx="4">
                  <c:v>86.378036499023438</c:v>
                </c:pt>
                <c:pt idx="5">
                  <c:v>85.964912414550781</c:v>
                </c:pt>
                <c:pt idx="10">
                  <c:v>86.277870178222656</c:v>
                </c:pt>
                <c:pt idx="12">
                  <c:v>83.375961303710938</c:v>
                </c:pt>
                <c:pt idx="13">
                  <c:v>77.913047790527344</c:v>
                </c:pt>
                <c:pt idx="14">
                  <c:v>85.135139465332031</c:v>
                </c:pt>
                <c:pt idx="16">
                  <c:v>80.952384948730469</c:v>
                </c:pt>
                <c:pt idx="18">
                  <c:v>92.326530456542969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998792"/>
        <c:axId val="495999184"/>
      </c:lineChart>
      <c:lineChart>
        <c:grouping val="standard"/>
        <c:varyColors val="0"/>
        <c:ser>
          <c:idx val="0"/>
          <c:order val="1"/>
          <c:tx>
            <c:strRef>
              <c:f>bra!$P$1</c:f>
              <c:strCache>
                <c:ptCount val="1"/>
                <c:pt idx="0">
                  <c:v>GE(0)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bra!$P$2:$P$20</c:f>
              <c:numCache>
                <c:formatCode>0.00</c:formatCode>
                <c:ptCount val="19"/>
                <c:pt idx="0">
                  <c:v>0.6636640275766198</c:v>
                </c:pt>
                <c:pt idx="4">
                  <c:v>0.64545570081951409</c:v>
                </c:pt>
                <c:pt idx="5">
                  <c:v>0.6283006617613659</c:v>
                </c:pt>
                <c:pt idx="10">
                  <c:v>0.55016913155776248</c:v>
                </c:pt>
                <c:pt idx="12">
                  <c:v>0.5225246440535859</c:v>
                </c:pt>
                <c:pt idx="13">
                  <c:v>0.51418588121903497</c:v>
                </c:pt>
                <c:pt idx="14">
                  <c:v>0.50584711838448448</c:v>
                </c:pt>
                <c:pt idx="16">
                  <c:v>0.49749157131491578</c:v>
                </c:pt>
                <c:pt idx="18">
                  <c:v>0.47522178727157188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bra!$I$1</c:f>
              <c:strCache>
                <c:ptCount val="1"/>
                <c:pt idx="0">
                  <c:v>Atk (1)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bra!$I$2:$I$20</c:f>
              <c:numCache>
                <c:formatCode>0.00</c:formatCode>
                <c:ptCount val="19"/>
                <c:pt idx="0">
                  <c:v>0.48503895789408719</c:v>
                </c:pt>
                <c:pt idx="4">
                  <c:v>0.47557649257579138</c:v>
                </c:pt>
                <c:pt idx="5">
                  <c:v>0.4665023759482767</c:v>
                </c:pt>
                <c:pt idx="10">
                  <c:v>0.42314776178838992</c:v>
                </c:pt>
                <c:pt idx="12">
                  <c:v>0.40697851170384269</c:v>
                </c:pt>
                <c:pt idx="13">
                  <c:v>0.40199198023284843</c:v>
                </c:pt>
                <c:pt idx="14">
                  <c:v>0.39700544876185251</c:v>
                </c:pt>
                <c:pt idx="16">
                  <c:v>0.39194599157505028</c:v>
                </c:pt>
                <c:pt idx="18">
                  <c:v>0.3782528544306703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bra!$H$1</c:f>
              <c:strCache>
                <c:ptCount val="1"/>
                <c:pt idx="0">
                  <c:v>Atk (0.5)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bra!$H$2:$H$20</c:f>
              <c:numCache>
                <c:formatCode>0.00</c:formatCode>
                <c:ptCount val="19"/>
                <c:pt idx="0">
                  <c:v>0.29084508336603532</c:v>
                </c:pt>
                <c:pt idx="4">
                  <c:v>0.28613487874067162</c:v>
                </c:pt>
                <c:pt idx="5">
                  <c:v>0.28029466827948502</c:v>
                </c:pt>
                <c:pt idx="10">
                  <c:v>0.24882802800554871</c:v>
                </c:pt>
                <c:pt idx="12">
                  <c:v>0.23820299980068929</c:v>
                </c:pt>
                <c:pt idx="13">
                  <c:v>0.2348272563476419</c:v>
                </c:pt>
                <c:pt idx="14">
                  <c:v>0.23145151289459251</c:v>
                </c:pt>
                <c:pt idx="16">
                  <c:v>0.2285984264147724</c:v>
                </c:pt>
                <c:pt idx="18">
                  <c:v>0.2195833982928159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bra!$J$1</c:f>
              <c:strCache>
                <c:ptCount val="1"/>
                <c:pt idx="0">
                  <c:v>Atk (2)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bra!$J$2:$J$20</c:f>
              <c:numCache>
                <c:formatCode>0.00</c:formatCode>
                <c:ptCount val="19"/>
                <c:pt idx="0">
                  <c:v>0.72563053959936874</c:v>
                </c:pt>
                <c:pt idx="4">
                  <c:v>0.71348245566682822</c:v>
                </c:pt>
                <c:pt idx="5">
                  <c:v>0.70293175198294899</c:v>
                </c:pt>
                <c:pt idx="10">
                  <c:v>0.68246099013765238</c:v>
                </c:pt>
                <c:pt idx="12">
                  <c:v>0.64834063051824553</c:v>
                </c:pt>
                <c:pt idx="13">
                  <c:v>0.64595230288085048</c:v>
                </c:pt>
                <c:pt idx="14">
                  <c:v>0.64356397524345499</c:v>
                </c:pt>
                <c:pt idx="16">
                  <c:v>0.64017978314857005</c:v>
                </c:pt>
                <c:pt idx="18">
                  <c:v>0.61667207300421856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999968"/>
        <c:axId val="495999576"/>
      </c:lineChart>
      <c:catAx>
        <c:axId val="495998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5999184"/>
        <c:crosses val="autoZero"/>
        <c:auto val="1"/>
        <c:lblAlgn val="ctr"/>
        <c:lblOffset val="100"/>
        <c:noMultiLvlLbl val="0"/>
      </c:catAx>
      <c:valAx>
        <c:axId val="495999184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5998792"/>
        <c:crosses val="autoZero"/>
        <c:crossBetween val="between"/>
        <c:majorUnit val="20"/>
      </c:valAx>
      <c:valAx>
        <c:axId val="495999576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5999968"/>
        <c:crosses val="max"/>
        <c:crossBetween val="between"/>
        <c:majorUnit val="0.2"/>
      </c:valAx>
      <c:catAx>
        <c:axId val="495999968"/>
        <c:scaling>
          <c:orientation val="minMax"/>
        </c:scaling>
        <c:delete val="1"/>
        <c:axPos val="b"/>
        <c:majorTickMark val="out"/>
        <c:minorTickMark val="none"/>
        <c:tickLblPos val="nextTo"/>
        <c:crossAx val="495999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952938174394868"/>
          <c:w val="1"/>
          <c:h val="9.2692840478273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bra!$D$1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bra!$A$2:$A$20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bra!$D$2:$D$20</c:f>
              <c:numCache>
                <c:formatCode>0.00</c:formatCode>
                <c:ptCount val="19"/>
                <c:pt idx="0">
                  <c:v>92.622955322265625</c:v>
                </c:pt>
                <c:pt idx="4">
                  <c:v>86.378036499023438</c:v>
                </c:pt>
                <c:pt idx="5">
                  <c:v>85.964912414550781</c:v>
                </c:pt>
                <c:pt idx="10">
                  <c:v>86.277870178222656</c:v>
                </c:pt>
                <c:pt idx="12">
                  <c:v>83.375961303710938</c:v>
                </c:pt>
                <c:pt idx="13">
                  <c:v>77.913047790527344</c:v>
                </c:pt>
                <c:pt idx="14">
                  <c:v>85.135139465332031</c:v>
                </c:pt>
                <c:pt idx="16">
                  <c:v>80.952384948730469</c:v>
                </c:pt>
                <c:pt idx="18">
                  <c:v>92.326530456542969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bra!$M$1</c:f>
              <c:strCache>
                <c:ptCount val="1"/>
                <c:pt idx="0">
                  <c:v>Absolute Gini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bra!$A$2:$A$20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bra!$M$2:$M$20</c:f>
              <c:numCache>
                <c:formatCode>0.00</c:formatCode>
                <c:ptCount val="19"/>
                <c:pt idx="0">
                  <c:v>90.108414226268195</c:v>
                </c:pt>
                <c:pt idx="4">
                  <c:v>87.741181958473192</c:v>
                </c:pt>
                <c:pt idx="5">
                  <c:v>88.110881253952655</c:v>
                </c:pt>
                <c:pt idx="10">
                  <c:v>94.429152920609411</c:v>
                </c:pt>
                <c:pt idx="12">
                  <c:v>99.812007770767934</c:v>
                </c:pt>
                <c:pt idx="13">
                  <c:v>102.37030743864852</c:v>
                </c:pt>
                <c:pt idx="14">
                  <c:v>104.9286071065293</c:v>
                </c:pt>
                <c:pt idx="16">
                  <c:v>117.9039982482057</c:v>
                </c:pt>
                <c:pt idx="18">
                  <c:v>116.96575111688206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000752"/>
        <c:axId val="496001144"/>
      </c:lineChart>
      <c:catAx>
        <c:axId val="496000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6001144"/>
        <c:crosses val="autoZero"/>
        <c:auto val="1"/>
        <c:lblAlgn val="ctr"/>
        <c:lblOffset val="100"/>
        <c:noMultiLvlLbl val="0"/>
      </c:catAx>
      <c:valAx>
        <c:axId val="496001144"/>
        <c:scaling>
          <c:orientation val="minMax"/>
          <c:min val="7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600075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0"/>
          <c:order val="0"/>
          <c:tx>
            <c:strRef>
              <c:f>chl!$B$1</c:f>
              <c:strCache>
                <c:ptCount val="1"/>
                <c:pt idx="0">
                  <c:v>% Unfair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cat>
            <c:numRef>
              <c:f>chl!$A$2:$A$20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chl!$B$2:$B$20</c:f>
              <c:numCache>
                <c:formatCode>0.00</c:formatCode>
                <c:ptCount val="19"/>
                <c:pt idx="0">
                  <c:v>53.936965942382812</c:v>
                </c:pt>
                <c:pt idx="4">
                  <c:v>52.036506652832031</c:v>
                </c:pt>
                <c:pt idx="5">
                  <c:v>60.406547546386719</c:v>
                </c:pt>
                <c:pt idx="10">
                  <c:v>45.393375396728516</c:v>
                </c:pt>
                <c:pt idx="12">
                  <c:v>57.388824462890625</c:v>
                </c:pt>
                <c:pt idx="13">
                  <c:v>50.629901885986328</c:v>
                </c:pt>
                <c:pt idx="14">
                  <c:v>45.08929443359375</c:v>
                </c:pt>
                <c:pt idx="16">
                  <c:v>36.036510467529297</c:v>
                </c:pt>
                <c:pt idx="18">
                  <c:v>48.472450256347656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chl!$D$1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chl!$A$2:$A$20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chl!$D$2:$D$20</c:f>
              <c:numCache>
                <c:formatCode>0.00</c:formatCode>
                <c:ptCount val="19"/>
                <c:pt idx="0">
                  <c:v>88.393768310546875</c:v>
                </c:pt>
                <c:pt idx="4">
                  <c:v>90.2044677734375</c:v>
                </c:pt>
                <c:pt idx="5">
                  <c:v>90.867088317871094</c:v>
                </c:pt>
                <c:pt idx="10">
                  <c:v>90.230308532714844</c:v>
                </c:pt>
                <c:pt idx="12">
                  <c:v>85.074928283691406</c:v>
                </c:pt>
                <c:pt idx="13">
                  <c:v>87.89874267578125</c:v>
                </c:pt>
                <c:pt idx="14">
                  <c:v>94.086105346679688</c:v>
                </c:pt>
                <c:pt idx="16">
                  <c:v>89.508209228515625</c:v>
                </c:pt>
                <c:pt idx="18">
                  <c:v>94.941566467285156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chl!$F$1</c:f>
              <c:strCache>
                <c:ptCount val="1"/>
                <c:pt idx="0">
                  <c:v>% Very Unfair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chl!$A$2:$A$20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chl!$F$2:$F$20</c:f>
              <c:numCache>
                <c:formatCode>0.00</c:formatCode>
                <c:ptCount val="19"/>
                <c:pt idx="0">
                  <c:v>34.456806182861328</c:v>
                </c:pt>
                <c:pt idx="4">
                  <c:v>38.16796875</c:v>
                </c:pt>
                <c:pt idx="5">
                  <c:v>30.460538864135742</c:v>
                </c:pt>
                <c:pt idx="10">
                  <c:v>44.836936950683594</c:v>
                </c:pt>
                <c:pt idx="12">
                  <c:v>27.686098098754883</c:v>
                </c:pt>
                <c:pt idx="13">
                  <c:v>37.268840789794922</c:v>
                </c:pt>
                <c:pt idx="14">
                  <c:v>48.996807098388672</c:v>
                </c:pt>
                <c:pt idx="16">
                  <c:v>53.471694946289063</c:v>
                </c:pt>
                <c:pt idx="18">
                  <c:v>46.4691162109375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001928"/>
        <c:axId val="496002320"/>
      </c:lineChart>
      <c:catAx>
        <c:axId val="496001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6002320"/>
        <c:crosses val="autoZero"/>
        <c:auto val="1"/>
        <c:lblAlgn val="ctr"/>
        <c:lblOffset val="100"/>
        <c:noMultiLvlLbl val="0"/>
      </c:catAx>
      <c:valAx>
        <c:axId val="496002320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600192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942694663167115E-2"/>
          <c:y val="0.90544400699912508"/>
          <c:w val="0.8700958005249344"/>
          <c:h val="7.3335885097696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3350940507436555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chl!$D$1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chl!$A$2:$A$20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chl!$D$2:$D$20</c:f>
              <c:numCache>
                <c:formatCode>0.00</c:formatCode>
                <c:ptCount val="19"/>
                <c:pt idx="0">
                  <c:v>88.393768310546875</c:v>
                </c:pt>
                <c:pt idx="4">
                  <c:v>90.2044677734375</c:v>
                </c:pt>
                <c:pt idx="5">
                  <c:v>90.867088317871094</c:v>
                </c:pt>
                <c:pt idx="10">
                  <c:v>90.230308532714844</c:v>
                </c:pt>
                <c:pt idx="12">
                  <c:v>85.074928283691406</c:v>
                </c:pt>
                <c:pt idx="13">
                  <c:v>87.89874267578125</c:v>
                </c:pt>
                <c:pt idx="14">
                  <c:v>94.086105346679688</c:v>
                </c:pt>
                <c:pt idx="16">
                  <c:v>89.508209228515625</c:v>
                </c:pt>
                <c:pt idx="18">
                  <c:v>94.941566467285156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003104"/>
        <c:axId val="496003496"/>
      </c:lineChart>
      <c:lineChart>
        <c:grouping val="standard"/>
        <c:varyColors val="0"/>
        <c:ser>
          <c:idx val="0"/>
          <c:order val="1"/>
          <c:tx>
            <c:strRef>
              <c:f>chl!$N$1</c:f>
              <c:strCache>
                <c:ptCount val="1"/>
                <c:pt idx="0">
                  <c:v>Gini coefficient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chl!$A$2:$A$20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chl!$N$2:$N$20</c:f>
              <c:numCache>
                <c:formatCode>0.00</c:formatCode>
                <c:ptCount val="19"/>
                <c:pt idx="0">
                  <c:v>0.55522069084057168</c:v>
                </c:pt>
                <c:pt idx="4">
                  <c:v>0.55594187606513334</c:v>
                </c:pt>
                <c:pt idx="5">
                  <c:v>0.51489867973149195</c:v>
                </c:pt>
                <c:pt idx="10">
                  <c:v>0.48217710848123568</c:v>
                </c:pt>
                <c:pt idx="12">
                  <c:v>0.48972761005915932</c:v>
                </c:pt>
                <c:pt idx="13">
                  <c:v>0.48295225845171608</c:v>
                </c:pt>
                <c:pt idx="14">
                  <c:v>0.47617690684427461</c:v>
                </c:pt>
                <c:pt idx="16">
                  <c:v>0.47263494811675288</c:v>
                </c:pt>
                <c:pt idx="18">
                  <c:v>0.46909298938923127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004280"/>
        <c:axId val="496003888"/>
      </c:lineChart>
      <c:catAx>
        <c:axId val="496003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6003496"/>
        <c:crosses val="autoZero"/>
        <c:auto val="1"/>
        <c:lblAlgn val="ctr"/>
        <c:lblOffset val="100"/>
        <c:noMultiLvlLbl val="0"/>
      </c:catAx>
      <c:valAx>
        <c:axId val="496003496"/>
        <c:scaling>
          <c:orientation val="minMax"/>
          <c:max val="100"/>
          <c:min val="7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6003104"/>
        <c:crosses val="autoZero"/>
        <c:crossBetween val="between"/>
        <c:majorUnit val="10"/>
      </c:valAx>
      <c:valAx>
        <c:axId val="496003888"/>
        <c:scaling>
          <c:orientation val="minMax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Gini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6004280"/>
        <c:crosses val="max"/>
        <c:crossBetween val="between"/>
        <c:majorUnit val="5.000000000000001E-2"/>
      </c:valAx>
      <c:catAx>
        <c:axId val="496004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6003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chl!$D$1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chl!$A$2:$A$20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chl!$D$2:$D$20</c:f>
              <c:numCache>
                <c:formatCode>0.00</c:formatCode>
                <c:ptCount val="19"/>
                <c:pt idx="0">
                  <c:v>88.393768310546875</c:v>
                </c:pt>
                <c:pt idx="4">
                  <c:v>90.2044677734375</c:v>
                </c:pt>
                <c:pt idx="5">
                  <c:v>90.867088317871094</c:v>
                </c:pt>
                <c:pt idx="10">
                  <c:v>90.230308532714844</c:v>
                </c:pt>
                <c:pt idx="12">
                  <c:v>85.074928283691406</c:v>
                </c:pt>
                <c:pt idx="13">
                  <c:v>87.89874267578125</c:v>
                </c:pt>
                <c:pt idx="14">
                  <c:v>94.086105346679688</c:v>
                </c:pt>
                <c:pt idx="16">
                  <c:v>89.508209228515625</c:v>
                </c:pt>
                <c:pt idx="18">
                  <c:v>94.941566467285156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005064"/>
        <c:axId val="496005456"/>
      </c:lineChart>
      <c:lineChart>
        <c:grouping val="standard"/>
        <c:varyColors val="0"/>
        <c:ser>
          <c:idx val="0"/>
          <c:order val="1"/>
          <c:tx>
            <c:strRef>
              <c:f>chl!$P$1</c:f>
              <c:strCache>
                <c:ptCount val="1"/>
                <c:pt idx="0">
                  <c:v>GE(0)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chl!$P$2:$P$20</c:f>
              <c:numCache>
                <c:formatCode>0.00</c:formatCode>
                <c:ptCount val="19"/>
                <c:pt idx="0">
                  <c:v>0.55006931651846469</c:v>
                </c:pt>
                <c:pt idx="4">
                  <c:v>0.54860585416581409</c:v>
                </c:pt>
                <c:pt idx="5">
                  <c:v>0.46745128254122642</c:v>
                </c:pt>
                <c:pt idx="10">
                  <c:v>0.40419536150647178</c:v>
                </c:pt>
                <c:pt idx="12">
                  <c:v>0.41627654915418738</c:v>
                </c:pt>
                <c:pt idx="13">
                  <c:v>0.40307437700146309</c:v>
                </c:pt>
                <c:pt idx="14">
                  <c:v>0.38987220484874169</c:v>
                </c:pt>
                <c:pt idx="16">
                  <c:v>0.38195672421473442</c:v>
                </c:pt>
                <c:pt idx="18">
                  <c:v>0.37404124358072721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chl!$I$1</c:f>
              <c:strCache>
                <c:ptCount val="1"/>
                <c:pt idx="0">
                  <c:v>Atk (1)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chl!$I$2:$I$20</c:f>
              <c:numCache>
                <c:formatCode>0.00</c:formatCode>
                <c:ptCount val="19"/>
                <c:pt idx="0">
                  <c:v>0.42309018038563317</c:v>
                </c:pt>
                <c:pt idx="4">
                  <c:v>0.42224527649217142</c:v>
                </c:pt>
                <c:pt idx="5">
                  <c:v>0.37340274580355132</c:v>
                </c:pt>
                <c:pt idx="10">
                  <c:v>0.3324862979527331</c:v>
                </c:pt>
                <c:pt idx="12">
                  <c:v>0.340502138312892</c:v>
                </c:pt>
                <c:pt idx="13">
                  <c:v>0.33167936685005728</c:v>
                </c:pt>
                <c:pt idx="14">
                  <c:v>0.32285659538721517</c:v>
                </c:pt>
                <c:pt idx="16">
                  <c:v>0.3174754106460817</c:v>
                </c:pt>
                <c:pt idx="18">
                  <c:v>0.31209422590494817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chl!$H$1</c:f>
              <c:strCache>
                <c:ptCount val="1"/>
                <c:pt idx="0">
                  <c:v>Atk (0.5)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chl!$H$2:$H$20</c:f>
              <c:numCache>
                <c:formatCode>0.00</c:formatCode>
                <c:ptCount val="19"/>
                <c:pt idx="0">
                  <c:v>0.25645084209751579</c:v>
                </c:pt>
                <c:pt idx="4">
                  <c:v>0.25886698422028498</c:v>
                </c:pt>
                <c:pt idx="5">
                  <c:v>0.22146245196295711</c:v>
                </c:pt>
                <c:pt idx="10">
                  <c:v>0.19335893664223361</c:v>
                </c:pt>
                <c:pt idx="12">
                  <c:v>0.19978327437488599</c:v>
                </c:pt>
                <c:pt idx="13">
                  <c:v>0.193851057034097</c:v>
                </c:pt>
                <c:pt idx="14">
                  <c:v>0.18791883969331041</c:v>
                </c:pt>
                <c:pt idx="16">
                  <c:v>0.18603407507571079</c:v>
                </c:pt>
                <c:pt idx="18">
                  <c:v>0.18414931045811112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chl!$J$1</c:f>
              <c:strCache>
                <c:ptCount val="1"/>
                <c:pt idx="0">
                  <c:v>Atk (2)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chl!$J$2:$J$20</c:f>
              <c:numCache>
                <c:formatCode>0.00</c:formatCode>
                <c:ptCount val="19"/>
                <c:pt idx="0">
                  <c:v>0.6559105218371416</c:v>
                </c:pt>
                <c:pt idx="4">
                  <c:v>0.63612396736397203</c:v>
                </c:pt>
                <c:pt idx="5">
                  <c:v>0.61679735072192854</c:v>
                </c:pt>
                <c:pt idx="10">
                  <c:v>0.56433630886951347</c:v>
                </c:pt>
                <c:pt idx="12">
                  <c:v>0.61825216435051789</c:v>
                </c:pt>
                <c:pt idx="13">
                  <c:v>0.57490443773255606</c:v>
                </c:pt>
                <c:pt idx="14">
                  <c:v>0.53155671111460712</c:v>
                </c:pt>
                <c:pt idx="16">
                  <c:v>0.52332877315776472</c:v>
                </c:pt>
                <c:pt idx="18">
                  <c:v>0.51510083520092209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483488"/>
        <c:axId val="496005848"/>
      </c:lineChart>
      <c:catAx>
        <c:axId val="496005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6005456"/>
        <c:crosses val="autoZero"/>
        <c:auto val="1"/>
        <c:lblAlgn val="ctr"/>
        <c:lblOffset val="100"/>
        <c:noMultiLvlLbl val="0"/>
      </c:catAx>
      <c:valAx>
        <c:axId val="496005456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6005064"/>
        <c:crosses val="autoZero"/>
        <c:crossBetween val="between"/>
        <c:majorUnit val="20"/>
      </c:valAx>
      <c:valAx>
        <c:axId val="496005848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375483488"/>
        <c:crosses val="max"/>
        <c:crossBetween val="between"/>
        <c:majorUnit val="0.2"/>
      </c:valAx>
      <c:catAx>
        <c:axId val="375483488"/>
        <c:scaling>
          <c:orientation val="minMax"/>
        </c:scaling>
        <c:delete val="1"/>
        <c:axPos val="b"/>
        <c:majorTickMark val="out"/>
        <c:minorTickMark val="none"/>
        <c:tickLblPos val="nextTo"/>
        <c:crossAx val="496005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952938174394868"/>
          <c:w val="1"/>
          <c:h val="9.2692840478273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chl!$D$1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chl!$A$2:$A$20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chl!$D$2:$D$20</c:f>
              <c:numCache>
                <c:formatCode>0.00</c:formatCode>
                <c:ptCount val="19"/>
                <c:pt idx="0">
                  <c:v>88.393768310546875</c:v>
                </c:pt>
                <c:pt idx="4">
                  <c:v>90.2044677734375</c:v>
                </c:pt>
                <c:pt idx="5">
                  <c:v>90.867088317871094</c:v>
                </c:pt>
                <c:pt idx="10">
                  <c:v>90.230308532714844</c:v>
                </c:pt>
                <c:pt idx="12">
                  <c:v>85.074928283691406</c:v>
                </c:pt>
                <c:pt idx="13">
                  <c:v>87.89874267578125</c:v>
                </c:pt>
                <c:pt idx="14">
                  <c:v>94.086105346679688</c:v>
                </c:pt>
                <c:pt idx="16">
                  <c:v>89.508209228515625</c:v>
                </c:pt>
                <c:pt idx="18">
                  <c:v>94.941566467285156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chl!$M$1</c:f>
              <c:strCache>
                <c:ptCount val="1"/>
                <c:pt idx="0">
                  <c:v>Absolute Gini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chl!$A$2:$A$20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chl!$M$2:$M$20</c:f>
              <c:numCache>
                <c:formatCode>0.00</c:formatCode>
                <c:ptCount val="19"/>
                <c:pt idx="0">
                  <c:v>110.81971331306228</c:v>
                </c:pt>
                <c:pt idx="4">
                  <c:v>111.00775285386607</c:v>
                </c:pt>
                <c:pt idx="5">
                  <c:v>85.984498139721381</c:v>
                </c:pt>
                <c:pt idx="10">
                  <c:v>86.874630779795353</c:v>
                </c:pt>
                <c:pt idx="12">
                  <c:v>92.72561356444578</c:v>
                </c:pt>
                <c:pt idx="13">
                  <c:v>94.933216951703798</c:v>
                </c:pt>
                <c:pt idx="14">
                  <c:v>97.140820338963181</c:v>
                </c:pt>
                <c:pt idx="16">
                  <c:v>115.44695129421818</c:v>
                </c:pt>
                <c:pt idx="18">
                  <c:v>133.75308224947003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484272"/>
        <c:axId val="375484664"/>
      </c:lineChart>
      <c:catAx>
        <c:axId val="375484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375484664"/>
        <c:crosses val="autoZero"/>
        <c:auto val="1"/>
        <c:lblAlgn val="ctr"/>
        <c:lblOffset val="100"/>
        <c:noMultiLvlLbl val="0"/>
      </c:catAx>
      <c:valAx>
        <c:axId val="375484664"/>
        <c:scaling>
          <c:orientation val="minMax"/>
          <c:min val="7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37548427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0"/>
          <c:order val="0"/>
          <c:tx>
            <c:strRef>
              <c:f>col!$B$1</c:f>
              <c:strCache>
                <c:ptCount val="1"/>
                <c:pt idx="0">
                  <c:v>% Unfair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cat>
            <c:numRef>
              <c:f>col!$A$2:$A$20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col!$B$2:$B$20</c:f>
              <c:numCache>
                <c:formatCode>0.00</c:formatCode>
                <c:ptCount val="19"/>
                <c:pt idx="0">
                  <c:v>52.269023895263672</c:v>
                </c:pt>
                <c:pt idx="4">
                  <c:v>42.482681274414063</c:v>
                </c:pt>
                <c:pt idx="5">
                  <c:v>49.211589813232422</c:v>
                </c:pt>
                <c:pt idx="10">
                  <c:v>52.586257934570313</c:v>
                </c:pt>
                <c:pt idx="12">
                  <c:v>53.26202392578125</c:v>
                </c:pt>
                <c:pt idx="13">
                  <c:v>52.542388916015625</c:v>
                </c:pt>
                <c:pt idx="14">
                  <c:v>58.690185546875</c:v>
                </c:pt>
                <c:pt idx="16">
                  <c:v>49.300064086914063</c:v>
                </c:pt>
                <c:pt idx="18">
                  <c:v>50.418060302734375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col!$D$1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col!$A$2:$A$20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col!$D$2:$D$20</c:f>
              <c:numCache>
                <c:formatCode>0.00</c:formatCode>
                <c:ptCount val="19"/>
                <c:pt idx="0">
                  <c:v>84.786552429199219</c:v>
                </c:pt>
                <c:pt idx="4">
                  <c:v>95.812408447265625</c:v>
                </c:pt>
                <c:pt idx="5">
                  <c:v>90.709678649902344</c:v>
                </c:pt>
                <c:pt idx="10">
                  <c:v>81.378486633300781</c:v>
                </c:pt>
                <c:pt idx="12">
                  <c:v>80.838478088378906</c:v>
                </c:pt>
                <c:pt idx="13">
                  <c:v>84.779045104980469</c:v>
                </c:pt>
                <c:pt idx="14">
                  <c:v>87.821983337402344</c:v>
                </c:pt>
                <c:pt idx="16">
                  <c:v>85.383895874023437</c:v>
                </c:pt>
                <c:pt idx="18">
                  <c:v>85.589370727539063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col!$F$1</c:f>
              <c:strCache>
                <c:ptCount val="1"/>
                <c:pt idx="0">
                  <c:v>% Very Unfair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col!$A$2:$A$20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col!$F$2:$F$20</c:f>
              <c:numCache>
                <c:formatCode>0.00</c:formatCode>
                <c:ptCount val="19"/>
                <c:pt idx="0">
                  <c:v>32.517524719238281</c:v>
                </c:pt>
                <c:pt idx="4">
                  <c:v>53.329730987548828</c:v>
                </c:pt>
                <c:pt idx="5">
                  <c:v>41.498092651367188</c:v>
                </c:pt>
                <c:pt idx="10">
                  <c:v>28.792232513427734</c:v>
                </c:pt>
                <c:pt idx="12">
                  <c:v>27.576450347900391</c:v>
                </c:pt>
                <c:pt idx="13">
                  <c:v>32.236656188964844</c:v>
                </c:pt>
                <c:pt idx="14">
                  <c:v>29.131803512573242</c:v>
                </c:pt>
                <c:pt idx="16">
                  <c:v>36.083831787109375</c:v>
                </c:pt>
                <c:pt idx="18">
                  <c:v>35.171314239501953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485448"/>
        <c:axId val="375485840"/>
      </c:lineChart>
      <c:catAx>
        <c:axId val="375485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375485840"/>
        <c:crosses val="autoZero"/>
        <c:auto val="1"/>
        <c:lblAlgn val="ctr"/>
        <c:lblOffset val="100"/>
        <c:noMultiLvlLbl val="0"/>
      </c:catAx>
      <c:valAx>
        <c:axId val="375485840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37548544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942694663167115E-2"/>
          <c:y val="0.90544400699912508"/>
          <c:w val="0.8700958005249344"/>
          <c:h val="7.3335885097696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3350940507436555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col!$D$1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col!$A$2:$A$20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col!$D$2:$D$20</c:f>
              <c:numCache>
                <c:formatCode>0.00</c:formatCode>
                <c:ptCount val="19"/>
                <c:pt idx="0">
                  <c:v>84.786552429199219</c:v>
                </c:pt>
                <c:pt idx="4">
                  <c:v>95.812408447265625</c:v>
                </c:pt>
                <c:pt idx="5">
                  <c:v>90.709678649902344</c:v>
                </c:pt>
                <c:pt idx="10">
                  <c:v>81.378486633300781</c:v>
                </c:pt>
                <c:pt idx="12">
                  <c:v>80.838478088378906</c:v>
                </c:pt>
                <c:pt idx="13">
                  <c:v>84.779045104980469</c:v>
                </c:pt>
                <c:pt idx="14">
                  <c:v>87.821983337402344</c:v>
                </c:pt>
                <c:pt idx="16">
                  <c:v>85.383895874023437</c:v>
                </c:pt>
                <c:pt idx="18">
                  <c:v>85.589370727539063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486624"/>
        <c:axId val="375487016"/>
      </c:lineChart>
      <c:lineChart>
        <c:grouping val="standard"/>
        <c:varyColors val="0"/>
        <c:ser>
          <c:idx val="0"/>
          <c:order val="1"/>
          <c:tx>
            <c:strRef>
              <c:f>col!$N$1</c:f>
              <c:strCache>
                <c:ptCount val="1"/>
                <c:pt idx="0">
                  <c:v>Gini coefficient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col!$A$2:$A$20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col!$N$2:$N$20</c:f>
              <c:numCache>
                <c:formatCode>0.00</c:formatCode>
                <c:ptCount val="19"/>
                <c:pt idx="0">
                  <c:v>0.6046756330471208</c:v>
                </c:pt>
                <c:pt idx="4">
                  <c:v>0.58697446671515152</c:v>
                </c:pt>
                <c:pt idx="5">
                  <c:v>0.58254917513215765</c:v>
                </c:pt>
                <c:pt idx="10">
                  <c:v>0.56042271721719572</c:v>
                </c:pt>
                <c:pt idx="12">
                  <c:v>0.55918039726909274</c:v>
                </c:pt>
                <c:pt idx="13">
                  <c:v>0.55499444428844957</c:v>
                </c:pt>
                <c:pt idx="14">
                  <c:v>0.5417565583778009</c:v>
                </c:pt>
                <c:pt idx="16">
                  <c:v>0.53487819993255947</c:v>
                </c:pt>
                <c:pt idx="18">
                  <c:v>0.53497259806746278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487800"/>
        <c:axId val="375487408"/>
      </c:lineChart>
      <c:catAx>
        <c:axId val="375486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375487016"/>
        <c:crosses val="autoZero"/>
        <c:auto val="1"/>
        <c:lblAlgn val="ctr"/>
        <c:lblOffset val="100"/>
        <c:noMultiLvlLbl val="0"/>
      </c:catAx>
      <c:valAx>
        <c:axId val="375487016"/>
        <c:scaling>
          <c:orientation val="minMax"/>
          <c:max val="100"/>
          <c:min val="7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375486624"/>
        <c:crosses val="autoZero"/>
        <c:crossBetween val="between"/>
        <c:majorUnit val="10"/>
      </c:valAx>
      <c:valAx>
        <c:axId val="375487408"/>
        <c:scaling>
          <c:orientation val="minMax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Gini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375487800"/>
        <c:crosses val="max"/>
        <c:crossBetween val="between"/>
        <c:majorUnit val="5.000000000000001E-2"/>
      </c:valAx>
      <c:catAx>
        <c:axId val="375487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548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col!$D$1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col!$A$2:$A$20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col!$D$2:$D$20</c:f>
              <c:numCache>
                <c:formatCode>0.00</c:formatCode>
                <c:ptCount val="19"/>
                <c:pt idx="0">
                  <c:v>84.786552429199219</c:v>
                </c:pt>
                <c:pt idx="4">
                  <c:v>95.812408447265625</c:v>
                </c:pt>
                <c:pt idx="5">
                  <c:v>90.709678649902344</c:v>
                </c:pt>
                <c:pt idx="10">
                  <c:v>81.378486633300781</c:v>
                </c:pt>
                <c:pt idx="12">
                  <c:v>80.838478088378906</c:v>
                </c:pt>
                <c:pt idx="13">
                  <c:v>84.779045104980469</c:v>
                </c:pt>
                <c:pt idx="14">
                  <c:v>87.821983337402344</c:v>
                </c:pt>
                <c:pt idx="16">
                  <c:v>85.383895874023437</c:v>
                </c:pt>
                <c:pt idx="18">
                  <c:v>85.589370727539063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488584"/>
        <c:axId val="375488976"/>
      </c:lineChart>
      <c:lineChart>
        <c:grouping val="standard"/>
        <c:varyColors val="0"/>
        <c:ser>
          <c:idx val="0"/>
          <c:order val="1"/>
          <c:tx>
            <c:strRef>
              <c:f>col!$P$1</c:f>
              <c:strCache>
                <c:ptCount val="1"/>
                <c:pt idx="0">
                  <c:v>GE(0)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col!$P$2:$P$20</c:f>
              <c:numCache>
                <c:formatCode>0.00</c:formatCode>
                <c:ptCount val="19"/>
                <c:pt idx="0">
                  <c:v>0.68051249693984417</c:v>
                </c:pt>
                <c:pt idx="4">
                  <c:v>0.64023459817617479</c:v>
                </c:pt>
                <c:pt idx="5">
                  <c:v>0.63016512348525688</c:v>
                </c:pt>
                <c:pt idx="10">
                  <c:v>0.57981775003067038</c:v>
                </c:pt>
                <c:pt idx="12">
                  <c:v>0.57653675068105215</c:v>
                </c:pt>
                <c:pt idx="13">
                  <c:v>0.56156397092615618</c:v>
                </c:pt>
                <c:pt idx="14">
                  <c:v>0.53446101876398322</c:v>
                </c:pt>
                <c:pt idx="16">
                  <c:v>0.52388161468667549</c:v>
                </c:pt>
                <c:pt idx="18">
                  <c:v>0.52108047352476738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col!$I$1</c:f>
              <c:strCache>
                <c:ptCount val="1"/>
                <c:pt idx="0">
                  <c:v>Atk (1)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col!$I$2:$I$20</c:f>
              <c:numCache>
                <c:formatCode>0.00</c:formatCode>
                <c:ptCount val="19"/>
                <c:pt idx="0">
                  <c:v>0.49499268761890569</c:v>
                </c:pt>
                <c:pt idx="4">
                  <c:v>0.47299544564149798</c:v>
                </c:pt>
                <c:pt idx="5">
                  <c:v>0.46749613514714572</c:v>
                </c:pt>
                <c:pt idx="10">
                  <c:v>0.4399995826753858</c:v>
                </c:pt>
                <c:pt idx="12">
                  <c:v>0.43815920418098681</c:v>
                </c:pt>
                <c:pt idx="13">
                  <c:v>0.42968359229366121</c:v>
                </c:pt>
                <c:pt idx="14">
                  <c:v>0.41401496001336741</c:v>
                </c:pt>
                <c:pt idx="16">
                  <c:v>0.40778267870925061</c:v>
                </c:pt>
                <c:pt idx="18">
                  <c:v>0.4061214688382887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col!$H$1</c:f>
              <c:strCache>
                <c:ptCount val="1"/>
                <c:pt idx="0">
                  <c:v>Atk (0.5)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col!$H$2:$H$20</c:f>
              <c:numCache>
                <c:formatCode>0.00</c:formatCode>
                <c:ptCount val="19"/>
                <c:pt idx="0">
                  <c:v>0.30371529400700226</c:v>
                </c:pt>
                <c:pt idx="4">
                  <c:v>0.28672086347422798</c:v>
                </c:pt>
                <c:pt idx="5">
                  <c:v>0.28247225584103403</c:v>
                </c:pt>
                <c:pt idx="10">
                  <c:v>0.26122921767506618</c:v>
                </c:pt>
                <c:pt idx="12">
                  <c:v>0.26128205050795511</c:v>
                </c:pt>
                <c:pt idx="13">
                  <c:v>0.25730661511034242</c:v>
                </c:pt>
                <c:pt idx="14">
                  <c:v>0.2445665711946359</c:v>
                </c:pt>
                <c:pt idx="16">
                  <c:v>0.23762196074732381</c:v>
                </c:pt>
                <c:pt idx="18">
                  <c:v>0.23707553263095019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col!$J$1</c:f>
              <c:strCache>
                <c:ptCount val="1"/>
                <c:pt idx="0">
                  <c:v>Atk (2)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col!$J$2:$J$20</c:f>
              <c:numCache>
                <c:formatCode>0.00</c:formatCode>
                <c:ptCount val="19"/>
                <c:pt idx="0">
                  <c:v>0.72944454508006373</c:v>
                </c:pt>
                <c:pt idx="4">
                  <c:v>0.71881572911957203</c:v>
                </c:pt>
                <c:pt idx="5">
                  <c:v>0.71615852512944911</c:v>
                </c:pt>
                <c:pt idx="10">
                  <c:v>0.70287250517883426</c:v>
                </c:pt>
                <c:pt idx="12">
                  <c:v>0.99996889311917136</c:v>
                </c:pt>
                <c:pt idx="13">
                  <c:v>0.99937075331866854</c:v>
                </c:pt>
                <c:pt idx="14">
                  <c:v>0.99983825106996738</c:v>
                </c:pt>
                <c:pt idx="16">
                  <c:v>0.99995307712263504</c:v>
                </c:pt>
                <c:pt idx="18">
                  <c:v>0.65750016434850378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489760"/>
        <c:axId val="375489368"/>
      </c:lineChart>
      <c:catAx>
        <c:axId val="375488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375488976"/>
        <c:crosses val="autoZero"/>
        <c:auto val="1"/>
        <c:lblAlgn val="ctr"/>
        <c:lblOffset val="100"/>
        <c:noMultiLvlLbl val="0"/>
      </c:catAx>
      <c:valAx>
        <c:axId val="375488976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375488584"/>
        <c:crosses val="autoZero"/>
        <c:crossBetween val="between"/>
        <c:majorUnit val="20"/>
      </c:valAx>
      <c:valAx>
        <c:axId val="375489368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375489760"/>
        <c:crosses val="max"/>
        <c:crossBetween val="between"/>
        <c:majorUnit val="0.2"/>
      </c:valAx>
      <c:catAx>
        <c:axId val="375489760"/>
        <c:scaling>
          <c:orientation val="minMax"/>
        </c:scaling>
        <c:delete val="1"/>
        <c:axPos val="b"/>
        <c:majorTickMark val="out"/>
        <c:minorTickMark val="none"/>
        <c:tickLblPos val="nextTo"/>
        <c:crossAx val="375489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952938174394868"/>
          <c:w val="1"/>
          <c:h val="9.2692840478273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col!$D$1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col!$A$2:$A$20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col!$D$2:$D$20</c:f>
              <c:numCache>
                <c:formatCode>0.00</c:formatCode>
                <c:ptCount val="19"/>
                <c:pt idx="0">
                  <c:v>84.786552429199219</c:v>
                </c:pt>
                <c:pt idx="4">
                  <c:v>95.812408447265625</c:v>
                </c:pt>
                <c:pt idx="5">
                  <c:v>90.709678649902344</c:v>
                </c:pt>
                <c:pt idx="10">
                  <c:v>81.378486633300781</c:v>
                </c:pt>
                <c:pt idx="12">
                  <c:v>80.838478088378906</c:v>
                </c:pt>
                <c:pt idx="13">
                  <c:v>84.779045104980469</c:v>
                </c:pt>
                <c:pt idx="14">
                  <c:v>87.821983337402344</c:v>
                </c:pt>
                <c:pt idx="16">
                  <c:v>85.383895874023437</c:v>
                </c:pt>
                <c:pt idx="18">
                  <c:v>85.589370727539063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col!$M$1</c:f>
              <c:strCache>
                <c:ptCount val="1"/>
                <c:pt idx="0">
                  <c:v>Absolute Gini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col!$A$2:$A$20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col!$M$2:$M$20</c:f>
              <c:numCache>
                <c:formatCode>0.00</c:formatCode>
                <c:ptCount val="19"/>
                <c:pt idx="0">
                  <c:v>77.352042482441902</c:v>
                </c:pt>
                <c:pt idx="4">
                  <c:v>82.988345435679093</c:v>
                </c:pt>
                <c:pt idx="5">
                  <c:v>84.397421173988391</c:v>
                </c:pt>
                <c:pt idx="10">
                  <c:v>91.442799865534894</c:v>
                </c:pt>
                <c:pt idx="12">
                  <c:v>96.514241376037134</c:v>
                </c:pt>
                <c:pt idx="13">
                  <c:v>101.78944838948463</c:v>
                </c:pt>
                <c:pt idx="14">
                  <c:v>104.6940354700471</c:v>
                </c:pt>
                <c:pt idx="16">
                  <c:v>108.60288226933672</c:v>
                </c:pt>
                <c:pt idx="18">
                  <c:v>112.55916732176026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490544"/>
        <c:axId val="375490936"/>
      </c:lineChart>
      <c:catAx>
        <c:axId val="375490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375490936"/>
        <c:crosses val="autoZero"/>
        <c:auto val="1"/>
        <c:lblAlgn val="ctr"/>
        <c:lblOffset val="100"/>
        <c:noMultiLvlLbl val="0"/>
      </c:catAx>
      <c:valAx>
        <c:axId val="375490936"/>
        <c:scaling>
          <c:orientation val="minMax"/>
          <c:min val="7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37549054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0"/>
          <c:order val="0"/>
          <c:tx>
            <c:strRef>
              <c:f>cri!$B$1</c:f>
              <c:strCache>
                <c:ptCount val="1"/>
                <c:pt idx="0">
                  <c:v>% Unfair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cat>
            <c:numRef>
              <c:f>cri!$A$2:$A$20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cri!$B$2:$B$20</c:f>
              <c:numCache>
                <c:formatCode>0.00</c:formatCode>
                <c:ptCount val="19"/>
                <c:pt idx="0">
                  <c:v>61.967544555664063</c:v>
                </c:pt>
                <c:pt idx="4">
                  <c:v>51.855777740478516</c:v>
                </c:pt>
                <c:pt idx="5">
                  <c:v>58.888889312744141</c:v>
                </c:pt>
                <c:pt idx="10">
                  <c:v>53.505348205566406</c:v>
                </c:pt>
                <c:pt idx="12">
                  <c:v>52.325584411621094</c:v>
                </c:pt>
                <c:pt idx="13">
                  <c:v>53.2091064453125</c:v>
                </c:pt>
                <c:pt idx="14">
                  <c:v>50.976360321044922</c:v>
                </c:pt>
                <c:pt idx="16">
                  <c:v>47.695606231689453</c:v>
                </c:pt>
                <c:pt idx="18">
                  <c:v>51.490234375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cri!$D$1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cri!$A$2:$A$20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cri!$D$2:$D$20</c:f>
              <c:numCache>
                <c:formatCode>0.00</c:formatCode>
                <c:ptCount val="19"/>
                <c:pt idx="0">
                  <c:v>77.281944274902344</c:v>
                </c:pt>
                <c:pt idx="4">
                  <c:v>84.517494201660156</c:v>
                </c:pt>
                <c:pt idx="5">
                  <c:v>75</c:v>
                </c:pt>
                <c:pt idx="10">
                  <c:v>70.427703857421875</c:v>
                </c:pt>
                <c:pt idx="12">
                  <c:v>69.5560302734375</c:v>
                </c:pt>
                <c:pt idx="13">
                  <c:v>73.084884643554688</c:v>
                </c:pt>
                <c:pt idx="14">
                  <c:v>75.436798095703125</c:v>
                </c:pt>
                <c:pt idx="16">
                  <c:v>84.137191772460938</c:v>
                </c:pt>
                <c:pt idx="18">
                  <c:v>81.294967651367188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cri!$F$1</c:f>
              <c:strCache>
                <c:ptCount val="1"/>
                <c:pt idx="0">
                  <c:v>% Very Unfair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cri!$A$2:$A$20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cri!$F$2:$F$20</c:f>
              <c:numCache>
                <c:formatCode>0.00</c:formatCode>
                <c:ptCount val="19"/>
                <c:pt idx="0">
                  <c:v>15.314401626586914</c:v>
                </c:pt>
                <c:pt idx="4">
                  <c:v>32.661716461181641</c:v>
                </c:pt>
                <c:pt idx="5">
                  <c:v>16.111110687255859</c:v>
                </c:pt>
                <c:pt idx="10">
                  <c:v>16.92234992980957</c:v>
                </c:pt>
                <c:pt idx="12">
                  <c:v>17.230443954467773</c:v>
                </c:pt>
                <c:pt idx="13">
                  <c:v>19.875776290893555</c:v>
                </c:pt>
                <c:pt idx="14">
                  <c:v>24.460432052612305</c:v>
                </c:pt>
                <c:pt idx="16">
                  <c:v>36.441585540771484</c:v>
                </c:pt>
                <c:pt idx="18">
                  <c:v>29.804727554321289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582624"/>
        <c:axId val="612583016"/>
      </c:lineChart>
      <c:catAx>
        <c:axId val="612582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12583016"/>
        <c:crosses val="autoZero"/>
        <c:auto val="1"/>
        <c:lblAlgn val="ctr"/>
        <c:lblOffset val="100"/>
        <c:noMultiLvlLbl val="0"/>
      </c:catAx>
      <c:valAx>
        <c:axId val="612583016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1258262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942694663167115E-2"/>
          <c:y val="0.90544400699912508"/>
          <c:w val="0.8700958005249344"/>
          <c:h val="7.3335885097696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3350940507436555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cri!$D$1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cri!$A$2:$A$20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cri!$D$2:$D$20</c:f>
              <c:numCache>
                <c:formatCode>0.00</c:formatCode>
                <c:ptCount val="19"/>
                <c:pt idx="0">
                  <c:v>77.281944274902344</c:v>
                </c:pt>
                <c:pt idx="4">
                  <c:v>84.517494201660156</c:v>
                </c:pt>
                <c:pt idx="5">
                  <c:v>75</c:v>
                </c:pt>
                <c:pt idx="10">
                  <c:v>70.427703857421875</c:v>
                </c:pt>
                <c:pt idx="12">
                  <c:v>69.5560302734375</c:v>
                </c:pt>
                <c:pt idx="13">
                  <c:v>73.084884643554688</c:v>
                </c:pt>
                <c:pt idx="14">
                  <c:v>75.436798095703125</c:v>
                </c:pt>
                <c:pt idx="16">
                  <c:v>84.137191772460938</c:v>
                </c:pt>
                <c:pt idx="18">
                  <c:v>81.294967651367188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583800"/>
        <c:axId val="612584192"/>
      </c:lineChart>
      <c:lineChart>
        <c:grouping val="standard"/>
        <c:varyColors val="0"/>
        <c:ser>
          <c:idx val="0"/>
          <c:order val="1"/>
          <c:tx>
            <c:strRef>
              <c:f>cri!$N$1</c:f>
              <c:strCache>
                <c:ptCount val="1"/>
                <c:pt idx="0">
                  <c:v>Gini coefficient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cri!$A$2:$A$20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cri!$N$2:$N$20</c:f>
              <c:numCache>
                <c:formatCode>0.00</c:formatCode>
                <c:ptCount val="19"/>
                <c:pt idx="0">
                  <c:v>0.41584628993251549</c:v>
                </c:pt>
                <c:pt idx="4">
                  <c:v>0.4358814918172591</c:v>
                </c:pt>
                <c:pt idx="5">
                  <c:v>0.44089029228844545</c:v>
                </c:pt>
                <c:pt idx="10">
                  <c:v>0.46593429464437364</c:v>
                </c:pt>
                <c:pt idx="12">
                  <c:v>0.47595189558674633</c:v>
                </c:pt>
                <c:pt idx="13">
                  <c:v>0.48096069605793268</c:v>
                </c:pt>
                <c:pt idx="14">
                  <c:v>0.48596949652911858</c:v>
                </c:pt>
                <c:pt idx="16">
                  <c:v>0.49175686650402822</c:v>
                </c:pt>
                <c:pt idx="18">
                  <c:v>0.4852993894083929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584976"/>
        <c:axId val="612584584"/>
      </c:lineChart>
      <c:catAx>
        <c:axId val="612583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12584192"/>
        <c:crosses val="autoZero"/>
        <c:auto val="1"/>
        <c:lblAlgn val="ctr"/>
        <c:lblOffset val="100"/>
        <c:noMultiLvlLbl val="0"/>
      </c:catAx>
      <c:valAx>
        <c:axId val="612584192"/>
        <c:scaling>
          <c:orientation val="minMax"/>
          <c:max val="100"/>
          <c:min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0"/>
              <c:y val="0.336752403834416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12583800"/>
        <c:crosses val="autoZero"/>
        <c:crossBetween val="between"/>
        <c:majorUnit val="10"/>
      </c:valAx>
      <c:valAx>
        <c:axId val="612584584"/>
        <c:scaling>
          <c:orientation val="minMax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Gini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12584976"/>
        <c:crosses val="max"/>
        <c:crossBetween val="between"/>
        <c:majorUnit val="5.000000000000001E-2"/>
      </c:valAx>
      <c:catAx>
        <c:axId val="612584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25845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cri!$D$1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cri!$A$2:$A$20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cri!$D$2:$D$20</c:f>
              <c:numCache>
                <c:formatCode>0.00</c:formatCode>
                <c:ptCount val="19"/>
                <c:pt idx="0">
                  <c:v>77.281944274902344</c:v>
                </c:pt>
                <c:pt idx="4">
                  <c:v>84.517494201660156</c:v>
                </c:pt>
                <c:pt idx="5">
                  <c:v>75</c:v>
                </c:pt>
                <c:pt idx="10">
                  <c:v>70.427703857421875</c:v>
                </c:pt>
                <c:pt idx="12">
                  <c:v>69.5560302734375</c:v>
                </c:pt>
                <c:pt idx="13">
                  <c:v>73.084884643554688</c:v>
                </c:pt>
                <c:pt idx="14">
                  <c:v>75.436798095703125</c:v>
                </c:pt>
                <c:pt idx="16">
                  <c:v>84.137191772460938</c:v>
                </c:pt>
                <c:pt idx="18">
                  <c:v>81.294967651367188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585760"/>
        <c:axId val="508923848"/>
      </c:lineChart>
      <c:lineChart>
        <c:grouping val="standard"/>
        <c:varyColors val="0"/>
        <c:ser>
          <c:idx val="0"/>
          <c:order val="1"/>
          <c:tx>
            <c:strRef>
              <c:f>cri!$P$1</c:f>
              <c:strCache>
                <c:ptCount val="1"/>
                <c:pt idx="0">
                  <c:v>GE(0)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cri!$P$2:$P$20</c:f>
              <c:numCache>
                <c:formatCode>0.00</c:formatCode>
                <c:ptCount val="19"/>
                <c:pt idx="0">
                  <c:v>0.25119019172128532</c:v>
                </c:pt>
                <c:pt idx="4">
                  <c:v>0.29874883907745442</c:v>
                </c:pt>
                <c:pt idx="5">
                  <c:v>0.3106385009164967</c:v>
                </c:pt>
                <c:pt idx="10">
                  <c:v>0.37008681011170808</c:v>
                </c:pt>
                <c:pt idx="12">
                  <c:v>0.39386613378979263</c:v>
                </c:pt>
                <c:pt idx="13">
                  <c:v>0.4057557956288354</c:v>
                </c:pt>
                <c:pt idx="14">
                  <c:v>0.41764545746787751</c:v>
                </c:pt>
                <c:pt idx="16">
                  <c:v>0.43122263579749393</c:v>
                </c:pt>
                <c:pt idx="18">
                  <c:v>0.41673923837187932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cri!$I$1</c:f>
              <c:strCache>
                <c:ptCount val="1"/>
                <c:pt idx="0">
                  <c:v>Atk (1)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cri!$I$2:$I$20</c:f>
              <c:numCache>
                <c:formatCode>0.00</c:formatCode>
                <c:ptCount val="19"/>
                <c:pt idx="0">
                  <c:v>0.23112328975436114</c:v>
                </c:pt>
                <c:pt idx="4">
                  <c:v>0.26263215347612068</c:v>
                </c:pt>
                <c:pt idx="5">
                  <c:v>0.27050936940656101</c:v>
                </c:pt>
                <c:pt idx="10">
                  <c:v>0.30989544905876087</c:v>
                </c:pt>
                <c:pt idx="12">
                  <c:v>0.32564988091963976</c:v>
                </c:pt>
                <c:pt idx="13">
                  <c:v>0.33352709685008058</c:v>
                </c:pt>
                <c:pt idx="14">
                  <c:v>0.34140431278052041</c:v>
                </c:pt>
                <c:pt idx="16">
                  <c:v>0.35028575497767062</c:v>
                </c:pt>
                <c:pt idx="18">
                  <c:v>0.34080721028025818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cri!$H$1</c:f>
              <c:strCache>
                <c:ptCount val="1"/>
                <c:pt idx="0">
                  <c:v>Atk (0.5)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cri!$H$2:$H$20</c:f>
              <c:numCache>
                <c:formatCode>0.00</c:formatCode>
                <c:ptCount val="19"/>
                <c:pt idx="0">
                  <c:v>0.13472155243611894</c:v>
                </c:pt>
                <c:pt idx="4">
                  <c:v>0.15150261549220545</c:v>
                </c:pt>
                <c:pt idx="5">
                  <c:v>0.15569788125622708</c:v>
                </c:pt>
                <c:pt idx="10">
                  <c:v>0.17667421007633344</c:v>
                </c:pt>
                <c:pt idx="12">
                  <c:v>0.18506474160437669</c:v>
                </c:pt>
                <c:pt idx="13">
                  <c:v>0.18926000736839921</c:v>
                </c:pt>
                <c:pt idx="14">
                  <c:v>0.1934552731324207</c:v>
                </c:pt>
                <c:pt idx="16">
                  <c:v>0.19731108957764251</c:v>
                </c:pt>
                <c:pt idx="18">
                  <c:v>0.19053948483392461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cri!$J$1</c:f>
              <c:strCache>
                <c:ptCount val="1"/>
                <c:pt idx="0">
                  <c:v>Atk (2)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cri!$J$2:$J$20</c:f>
              <c:numCache>
                <c:formatCode>0.00</c:formatCode>
                <c:ptCount val="19"/>
                <c:pt idx="0">
                  <c:v>0.39790214997669793</c:v>
                </c:pt>
                <c:pt idx="4">
                  <c:v>0.44655389261206579</c:v>
                </c:pt>
                <c:pt idx="5">
                  <c:v>0.45871682827090865</c:v>
                </c:pt>
                <c:pt idx="10">
                  <c:v>0.51953150656511582</c:v>
                </c:pt>
                <c:pt idx="12">
                  <c:v>0.54385737788280153</c:v>
                </c:pt>
                <c:pt idx="13">
                  <c:v>0.55602031354164527</c:v>
                </c:pt>
                <c:pt idx="14">
                  <c:v>0.56818324920048724</c:v>
                </c:pt>
                <c:pt idx="16">
                  <c:v>0.58528396868947064</c:v>
                </c:pt>
                <c:pt idx="18">
                  <c:v>0.57725438604759427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924632"/>
        <c:axId val="508924240"/>
      </c:lineChart>
      <c:catAx>
        <c:axId val="61258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508923848"/>
        <c:crosses val="autoZero"/>
        <c:auto val="1"/>
        <c:lblAlgn val="ctr"/>
        <c:lblOffset val="100"/>
        <c:noMultiLvlLbl val="0"/>
      </c:catAx>
      <c:valAx>
        <c:axId val="508923848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12585760"/>
        <c:crosses val="autoZero"/>
        <c:crossBetween val="between"/>
        <c:majorUnit val="20"/>
      </c:valAx>
      <c:valAx>
        <c:axId val="508924240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508924632"/>
        <c:crosses val="max"/>
        <c:crossBetween val="between"/>
        <c:majorUnit val="0.2"/>
      </c:valAx>
      <c:catAx>
        <c:axId val="508924632"/>
        <c:scaling>
          <c:orientation val="minMax"/>
        </c:scaling>
        <c:delete val="1"/>
        <c:axPos val="b"/>
        <c:majorTickMark val="out"/>
        <c:minorTickMark val="none"/>
        <c:tickLblPos val="nextTo"/>
        <c:crossAx val="5089242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952938174394868"/>
          <c:w val="1"/>
          <c:h val="9.2692840478273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cri!$D$1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cri!$A$2:$A$20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cri!$D$2:$D$20</c:f>
              <c:numCache>
                <c:formatCode>0.00</c:formatCode>
                <c:ptCount val="19"/>
                <c:pt idx="0">
                  <c:v>77.281944274902344</c:v>
                </c:pt>
                <c:pt idx="4">
                  <c:v>84.517494201660156</c:v>
                </c:pt>
                <c:pt idx="5">
                  <c:v>75</c:v>
                </c:pt>
                <c:pt idx="10">
                  <c:v>70.427703857421875</c:v>
                </c:pt>
                <c:pt idx="12">
                  <c:v>69.5560302734375</c:v>
                </c:pt>
                <c:pt idx="13">
                  <c:v>73.084884643554688</c:v>
                </c:pt>
                <c:pt idx="14">
                  <c:v>75.436798095703125</c:v>
                </c:pt>
                <c:pt idx="16">
                  <c:v>84.137191772460938</c:v>
                </c:pt>
                <c:pt idx="18">
                  <c:v>81.294967651367188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cri!$M$1</c:f>
              <c:strCache>
                <c:ptCount val="1"/>
                <c:pt idx="0">
                  <c:v>Absolute Gini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cri!$A$2:$A$20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cri!$M$2:$M$20</c:f>
              <c:numCache>
                <c:formatCode>0.00</c:formatCode>
                <c:ptCount val="19"/>
                <c:pt idx="0">
                  <c:v>52.897305170670734</c:v>
                </c:pt>
                <c:pt idx="4">
                  <c:v>65.51252790808212</c:v>
                </c:pt>
                <c:pt idx="5">
                  <c:v>68.666333592434967</c:v>
                </c:pt>
                <c:pt idx="10">
                  <c:v>84.435362014200109</c:v>
                </c:pt>
                <c:pt idx="12">
                  <c:v>90.742973382905802</c:v>
                </c:pt>
                <c:pt idx="13">
                  <c:v>93.89677906725835</c:v>
                </c:pt>
                <c:pt idx="14">
                  <c:v>97.050584751611311</c:v>
                </c:pt>
                <c:pt idx="16">
                  <c:v>105.52162863481685</c:v>
                </c:pt>
                <c:pt idx="18">
                  <c:v>103.53101921492434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925416"/>
        <c:axId val="508925808"/>
      </c:lineChart>
      <c:catAx>
        <c:axId val="508925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508925808"/>
        <c:crosses val="autoZero"/>
        <c:auto val="1"/>
        <c:lblAlgn val="ctr"/>
        <c:lblOffset val="100"/>
        <c:noMultiLvlLbl val="0"/>
      </c:catAx>
      <c:valAx>
        <c:axId val="508925808"/>
        <c:scaling>
          <c:orientation val="minMax"/>
          <c:min val="5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50892541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0"/>
          <c:order val="0"/>
          <c:tx>
            <c:strRef>
              <c:f>dom!$B$1</c:f>
              <c:strCache>
                <c:ptCount val="1"/>
                <c:pt idx="0">
                  <c:v>% Unfair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cat>
            <c:numRef>
              <c:f>dom!$A$2:$A$10</c:f>
              <c:numCache>
                <c:formatCode>General</c:formatCode>
                <c:ptCount val="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</c:numCache>
            </c:numRef>
          </c:cat>
          <c:val>
            <c:numRef>
              <c:f>dom!$B$2:$B$10</c:f>
              <c:numCache>
                <c:formatCode>0.00</c:formatCode>
                <c:ptCount val="9"/>
                <c:pt idx="0">
                  <c:v>46.617034912109375</c:v>
                </c:pt>
                <c:pt idx="2">
                  <c:v>48.830337524414063</c:v>
                </c:pt>
                <c:pt idx="3">
                  <c:v>45.375293731689453</c:v>
                </c:pt>
                <c:pt idx="4">
                  <c:v>38.402614593505859</c:v>
                </c:pt>
                <c:pt idx="6">
                  <c:v>47.906539916992188</c:v>
                </c:pt>
                <c:pt idx="8">
                  <c:v>52.008186340332031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dom!$D$1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dom!$A$2:$A$10</c:f>
              <c:numCache>
                <c:formatCode>General</c:formatCode>
                <c:ptCount val="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</c:numCache>
            </c:numRef>
          </c:cat>
          <c:val>
            <c:numRef>
              <c:f>dom!$D$2:$D$10</c:f>
              <c:numCache>
                <c:formatCode>0.00</c:formatCode>
                <c:ptCount val="9"/>
                <c:pt idx="0">
                  <c:v>74.329780578613281</c:v>
                </c:pt>
                <c:pt idx="2">
                  <c:v>71.554130554199219</c:v>
                </c:pt>
                <c:pt idx="3">
                  <c:v>87.693130493164062</c:v>
                </c:pt>
                <c:pt idx="4">
                  <c:v>92.418304443359375</c:v>
                </c:pt>
                <c:pt idx="6">
                  <c:v>72.611465454101563</c:v>
                </c:pt>
                <c:pt idx="8">
                  <c:v>74.406745910644531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dom!$F$1</c:f>
              <c:strCache>
                <c:ptCount val="1"/>
                <c:pt idx="0">
                  <c:v>% Very Unfair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dom!$A$2:$A$10</c:f>
              <c:numCache>
                <c:formatCode>General</c:formatCode>
                <c:ptCount val="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</c:numCache>
            </c:numRef>
          </c:cat>
          <c:val>
            <c:numRef>
              <c:f>dom!$F$2:$F$10</c:f>
              <c:numCache>
                <c:formatCode>0.00</c:formatCode>
                <c:ptCount val="9"/>
                <c:pt idx="0">
                  <c:v>27.712747573852539</c:v>
                </c:pt>
                <c:pt idx="2">
                  <c:v>22.723789215087891</c:v>
                </c:pt>
                <c:pt idx="3">
                  <c:v>42.317840576171875</c:v>
                </c:pt>
                <c:pt idx="4">
                  <c:v>54.01568603515625</c:v>
                </c:pt>
                <c:pt idx="6">
                  <c:v>24.704917907714844</c:v>
                </c:pt>
                <c:pt idx="8">
                  <c:v>22.398563385009766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926592"/>
        <c:axId val="508926984"/>
      </c:lineChart>
      <c:catAx>
        <c:axId val="508926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508926984"/>
        <c:crosses val="autoZero"/>
        <c:auto val="1"/>
        <c:lblAlgn val="ctr"/>
        <c:lblOffset val="100"/>
        <c:noMultiLvlLbl val="0"/>
      </c:catAx>
      <c:valAx>
        <c:axId val="508926984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50892659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942694663167115E-2"/>
          <c:y val="0.90544400699912508"/>
          <c:w val="0.8700958005249344"/>
          <c:h val="7.3335885097696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3350940507436555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dom!$D$1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dom!$A$2:$A$10</c:f>
              <c:numCache>
                <c:formatCode>General</c:formatCode>
                <c:ptCount val="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</c:numCache>
            </c:numRef>
          </c:cat>
          <c:val>
            <c:numRef>
              <c:f>dom!$D$2:$D$10</c:f>
              <c:numCache>
                <c:formatCode>0.00</c:formatCode>
                <c:ptCount val="9"/>
                <c:pt idx="0">
                  <c:v>74.329780578613281</c:v>
                </c:pt>
                <c:pt idx="2">
                  <c:v>71.554130554199219</c:v>
                </c:pt>
                <c:pt idx="3">
                  <c:v>87.693130493164062</c:v>
                </c:pt>
                <c:pt idx="4">
                  <c:v>92.418304443359375</c:v>
                </c:pt>
                <c:pt idx="6">
                  <c:v>72.611465454101563</c:v>
                </c:pt>
                <c:pt idx="8">
                  <c:v>74.406745910644531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19136"/>
        <c:axId val="6619528"/>
      </c:lineChart>
      <c:lineChart>
        <c:grouping val="standard"/>
        <c:varyColors val="0"/>
        <c:ser>
          <c:idx val="0"/>
          <c:order val="1"/>
          <c:tx>
            <c:strRef>
              <c:f>dom!$N$1</c:f>
              <c:strCache>
                <c:ptCount val="1"/>
                <c:pt idx="0">
                  <c:v>Gini coefficient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dom!$A$2:$A$10</c:f>
              <c:numCache>
                <c:formatCode>General</c:formatCode>
                <c:ptCount val="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</c:numCache>
            </c:numRef>
          </c:cat>
          <c:val>
            <c:numRef>
              <c:f>dom!$N$2:$N$10</c:f>
              <c:numCache>
                <c:formatCode>0.00</c:formatCode>
                <c:ptCount val="9"/>
                <c:pt idx="0">
                  <c:v>0.48685249251277768</c:v>
                </c:pt>
                <c:pt idx="2">
                  <c:v>0.48859052607072279</c:v>
                </c:pt>
                <c:pt idx="3">
                  <c:v>0.48127066321474565</c:v>
                </c:pt>
                <c:pt idx="4">
                  <c:v>0.47395080035876691</c:v>
                </c:pt>
                <c:pt idx="6">
                  <c:v>0.47071565561414352</c:v>
                </c:pt>
                <c:pt idx="8">
                  <c:v>0.44482582132725462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20312"/>
        <c:axId val="6619920"/>
      </c:lineChart>
      <c:catAx>
        <c:axId val="6619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619528"/>
        <c:crosses val="autoZero"/>
        <c:auto val="1"/>
        <c:lblAlgn val="ctr"/>
        <c:lblOffset val="100"/>
        <c:noMultiLvlLbl val="0"/>
      </c:catAx>
      <c:valAx>
        <c:axId val="6619528"/>
        <c:scaling>
          <c:orientation val="minMax"/>
          <c:max val="100"/>
          <c:min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0"/>
              <c:y val="0.336752403834416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619136"/>
        <c:crosses val="autoZero"/>
        <c:crossBetween val="between"/>
        <c:majorUnit val="10"/>
      </c:valAx>
      <c:valAx>
        <c:axId val="6619920"/>
        <c:scaling>
          <c:orientation val="minMax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Gini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620312"/>
        <c:crosses val="max"/>
        <c:crossBetween val="between"/>
        <c:majorUnit val="5.000000000000001E-2"/>
      </c:valAx>
      <c:catAx>
        <c:axId val="66203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199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dom!$D$1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dom!$A$2:$A$10</c:f>
              <c:numCache>
                <c:formatCode>General</c:formatCode>
                <c:ptCount val="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</c:numCache>
            </c:numRef>
          </c:cat>
          <c:val>
            <c:numRef>
              <c:f>dom!$D$2:$D$10</c:f>
              <c:numCache>
                <c:formatCode>0.00</c:formatCode>
                <c:ptCount val="9"/>
                <c:pt idx="0">
                  <c:v>74.329780578613281</c:v>
                </c:pt>
                <c:pt idx="2">
                  <c:v>71.554130554199219</c:v>
                </c:pt>
                <c:pt idx="3">
                  <c:v>87.693130493164062</c:v>
                </c:pt>
                <c:pt idx="4">
                  <c:v>92.418304443359375</c:v>
                </c:pt>
                <c:pt idx="6">
                  <c:v>72.611465454101563</c:v>
                </c:pt>
                <c:pt idx="8">
                  <c:v>74.406745910644531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21096"/>
        <c:axId val="6621488"/>
      </c:lineChart>
      <c:lineChart>
        <c:grouping val="standard"/>
        <c:varyColors val="0"/>
        <c:ser>
          <c:idx val="0"/>
          <c:order val="1"/>
          <c:tx>
            <c:strRef>
              <c:f>dom!$P$1</c:f>
              <c:strCache>
                <c:ptCount val="1"/>
                <c:pt idx="0">
                  <c:v>GE(0)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dom!$P$2:$P$10</c:f>
              <c:numCache>
                <c:formatCode>0.00</c:formatCode>
                <c:ptCount val="9"/>
                <c:pt idx="0">
                  <c:v>0.4138359405208582</c:v>
                </c:pt>
                <c:pt idx="2">
                  <c:v>0.41349671217440542</c:v>
                </c:pt>
                <c:pt idx="3">
                  <c:v>0.4005969722547853</c:v>
                </c:pt>
                <c:pt idx="4">
                  <c:v>0.38769723233516162</c:v>
                </c:pt>
                <c:pt idx="6">
                  <c:v>0.37828963476915312</c:v>
                </c:pt>
                <c:pt idx="8">
                  <c:v>0.34021128643341692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dom!$I$1</c:f>
              <c:strCache>
                <c:ptCount val="1"/>
                <c:pt idx="0">
                  <c:v>Atk (1)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dom!$I$2:$I$10</c:f>
              <c:numCache>
                <c:formatCode>0.00</c:formatCode>
                <c:ptCount val="9"/>
                <c:pt idx="0">
                  <c:v>0.3388905963662015</c:v>
                </c:pt>
                <c:pt idx="2">
                  <c:v>0.33866629127321979</c:v>
                </c:pt>
                <c:pt idx="3">
                  <c:v>0.33002425779531208</c:v>
                </c:pt>
                <c:pt idx="4">
                  <c:v>0.32138222431740138</c:v>
                </c:pt>
                <c:pt idx="6">
                  <c:v>0.3149679371734414</c:v>
                </c:pt>
                <c:pt idx="8">
                  <c:v>0.28838004876401602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dom!$H$1</c:f>
              <c:strCache>
                <c:ptCount val="1"/>
                <c:pt idx="0">
                  <c:v>Atk (0.5)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dom!$H$2:$H$10</c:f>
              <c:numCache>
                <c:formatCode>0.00</c:formatCode>
                <c:ptCount val="9"/>
                <c:pt idx="0">
                  <c:v>0.1954758279498906</c:v>
                </c:pt>
                <c:pt idx="2">
                  <c:v>0.19723114158219571</c:v>
                </c:pt>
                <c:pt idx="3">
                  <c:v>0.19117641613639691</c:v>
                </c:pt>
                <c:pt idx="4">
                  <c:v>0.18512169069059869</c:v>
                </c:pt>
                <c:pt idx="6">
                  <c:v>0.1822936118580083</c:v>
                </c:pt>
                <c:pt idx="8">
                  <c:v>0.15973929746305529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dom!$J$1</c:f>
              <c:strCache>
                <c:ptCount val="1"/>
                <c:pt idx="0">
                  <c:v>Atk (2)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dom!$J$2:$J$10</c:f>
              <c:numCache>
                <c:formatCode>0.00</c:formatCode>
                <c:ptCount val="9"/>
                <c:pt idx="0">
                  <c:v>0.56309387360985441</c:v>
                </c:pt>
                <c:pt idx="2">
                  <c:v>0.53172525967753859</c:v>
                </c:pt>
                <c:pt idx="3">
                  <c:v>0.52277422708712962</c:v>
                </c:pt>
                <c:pt idx="4">
                  <c:v>0.51382319449671909</c:v>
                </c:pt>
                <c:pt idx="6">
                  <c:v>0.49653699523647582</c:v>
                </c:pt>
                <c:pt idx="8">
                  <c:v>0.4902718331658748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22272"/>
        <c:axId val="6621880"/>
      </c:lineChart>
      <c:catAx>
        <c:axId val="6621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621488"/>
        <c:crosses val="autoZero"/>
        <c:auto val="1"/>
        <c:lblAlgn val="ctr"/>
        <c:lblOffset val="100"/>
        <c:noMultiLvlLbl val="0"/>
      </c:catAx>
      <c:valAx>
        <c:axId val="6621488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621096"/>
        <c:crosses val="autoZero"/>
        <c:crossBetween val="between"/>
        <c:majorUnit val="20"/>
      </c:valAx>
      <c:valAx>
        <c:axId val="6621880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622272"/>
        <c:crosses val="max"/>
        <c:crossBetween val="between"/>
        <c:majorUnit val="0.2"/>
      </c:valAx>
      <c:catAx>
        <c:axId val="6622272"/>
        <c:scaling>
          <c:orientation val="minMax"/>
        </c:scaling>
        <c:delete val="1"/>
        <c:axPos val="b"/>
        <c:majorTickMark val="out"/>
        <c:minorTickMark val="none"/>
        <c:tickLblPos val="nextTo"/>
        <c:crossAx val="6621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952938174394868"/>
          <c:w val="1"/>
          <c:h val="9.2692840478273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dom!$D$1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dom!$A$2:$A$10</c:f>
              <c:numCache>
                <c:formatCode>General</c:formatCode>
                <c:ptCount val="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</c:numCache>
            </c:numRef>
          </c:cat>
          <c:val>
            <c:numRef>
              <c:f>dom!$D$2:$D$10</c:f>
              <c:numCache>
                <c:formatCode>0.00</c:formatCode>
                <c:ptCount val="9"/>
                <c:pt idx="0">
                  <c:v>74.329780578613281</c:v>
                </c:pt>
                <c:pt idx="2">
                  <c:v>71.554130554199219</c:v>
                </c:pt>
                <c:pt idx="3">
                  <c:v>87.693130493164062</c:v>
                </c:pt>
                <c:pt idx="4">
                  <c:v>92.418304443359375</c:v>
                </c:pt>
                <c:pt idx="6">
                  <c:v>72.611465454101563</c:v>
                </c:pt>
                <c:pt idx="8">
                  <c:v>74.406745910644531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dom!$M$1</c:f>
              <c:strCache>
                <c:ptCount val="1"/>
                <c:pt idx="0">
                  <c:v>Absolute Gini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dom!$A$2:$A$10</c:f>
              <c:numCache>
                <c:formatCode>General</c:formatCode>
                <c:ptCount val="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</c:numCache>
            </c:numRef>
          </c:cat>
          <c:val>
            <c:numRef>
              <c:f>dom!$M$2:$M$10</c:f>
              <c:numCache>
                <c:formatCode>0.00</c:formatCode>
                <c:ptCount val="9"/>
                <c:pt idx="0">
                  <c:v>98.940244275117607</c:v>
                </c:pt>
                <c:pt idx="2">
                  <c:v>103.48063051887628</c:v>
                </c:pt>
                <c:pt idx="3">
                  <c:v>102.00742280735585</c:v>
                </c:pt>
                <c:pt idx="4">
                  <c:v>100.53421509583522</c:v>
                </c:pt>
                <c:pt idx="6">
                  <c:v>99.414467055005957</c:v>
                </c:pt>
                <c:pt idx="8">
                  <c:v>97.630456221926181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211248"/>
        <c:axId val="372211640"/>
      </c:lineChart>
      <c:catAx>
        <c:axId val="372211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372211640"/>
        <c:crosses val="autoZero"/>
        <c:auto val="1"/>
        <c:lblAlgn val="ctr"/>
        <c:lblOffset val="100"/>
        <c:noMultiLvlLbl val="0"/>
      </c:catAx>
      <c:valAx>
        <c:axId val="372211640"/>
        <c:scaling>
          <c:orientation val="minMax"/>
          <c:min val="5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37221124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0"/>
          <c:order val="0"/>
          <c:tx>
            <c:strRef>
              <c:f>ecu!$B$1</c:f>
              <c:strCache>
                <c:ptCount val="1"/>
                <c:pt idx="0">
                  <c:v>% Unfair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cat>
            <c:numRef>
              <c:f>ecu!$A$2:$A$20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ecu!$B$2:$B$20</c:f>
              <c:numCache>
                <c:formatCode>0.00</c:formatCode>
                <c:ptCount val="19"/>
                <c:pt idx="0">
                  <c:v>54.946994781494141</c:v>
                </c:pt>
                <c:pt idx="4">
                  <c:v>57.433712005615234</c:v>
                </c:pt>
                <c:pt idx="5">
                  <c:v>51.988662719726563</c:v>
                </c:pt>
                <c:pt idx="10">
                  <c:v>53.429298400878906</c:v>
                </c:pt>
                <c:pt idx="12">
                  <c:v>52.580928802490234</c:v>
                </c:pt>
                <c:pt idx="13">
                  <c:v>48.167537689208984</c:v>
                </c:pt>
                <c:pt idx="14">
                  <c:v>44.675323486328125</c:v>
                </c:pt>
                <c:pt idx="16">
                  <c:v>30.396476745605469</c:v>
                </c:pt>
                <c:pt idx="18">
                  <c:v>33.515979766845703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ecu!$D$1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ecu!$A$2:$A$20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ecu!$D$2:$D$20</c:f>
              <c:numCache>
                <c:formatCode>0.00</c:formatCode>
                <c:ptCount val="19"/>
                <c:pt idx="0">
                  <c:v>87.455833435058594</c:v>
                </c:pt>
                <c:pt idx="4">
                  <c:v>89.981666564941406</c:v>
                </c:pt>
                <c:pt idx="5">
                  <c:v>88.320388793945313</c:v>
                </c:pt>
                <c:pt idx="10">
                  <c:v>77.392044067382812</c:v>
                </c:pt>
                <c:pt idx="12">
                  <c:v>71.041122436523438</c:v>
                </c:pt>
                <c:pt idx="13">
                  <c:v>65.53228759765625</c:v>
                </c:pt>
                <c:pt idx="14">
                  <c:v>55.58441162109375</c:v>
                </c:pt>
                <c:pt idx="16">
                  <c:v>38.678413391113281</c:v>
                </c:pt>
                <c:pt idx="18">
                  <c:v>46.210044860839844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ecu!$F$1</c:f>
              <c:strCache>
                <c:ptCount val="1"/>
                <c:pt idx="0">
                  <c:v>% Very Unfair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ecu!$A$2:$A$20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ecu!$F$2:$F$20</c:f>
              <c:numCache>
                <c:formatCode>0.00</c:formatCode>
                <c:ptCount val="19"/>
                <c:pt idx="0">
                  <c:v>32.508834838867188</c:v>
                </c:pt>
                <c:pt idx="4">
                  <c:v>32.547958374023437</c:v>
                </c:pt>
                <c:pt idx="5">
                  <c:v>36.331733703613281</c:v>
                </c:pt>
                <c:pt idx="10">
                  <c:v>23.962743759155273</c:v>
                </c:pt>
                <c:pt idx="12">
                  <c:v>18.46019172668457</c:v>
                </c:pt>
                <c:pt idx="13">
                  <c:v>17.36474609375</c:v>
                </c:pt>
                <c:pt idx="14">
                  <c:v>10.909090995788574</c:v>
                </c:pt>
                <c:pt idx="16">
                  <c:v>8.2819375991821289</c:v>
                </c:pt>
                <c:pt idx="18">
                  <c:v>12.694064140319824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212424"/>
        <c:axId val="372212816"/>
      </c:lineChart>
      <c:catAx>
        <c:axId val="372212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372212816"/>
        <c:crosses val="autoZero"/>
        <c:auto val="1"/>
        <c:lblAlgn val="ctr"/>
        <c:lblOffset val="100"/>
        <c:noMultiLvlLbl val="0"/>
      </c:catAx>
      <c:valAx>
        <c:axId val="372212816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37221242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942694663167115E-2"/>
          <c:y val="0.90544400699912508"/>
          <c:w val="0.8700958005249344"/>
          <c:h val="7.3335885097696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3350940507436555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ecu!$D$1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ecu!$A$2:$A$20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ecu!$D$2:$D$20</c:f>
              <c:numCache>
                <c:formatCode>0.00</c:formatCode>
                <c:ptCount val="19"/>
                <c:pt idx="0">
                  <c:v>87.455833435058594</c:v>
                </c:pt>
                <c:pt idx="4">
                  <c:v>89.981666564941406</c:v>
                </c:pt>
                <c:pt idx="5">
                  <c:v>88.320388793945313</c:v>
                </c:pt>
                <c:pt idx="10">
                  <c:v>77.392044067382812</c:v>
                </c:pt>
                <c:pt idx="12">
                  <c:v>71.041122436523438</c:v>
                </c:pt>
                <c:pt idx="13">
                  <c:v>65.53228759765625</c:v>
                </c:pt>
                <c:pt idx="14">
                  <c:v>55.58441162109375</c:v>
                </c:pt>
                <c:pt idx="16">
                  <c:v>38.678413391113281</c:v>
                </c:pt>
                <c:pt idx="18">
                  <c:v>46.210044860839844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213600"/>
        <c:axId val="372213992"/>
      </c:lineChart>
      <c:lineChart>
        <c:grouping val="standard"/>
        <c:varyColors val="0"/>
        <c:ser>
          <c:idx val="0"/>
          <c:order val="1"/>
          <c:tx>
            <c:strRef>
              <c:f>ecu!$N$1</c:f>
              <c:strCache>
                <c:ptCount val="1"/>
                <c:pt idx="0">
                  <c:v>Gini coefficient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ecu!$A$2:$A$20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ecu!$N$2:$N$20</c:f>
              <c:numCache>
                <c:formatCode>0.00</c:formatCode>
                <c:ptCount val="19"/>
                <c:pt idx="0">
                  <c:v>0.55654869158472264</c:v>
                </c:pt>
                <c:pt idx="4">
                  <c:v>0.55124048007759008</c:v>
                </c:pt>
                <c:pt idx="5">
                  <c:v>0.54991342720080683</c:v>
                </c:pt>
                <c:pt idx="10">
                  <c:v>0.54327816281689123</c:v>
                </c:pt>
                <c:pt idx="12">
                  <c:v>0.49284986320062418</c:v>
                </c:pt>
                <c:pt idx="13">
                  <c:v>0.49254530504374122</c:v>
                </c:pt>
                <c:pt idx="14">
                  <c:v>0.4620917885251733</c:v>
                </c:pt>
                <c:pt idx="16">
                  <c:v>0.47289024442153882</c:v>
                </c:pt>
                <c:pt idx="18">
                  <c:v>0.45379403936154422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214776"/>
        <c:axId val="372214384"/>
      </c:lineChart>
      <c:catAx>
        <c:axId val="372213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372213992"/>
        <c:crosses val="autoZero"/>
        <c:auto val="1"/>
        <c:lblAlgn val="ctr"/>
        <c:lblOffset val="100"/>
        <c:noMultiLvlLbl val="0"/>
      </c:catAx>
      <c:valAx>
        <c:axId val="372213992"/>
        <c:scaling>
          <c:orientation val="minMax"/>
          <c:max val="100"/>
          <c:min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0"/>
              <c:y val="0.355831960572660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372213600"/>
        <c:crosses val="autoZero"/>
        <c:crossBetween val="between"/>
        <c:majorUnit val="10"/>
      </c:valAx>
      <c:valAx>
        <c:axId val="372214384"/>
        <c:scaling>
          <c:orientation val="minMax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Gini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372214776"/>
        <c:crosses val="max"/>
        <c:crossBetween val="between"/>
        <c:majorUnit val="5.000000000000001E-2"/>
      </c:valAx>
      <c:catAx>
        <c:axId val="372214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22143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ecu!$D$1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ecu!$A$2:$A$20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ecu!$D$2:$D$20</c:f>
              <c:numCache>
                <c:formatCode>0.00</c:formatCode>
                <c:ptCount val="19"/>
                <c:pt idx="0">
                  <c:v>87.455833435058594</c:v>
                </c:pt>
                <c:pt idx="4">
                  <c:v>89.981666564941406</c:v>
                </c:pt>
                <c:pt idx="5">
                  <c:v>88.320388793945313</c:v>
                </c:pt>
                <c:pt idx="10">
                  <c:v>77.392044067382812</c:v>
                </c:pt>
                <c:pt idx="12">
                  <c:v>71.041122436523438</c:v>
                </c:pt>
                <c:pt idx="13">
                  <c:v>65.53228759765625</c:v>
                </c:pt>
                <c:pt idx="14">
                  <c:v>55.58441162109375</c:v>
                </c:pt>
                <c:pt idx="16">
                  <c:v>38.678413391113281</c:v>
                </c:pt>
                <c:pt idx="18">
                  <c:v>46.210044860839844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681312"/>
        <c:axId val="645681704"/>
      </c:lineChart>
      <c:lineChart>
        <c:grouping val="standard"/>
        <c:varyColors val="0"/>
        <c:ser>
          <c:idx val="0"/>
          <c:order val="1"/>
          <c:tx>
            <c:strRef>
              <c:f>ecu!$P$1</c:f>
              <c:strCache>
                <c:ptCount val="1"/>
                <c:pt idx="0">
                  <c:v>GE(0)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ecu!$P$2:$P$20</c:f>
              <c:numCache>
                <c:formatCode>0.00</c:formatCode>
                <c:ptCount val="19"/>
                <c:pt idx="0">
                  <c:v>0.56934607331216469</c:v>
                </c:pt>
                <c:pt idx="4">
                  <c:v>0.55344479740679109</c:v>
                </c:pt>
                <c:pt idx="5">
                  <c:v>0.54946947843044769</c:v>
                </c:pt>
                <c:pt idx="10">
                  <c:v>0.52959288354873035</c:v>
                </c:pt>
                <c:pt idx="12">
                  <c:v>0.43047806908785952</c:v>
                </c:pt>
                <c:pt idx="13">
                  <c:v>0.42822703825163821</c:v>
                </c:pt>
                <c:pt idx="14">
                  <c:v>0.37622950867218202</c:v>
                </c:pt>
                <c:pt idx="16">
                  <c:v>0.38927983779080821</c:v>
                </c:pt>
                <c:pt idx="18">
                  <c:v>0.35844376759925412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ecu!$I$1</c:f>
              <c:strCache>
                <c:ptCount val="1"/>
                <c:pt idx="0">
                  <c:v>Atk (1)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ecu!$I$2:$I$20</c:f>
              <c:numCache>
                <c:formatCode>0.00</c:formatCode>
                <c:ptCount val="19"/>
                <c:pt idx="0">
                  <c:v>0.43433269741827907</c:v>
                </c:pt>
                <c:pt idx="4">
                  <c:v>0.42506175875886587</c:v>
                </c:pt>
                <c:pt idx="5">
                  <c:v>0.42274402409401252</c:v>
                </c:pt>
                <c:pt idx="10">
                  <c:v>0.41115535076974608</c:v>
                </c:pt>
                <c:pt idx="12">
                  <c:v>0.34980181924118908</c:v>
                </c:pt>
                <c:pt idx="13">
                  <c:v>0.34833655452730572</c:v>
                </c:pt>
                <c:pt idx="14">
                  <c:v>0.31355523006572711</c:v>
                </c:pt>
                <c:pt idx="16">
                  <c:v>0.32245535911289719</c:v>
                </c:pt>
                <c:pt idx="18">
                  <c:v>0.30123708214976153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ecu!$H$1</c:f>
              <c:strCache>
                <c:ptCount val="1"/>
                <c:pt idx="0">
                  <c:v>Atk (0.5)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ecu!$H$2:$H$20</c:f>
              <c:numCache>
                <c:formatCode>0.00</c:formatCode>
                <c:ptCount val="19"/>
                <c:pt idx="0">
                  <c:v>0.25709764082645048</c:v>
                </c:pt>
                <c:pt idx="4">
                  <c:v>0.25266380658784859</c:v>
                </c:pt>
                <c:pt idx="5">
                  <c:v>0.2515553480281979</c:v>
                </c:pt>
                <c:pt idx="10">
                  <c:v>0.24601305522994579</c:v>
                </c:pt>
                <c:pt idx="12">
                  <c:v>0.2005483271009624</c:v>
                </c:pt>
                <c:pt idx="13">
                  <c:v>0.2014968755357196</c:v>
                </c:pt>
                <c:pt idx="14">
                  <c:v>0.1739817340406172</c:v>
                </c:pt>
                <c:pt idx="16">
                  <c:v>0.18488237377329381</c:v>
                </c:pt>
                <c:pt idx="18">
                  <c:v>0.1710256321257087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ecu!$J$1</c:f>
              <c:strCache>
                <c:ptCount val="1"/>
                <c:pt idx="0">
                  <c:v>Atk (2)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ecu!$J$2:$J$20</c:f>
              <c:numCache>
                <c:formatCode>0.00</c:formatCode>
                <c:ptCount val="19"/>
                <c:pt idx="0">
                  <c:v>0.70099733688730481</c:v>
                </c:pt>
                <c:pt idx="4">
                  <c:v>0.68051519799871585</c:v>
                </c:pt>
                <c:pt idx="5">
                  <c:v>0.67539466327656905</c:v>
                </c:pt>
                <c:pt idx="10">
                  <c:v>0.64979198966583374</c:v>
                </c:pt>
                <c:pt idx="12">
                  <c:v>0.58621368767983317</c:v>
                </c:pt>
                <c:pt idx="13">
                  <c:v>0.5892928306733316</c:v>
                </c:pt>
                <c:pt idx="14">
                  <c:v>0.55047764032950774</c:v>
                </c:pt>
                <c:pt idx="16">
                  <c:v>0.53491793649880603</c:v>
                </c:pt>
                <c:pt idx="18">
                  <c:v>0.51357289778355475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682488"/>
        <c:axId val="645682096"/>
      </c:lineChart>
      <c:catAx>
        <c:axId val="64568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5681704"/>
        <c:crosses val="autoZero"/>
        <c:auto val="1"/>
        <c:lblAlgn val="ctr"/>
        <c:lblOffset val="100"/>
        <c:noMultiLvlLbl val="0"/>
      </c:catAx>
      <c:valAx>
        <c:axId val="645681704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5681312"/>
        <c:crosses val="autoZero"/>
        <c:crossBetween val="between"/>
        <c:majorUnit val="20"/>
      </c:valAx>
      <c:valAx>
        <c:axId val="645682096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5682488"/>
        <c:crosses val="max"/>
        <c:crossBetween val="between"/>
        <c:majorUnit val="0.2"/>
      </c:valAx>
      <c:catAx>
        <c:axId val="645682488"/>
        <c:scaling>
          <c:orientation val="minMax"/>
        </c:scaling>
        <c:delete val="1"/>
        <c:axPos val="b"/>
        <c:majorTickMark val="out"/>
        <c:minorTickMark val="none"/>
        <c:tickLblPos val="nextTo"/>
        <c:crossAx val="645682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952938174394868"/>
          <c:w val="1"/>
          <c:h val="9.2692840478273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ecu!$D$1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ecu!$A$2:$A$20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ecu!$D$2:$D$20</c:f>
              <c:numCache>
                <c:formatCode>0.00</c:formatCode>
                <c:ptCount val="19"/>
                <c:pt idx="0">
                  <c:v>87.455833435058594</c:v>
                </c:pt>
                <c:pt idx="4">
                  <c:v>89.981666564941406</c:v>
                </c:pt>
                <c:pt idx="5">
                  <c:v>88.320388793945313</c:v>
                </c:pt>
                <c:pt idx="10">
                  <c:v>77.392044067382812</c:v>
                </c:pt>
                <c:pt idx="12">
                  <c:v>71.041122436523438</c:v>
                </c:pt>
                <c:pt idx="13">
                  <c:v>65.53228759765625</c:v>
                </c:pt>
                <c:pt idx="14">
                  <c:v>55.58441162109375</c:v>
                </c:pt>
                <c:pt idx="16">
                  <c:v>38.678413391113281</c:v>
                </c:pt>
                <c:pt idx="18">
                  <c:v>46.210044860839844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ecu!$M$1</c:f>
              <c:strCache>
                <c:ptCount val="1"/>
                <c:pt idx="0">
                  <c:v>Absolute Gini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ecu!$A$2:$A$20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ecu!$M$2:$M$20</c:f>
              <c:numCache>
                <c:formatCode>0.00</c:formatCode>
                <c:ptCount val="19"/>
                <c:pt idx="0">
                  <c:v>57.31212275985672</c:v>
                </c:pt>
                <c:pt idx="4">
                  <c:v>79.699560023580489</c:v>
                </c:pt>
                <c:pt idx="5">
                  <c:v>85.296419339511047</c:v>
                </c:pt>
                <c:pt idx="10">
                  <c:v>113.28071591916466</c:v>
                </c:pt>
                <c:pt idx="12">
                  <c:v>91.369906469890196</c:v>
                </c:pt>
                <c:pt idx="13">
                  <c:v>99.909307777434037</c:v>
                </c:pt>
                <c:pt idx="14">
                  <c:v>96.334363908486893</c:v>
                </c:pt>
                <c:pt idx="16">
                  <c:v>109.04696664156326</c:v>
                </c:pt>
                <c:pt idx="18">
                  <c:v>104.76230188188802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683272"/>
        <c:axId val="645683664"/>
      </c:lineChart>
      <c:catAx>
        <c:axId val="645683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5683664"/>
        <c:crosses val="autoZero"/>
        <c:auto val="1"/>
        <c:lblAlgn val="ctr"/>
        <c:lblOffset val="100"/>
        <c:noMultiLvlLbl val="0"/>
      </c:catAx>
      <c:valAx>
        <c:axId val="645683664"/>
        <c:scaling>
          <c:orientation val="minMax"/>
          <c:min val="3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568327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0"/>
          <c:order val="0"/>
          <c:tx>
            <c:strRef>
              <c:f>gtm!$B$1</c:f>
              <c:strCache>
                <c:ptCount val="1"/>
                <c:pt idx="0">
                  <c:v>% Unfair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cat>
            <c:numRef>
              <c:f>gtm!$A$2:$A$20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gtm!$B$2:$B$20</c:f>
              <c:numCache>
                <c:formatCode>0.00</c:formatCode>
                <c:ptCount val="19"/>
                <c:pt idx="0">
                  <c:v>38.213134765625</c:v>
                </c:pt>
                <c:pt idx="4">
                  <c:v>54.286235809326172</c:v>
                </c:pt>
                <c:pt idx="5">
                  <c:v>53.320346832275391</c:v>
                </c:pt>
                <c:pt idx="10">
                  <c:v>47.240493774414063</c:v>
                </c:pt>
                <c:pt idx="12">
                  <c:v>57.538013458251953</c:v>
                </c:pt>
                <c:pt idx="13">
                  <c:v>57.351833343505859</c:v>
                </c:pt>
                <c:pt idx="14">
                  <c:v>58.176399230957031</c:v>
                </c:pt>
                <c:pt idx="16">
                  <c:v>47.392059326171875</c:v>
                </c:pt>
                <c:pt idx="18">
                  <c:v>48.586154937744141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gtm!$D$1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gtm!$A$2:$A$20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gtm!$D$2:$D$20</c:f>
              <c:numCache>
                <c:formatCode>0.00</c:formatCode>
                <c:ptCount val="19"/>
                <c:pt idx="0">
                  <c:v>62.970935821533203</c:v>
                </c:pt>
                <c:pt idx="4">
                  <c:v>85.035964965820313</c:v>
                </c:pt>
                <c:pt idx="5">
                  <c:v>87.138099670410156</c:v>
                </c:pt>
                <c:pt idx="10">
                  <c:v>75.56201171875</c:v>
                </c:pt>
                <c:pt idx="12">
                  <c:v>85.217269897460938</c:v>
                </c:pt>
                <c:pt idx="13">
                  <c:v>82.779655456542969</c:v>
                </c:pt>
                <c:pt idx="14">
                  <c:v>83.177474975585937</c:v>
                </c:pt>
                <c:pt idx="16">
                  <c:v>76.253883361816406</c:v>
                </c:pt>
                <c:pt idx="18">
                  <c:v>78.605422973632813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gtm!$F$1</c:f>
              <c:strCache>
                <c:ptCount val="1"/>
                <c:pt idx="0">
                  <c:v>% Very Unfair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gtm!$A$2:$A$20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gtm!$F$2:$F$20</c:f>
              <c:numCache>
                <c:formatCode>0.00</c:formatCode>
                <c:ptCount val="19"/>
                <c:pt idx="0">
                  <c:v>24.757804870605469</c:v>
                </c:pt>
                <c:pt idx="4">
                  <c:v>30.749734878540039</c:v>
                </c:pt>
                <c:pt idx="5">
                  <c:v>33.817752838134766</c:v>
                </c:pt>
                <c:pt idx="10">
                  <c:v>28.32151985168457</c:v>
                </c:pt>
                <c:pt idx="12">
                  <c:v>27.679262161254883</c:v>
                </c:pt>
                <c:pt idx="13">
                  <c:v>25.427827835083008</c:v>
                </c:pt>
                <c:pt idx="14">
                  <c:v>25.001071929931641</c:v>
                </c:pt>
                <c:pt idx="16">
                  <c:v>28.861825942993164</c:v>
                </c:pt>
                <c:pt idx="18">
                  <c:v>30.019271850585938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684448"/>
        <c:axId val="499042776"/>
      </c:lineChart>
      <c:catAx>
        <c:axId val="645684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9042776"/>
        <c:crosses val="autoZero"/>
        <c:auto val="1"/>
        <c:lblAlgn val="ctr"/>
        <c:lblOffset val="100"/>
        <c:noMultiLvlLbl val="0"/>
      </c:catAx>
      <c:valAx>
        <c:axId val="499042776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568444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942694663167115E-2"/>
          <c:y val="0.90544400699912508"/>
          <c:w val="0.8700958005249344"/>
          <c:h val="7.3335885097696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3350940507436555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gtm!$D$1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gtm!$A$2:$A$20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gtm!$D$2:$D$20</c:f>
              <c:numCache>
                <c:formatCode>0.00</c:formatCode>
                <c:ptCount val="19"/>
                <c:pt idx="0">
                  <c:v>62.970935821533203</c:v>
                </c:pt>
                <c:pt idx="4">
                  <c:v>85.035964965820313</c:v>
                </c:pt>
                <c:pt idx="5">
                  <c:v>87.138099670410156</c:v>
                </c:pt>
                <c:pt idx="10">
                  <c:v>75.56201171875</c:v>
                </c:pt>
                <c:pt idx="12">
                  <c:v>85.217269897460938</c:v>
                </c:pt>
                <c:pt idx="13">
                  <c:v>82.779655456542969</c:v>
                </c:pt>
                <c:pt idx="14">
                  <c:v>83.177474975585937</c:v>
                </c:pt>
                <c:pt idx="16">
                  <c:v>76.253883361816406</c:v>
                </c:pt>
                <c:pt idx="18">
                  <c:v>78.605422973632813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043560"/>
        <c:axId val="499043952"/>
      </c:lineChart>
      <c:lineChart>
        <c:grouping val="standard"/>
        <c:varyColors val="0"/>
        <c:ser>
          <c:idx val="0"/>
          <c:order val="1"/>
          <c:tx>
            <c:strRef>
              <c:f>gtm!$N$1</c:f>
              <c:strCache>
                <c:ptCount val="1"/>
                <c:pt idx="0">
                  <c:v>Gini coefficient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gtm!$A$2:$A$20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gtm!$N$2:$N$20</c:f>
              <c:numCache>
                <c:formatCode>0.00</c:formatCode>
                <c:ptCount val="19"/>
                <c:pt idx="0">
                  <c:v>0.55829132398372217</c:v>
                </c:pt>
                <c:pt idx="4">
                  <c:v>0.54836390951989789</c:v>
                </c:pt>
                <c:pt idx="5">
                  <c:v>0.54588205590394168</c:v>
                </c:pt>
                <c:pt idx="10">
                  <c:v>0.53347278782416474</c:v>
                </c:pt>
                <c:pt idx="12">
                  <c:v>0.52850908059225432</c:v>
                </c:pt>
                <c:pt idx="13">
                  <c:v>0.52602722697629911</c:v>
                </c:pt>
                <c:pt idx="14">
                  <c:v>0.52354537336034379</c:v>
                </c:pt>
                <c:pt idx="16">
                  <c:v>0.50505770768608471</c:v>
                </c:pt>
                <c:pt idx="18">
                  <c:v>0.48657004201183202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044736"/>
        <c:axId val="499044344"/>
      </c:lineChart>
      <c:catAx>
        <c:axId val="499043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9043952"/>
        <c:crosses val="autoZero"/>
        <c:auto val="1"/>
        <c:lblAlgn val="ctr"/>
        <c:lblOffset val="100"/>
        <c:noMultiLvlLbl val="0"/>
      </c:catAx>
      <c:valAx>
        <c:axId val="499043952"/>
        <c:scaling>
          <c:orientation val="minMax"/>
          <c:max val="100"/>
          <c:min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0"/>
              <c:y val="0.355831960572660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9043560"/>
        <c:crosses val="autoZero"/>
        <c:crossBetween val="between"/>
        <c:majorUnit val="10"/>
      </c:valAx>
      <c:valAx>
        <c:axId val="499044344"/>
        <c:scaling>
          <c:orientation val="minMax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Gini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9044736"/>
        <c:crosses val="max"/>
        <c:crossBetween val="between"/>
        <c:majorUnit val="5.000000000000001E-2"/>
      </c:valAx>
      <c:catAx>
        <c:axId val="4990447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90443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gtm!$D$1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gtm!$A$2:$A$20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gtm!$D$2:$D$20</c:f>
              <c:numCache>
                <c:formatCode>0.00</c:formatCode>
                <c:ptCount val="19"/>
                <c:pt idx="0">
                  <c:v>62.970935821533203</c:v>
                </c:pt>
                <c:pt idx="4">
                  <c:v>85.035964965820313</c:v>
                </c:pt>
                <c:pt idx="5">
                  <c:v>87.138099670410156</c:v>
                </c:pt>
                <c:pt idx="10">
                  <c:v>75.56201171875</c:v>
                </c:pt>
                <c:pt idx="12">
                  <c:v>85.217269897460938</c:v>
                </c:pt>
                <c:pt idx="13">
                  <c:v>82.779655456542969</c:v>
                </c:pt>
                <c:pt idx="14">
                  <c:v>83.177474975585937</c:v>
                </c:pt>
                <c:pt idx="16">
                  <c:v>76.253883361816406</c:v>
                </c:pt>
                <c:pt idx="18">
                  <c:v>78.605422973632813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045520"/>
        <c:axId val="499045912"/>
      </c:lineChart>
      <c:lineChart>
        <c:grouping val="standard"/>
        <c:varyColors val="0"/>
        <c:ser>
          <c:idx val="0"/>
          <c:order val="1"/>
          <c:tx>
            <c:strRef>
              <c:f>gtm!$P$1</c:f>
              <c:strCache>
                <c:ptCount val="1"/>
                <c:pt idx="0">
                  <c:v>GE(0)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gtm!$P$2:$P$20</c:f>
              <c:numCache>
                <c:formatCode>0.00</c:formatCode>
                <c:ptCount val="19"/>
                <c:pt idx="0">
                  <c:v>0.57117532466320142</c:v>
                </c:pt>
                <c:pt idx="4">
                  <c:v>0.54864235606371192</c:v>
                </c:pt>
                <c:pt idx="5">
                  <c:v>0.54300911391383977</c:v>
                </c:pt>
                <c:pt idx="10">
                  <c:v>0.51484290316448167</c:v>
                </c:pt>
                <c:pt idx="12">
                  <c:v>0.50357641886473914</c:v>
                </c:pt>
                <c:pt idx="13">
                  <c:v>0.49794317671486787</c:v>
                </c:pt>
                <c:pt idx="14">
                  <c:v>0.49230993456499711</c:v>
                </c:pt>
                <c:pt idx="16">
                  <c:v>0.45455918403343532</c:v>
                </c:pt>
                <c:pt idx="18">
                  <c:v>0.41680843350185992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gtm!$I$1</c:f>
              <c:strCache>
                <c:ptCount val="1"/>
                <c:pt idx="0">
                  <c:v>Atk (1)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gtm!$I$2:$I$20</c:f>
              <c:numCache>
                <c:formatCode>0.00</c:formatCode>
                <c:ptCount val="19"/>
                <c:pt idx="0">
                  <c:v>0.4356580715389704</c:v>
                </c:pt>
                <c:pt idx="4">
                  <c:v>0.4222663652511004</c:v>
                </c:pt>
                <c:pt idx="5">
                  <c:v>0.4189184386791327</c:v>
                </c:pt>
                <c:pt idx="10">
                  <c:v>0.40217880581929766</c:v>
                </c:pt>
                <c:pt idx="12">
                  <c:v>0.39548295267536382</c:v>
                </c:pt>
                <c:pt idx="13">
                  <c:v>0.39213502610339646</c:v>
                </c:pt>
                <c:pt idx="14">
                  <c:v>0.38878709953142981</c:v>
                </c:pt>
                <c:pt idx="16">
                  <c:v>0.36481996058223132</c:v>
                </c:pt>
                <c:pt idx="18">
                  <c:v>0.34085282163302971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gtm!$H$1</c:f>
              <c:strCache>
                <c:ptCount val="1"/>
                <c:pt idx="0">
                  <c:v>Atk (0.5)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gtm!$H$2:$H$20</c:f>
              <c:numCache>
                <c:formatCode>0.00</c:formatCode>
                <c:ptCount val="19"/>
                <c:pt idx="0">
                  <c:v>0.25890624736145273</c:v>
                </c:pt>
                <c:pt idx="4">
                  <c:v>0.25266398924514338</c:v>
                </c:pt>
                <c:pt idx="5">
                  <c:v>0.25110342471606595</c:v>
                </c:pt>
                <c:pt idx="10">
                  <c:v>0.24330060207067827</c:v>
                </c:pt>
                <c:pt idx="12">
                  <c:v>0.24017947301252374</c:v>
                </c:pt>
                <c:pt idx="13">
                  <c:v>0.23861890848344602</c:v>
                </c:pt>
                <c:pt idx="14">
                  <c:v>0.23705834395436859</c:v>
                </c:pt>
                <c:pt idx="16">
                  <c:v>0.21939366710028807</c:v>
                </c:pt>
                <c:pt idx="18">
                  <c:v>0.20172899024620849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gtm!$J$1</c:f>
              <c:strCache>
                <c:ptCount val="1"/>
                <c:pt idx="0">
                  <c:v>Atk (2)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gtm!$J$2:$J$20</c:f>
              <c:numCache>
                <c:formatCode>0.00</c:formatCode>
                <c:ptCount val="19"/>
                <c:pt idx="0">
                  <c:v>0.6887646513127379</c:v>
                </c:pt>
                <c:pt idx="4">
                  <c:v>0.67929771849760867</c:v>
                </c:pt>
                <c:pt idx="5">
                  <c:v>0.67693098529382656</c:v>
                </c:pt>
                <c:pt idx="10">
                  <c:v>0.66509731927491789</c:v>
                </c:pt>
                <c:pt idx="12">
                  <c:v>0.66036385286735477</c:v>
                </c:pt>
                <c:pt idx="13">
                  <c:v>0.65799711966357322</c:v>
                </c:pt>
                <c:pt idx="14">
                  <c:v>0.6556303864597911</c:v>
                </c:pt>
                <c:pt idx="16">
                  <c:v>0.62226188420238771</c:v>
                </c:pt>
                <c:pt idx="18">
                  <c:v>0.58889338194498886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563536"/>
        <c:axId val="499046304"/>
      </c:lineChart>
      <c:catAx>
        <c:axId val="499045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9045912"/>
        <c:crosses val="autoZero"/>
        <c:auto val="1"/>
        <c:lblAlgn val="ctr"/>
        <c:lblOffset val="100"/>
        <c:noMultiLvlLbl val="0"/>
      </c:catAx>
      <c:valAx>
        <c:axId val="499045912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99045520"/>
        <c:crosses val="autoZero"/>
        <c:crossBetween val="between"/>
        <c:majorUnit val="20"/>
      </c:valAx>
      <c:valAx>
        <c:axId val="499046304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131563536"/>
        <c:crosses val="max"/>
        <c:crossBetween val="between"/>
        <c:majorUnit val="0.2"/>
      </c:valAx>
      <c:catAx>
        <c:axId val="131563536"/>
        <c:scaling>
          <c:orientation val="minMax"/>
        </c:scaling>
        <c:delete val="1"/>
        <c:axPos val="b"/>
        <c:majorTickMark val="out"/>
        <c:minorTickMark val="none"/>
        <c:tickLblPos val="nextTo"/>
        <c:crossAx val="499046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952938174394868"/>
          <c:w val="1"/>
          <c:h val="9.2692840478273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gtm!$D$1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gtm!$A$2:$A$20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gtm!$D$2:$D$20</c:f>
              <c:numCache>
                <c:formatCode>0.00</c:formatCode>
                <c:ptCount val="19"/>
                <c:pt idx="0">
                  <c:v>62.970935821533203</c:v>
                </c:pt>
                <c:pt idx="4">
                  <c:v>85.035964965820313</c:v>
                </c:pt>
                <c:pt idx="5">
                  <c:v>87.138099670410156</c:v>
                </c:pt>
                <c:pt idx="10">
                  <c:v>75.56201171875</c:v>
                </c:pt>
                <c:pt idx="12">
                  <c:v>85.217269897460938</c:v>
                </c:pt>
                <c:pt idx="13">
                  <c:v>82.779655456542969</c:v>
                </c:pt>
                <c:pt idx="14">
                  <c:v>83.177474975585937</c:v>
                </c:pt>
                <c:pt idx="16">
                  <c:v>76.253883361816406</c:v>
                </c:pt>
                <c:pt idx="18">
                  <c:v>78.605422973632813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gtm!$M$1</c:f>
              <c:strCache>
                <c:ptCount val="1"/>
                <c:pt idx="0">
                  <c:v>Absolute Gini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gtm!$A$2:$A$20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gtm!$M$2:$M$20</c:f>
              <c:numCache>
                <c:formatCode>0.00</c:formatCode>
                <c:ptCount val="19"/>
                <c:pt idx="0">
                  <c:v>134.43354231914236</c:v>
                </c:pt>
                <c:pt idx="4">
                  <c:v>122.16782626849847</c:v>
                </c:pt>
                <c:pt idx="5">
                  <c:v>119.10139725583758</c:v>
                </c:pt>
                <c:pt idx="10">
                  <c:v>103.76925219253462</c:v>
                </c:pt>
                <c:pt idx="12">
                  <c:v>97.636394167212529</c:v>
                </c:pt>
                <c:pt idx="13">
                  <c:v>94.569965154551937</c:v>
                </c:pt>
                <c:pt idx="14">
                  <c:v>91.503536141891757</c:v>
                </c:pt>
                <c:pt idx="16">
                  <c:v>88.91608261707006</c:v>
                </c:pt>
                <c:pt idx="18">
                  <c:v>86.32862909224886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564320"/>
        <c:axId val="131564712"/>
      </c:lineChart>
      <c:catAx>
        <c:axId val="13156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131564712"/>
        <c:crosses val="autoZero"/>
        <c:auto val="1"/>
        <c:lblAlgn val="ctr"/>
        <c:lblOffset val="100"/>
        <c:noMultiLvlLbl val="0"/>
      </c:catAx>
      <c:valAx>
        <c:axId val="131564712"/>
        <c:scaling>
          <c:orientation val="minMax"/>
          <c:min val="6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13156432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0"/>
          <c:order val="0"/>
          <c:tx>
            <c:strRef>
              <c:f>hnd!$B$1</c:f>
              <c:strCache>
                <c:ptCount val="1"/>
                <c:pt idx="0">
                  <c:v>% Unfair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cat>
            <c:numRef>
              <c:f>hnd!$A$2:$A$20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hnd!$B$2:$B$20</c:f>
              <c:numCache>
                <c:formatCode>0.00</c:formatCode>
                <c:ptCount val="19"/>
                <c:pt idx="0">
                  <c:v>59.958721160888672</c:v>
                </c:pt>
                <c:pt idx="4">
                  <c:v>63.453304290771484</c:v>
                </c:pt>
                <c:pt idx="5">
                  <c:v>62.497020721435547</c:v>
                </c:pt>
                <c:pt idx="10">
                  <c:v>50.442062377929687</c:v>
                </c:pt>
                <c:pt idx="12">
                  <c:v>50.151588439941406</c:v>
                </c:pt>
                <c:pt idx="13">
                  <c:v>43.303958892822266</c:v>
                </c:pt>
                <c:pt idx="14">
                  <c:v>51.226776123046875</c:v>
                </c:pt>
                <c:pt idx="16">
                  <c:v>50.264286041259766</c:v>
                </c:pt>
                <c:pt idx="18">
                  <c:v>49.472824096679688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hnd!$D$1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hnd!$A$2:$A$20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hnd!$D$2:$D$20</c:f>
              <c:numCache>
                <c:formatCode>0.00</c:formatCode>
                <c:ptCount val="19"/>
                <c:pt idx="0">
                  <c:v>75.644996643066406</c:v>
                </c:pt>
                <c:pt idx="4">
                  <c:v>91.7239990234375</c:v>
                </c:pt>
                <c:pt idx="5">
                  <c:v>81.613975524902344</c:v>
                </c:pt>
                <c:pt idx="10">
                  <c:v>78.8526611328125</c:v>
                </c:pt>
                <c:pt idx="12">
                  <c:v>79.390815734863281</c:v>
                </c:pt>
                <c:pt idx="13">
                  <c:v>78.822349548339844</c:v>
                </c:pt>
                <c:pt idx="14">
                  <c:v>87.641960144042969</c:v>
                </c:pt>
                <c:pt idx="16">
                  <c:v>87.051811218261719</c:v>
                </c:pt>
                <c:pt idx="18">
                  <c:v>79.836334228515625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hnd!$F$1</c:f>
              <c:strCache>
                <c:ptCount val="1"/>
                <c:pt idx="0">
                  <c:v>% Very Unfair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hnd!$A$2:$A$20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hnd!$F$2:$F$20</c:f>
              <c:numCache>
                <c:formatCode>0.00</c:formatCode>
                <c:ptCount val="19"/>
                <c:pt idx="0">
                  <c:v>15.686275482177734</c:v>
                </c:pt>
                <c:pt idx="4">
                  <c:v>28.27069091796875</c:v>
                </c:pt>
                <c:pt idx="5">
                  <c:v>19.116954803466797</c:v>
                </c:pt>
                <c:pt idx="10">
                  <c:v>28.410593032836914</c:v>
                </c:pt>
                <c:pt idx="12">
                  <c:v>29.239231109619141</c:v>
                </c:pt>
                <c:pt idx="13">
                  <c:v>35.518394470214844</c:v>
                </c:pt>
                <c:pt idx="14">
                  <c:v>36.415187835693359</c:v>
                </c:pt>
                <c:pt idx="16">
                  <c:v>36.787528991699219</c:v>
                </c:pt>
                <c:pt idx="18">
                  <c:v>30.36351203918457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565496"/>
        <c:axId val="131565888"/>
      </c:lineChart>
      <c:catAx>
        <c:axId val="131565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131565888"/>
        <c:crosses val="autoZero"/>
        <c:auto val="1"/>
        <c:lblAlgn val="ctr"/>
        <c:lblOffset val="100"/>
        <c:noMultiLvlLbl val="0"/>
      </c:catAx>
      <c:valAx>
        <c:axId val="131565888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13156549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942694663167115E-2"/>
          <c:y val="0.90544400699912508"/>
          <c:w val="0.8700958005249344"/>
          <c:h val="7.3335885097696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3350940507436555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hnd!$D$1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hnd!$A$2:$A$20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hnd!$D$2:$D$20</c:f>
              <c:numCache>
                <c:formatCode>0.00</c:formatCode>
                <c:ptCount val="19"/>
                <c:pt idx="0">
                  <c:v>75.644996643066406</c:v>
                </c:pt>
                <c:pt idx="4">
                  <c:v>91.7239990234375</c:v>
                </c:pt>
                <c:pt idx="5">
                  <c:v>81.613975524902344</c:v>
                </c:pt>
                <c:pt idx="10">
                  <c:v>78.8526611328125</c:v>
                </c:pt>
                <c:pt idx="12">
                  <c:v>79.390815734863281</c:v>
                </c:pt>
                <c:pt idx="13">
                  <c:v>78.822349548339844</c:v>
                </c:pt>
                <c:pt idx="14">
                  <c:v>87.641960144042969</c:v>
                </c:pt>
                <c:pt idx="16">
                  <c:v>87.051811218261719</c:v>
                </c:pt>
                <c:pt idx="18">
                  <c:v>79.836334228515625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566672"/>
        <c:axId val="131567064"/>
      </c:lineChart>
      <c:lineChart>
        <c:grouping val="standard"/>
        <c:varyColors val="0"/>
        <c:ser>
          <c:idx val="0"/>
          <c:order val="1"/>
          <c:tx>
            <c:strRef>
              <c:f>hnd!$N$1</c:f>
              <c:strCache>
                <c:ptCount val="1"/>
                <c:pt idx="0">
                  <c:v>Gini coefficient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hnd!$A$2:$A$20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hnd!$N$2:$N$20</c:f>
              <c:numCache>
                <c:formatCode>0.00</c:formatCode>
                <c:ptCount val="19"/>
                <c:pt idx="0">
                  <c:v>0.52733999945523791</c:v>
                </c:pt>
                <c:pt idx="4">
                  <c:v>0.54079770235175129</c:v>
                </c:pt>
                <c:pt idx="5">
                  <c:v>0.58779692770849279</c:v>
                </c:pt>
                <c:pt idx="10">
                  <c:v>0.56160790768639413</c:v>
                </c:pt>
                <c:pt idx="12">
                  <c:v>0.51563250870601107</c:v>
                </c:pt>
                <c:pt idx="13">
                  <c:v>0.53391564896492083</c:v>
                </c:pt>
                <c:pt idx="14">
                  <c:v>0.57398717673074107</c:v>
                </c:pt>
                <c:pt idx="16">
                  <c:v>0.53671625443949811</c:v>
                </c:pt>
                <c:pt idx="18">
                  <c:v>0.50636896725997549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141968"/>
        <c:axId val="645141576"/>
      </c:lineChart>
      <c:catAx>
        <c:axId val="131566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131567064"/>
        <c:crosses val="autoZero"/>
        <c:auto val="1"/>
        <c:lblAlgn val="ctr"/>
        <c:lblOffset val="100"/>
        <c:noMultiLvlLbl val="0"/>
      </c:catAx>
      <c:valAx>
        <c:axId val="131567064"/>
        <c:scaling>
          <c:orientation val="minMax"/>
          <c:max val="100"/>
          <c:min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0"/>
              <c:y val="0.355831960572660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131566672"/>
        <c:crosses val="autoZero"/>
        <c:crossBetween val="between"/>
        <c:majorUnit val="10"/>
      </c:valAx>
      <c:valAx>
        <c:axId val="645141576"/>
        <c:scaling>
          <c:orientation val="minMax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Gini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5141968"/>
        <c:crosses val="max"/>
        <c:crossBetween val="between"/>
        <c:majorUnit val="5.000000000000001E-2"/>
      </c:valAx>
      <c:catAx>
        <c:axId val="6451419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5141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hnd!$D$1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hnd!$A$2:$A$20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hnd!$D$2:$D$20</c:f>
              <c:numCache>
                <c:formatCode>0.00</c:formatCode>
                <c:ptCount val="19"/>
                <c:pt idx="0">
                  <c:v>75.644996643066406</c:v>
                </c:pt>
                <c:pt idx="4">
                  <c:v>91.7239990234375</c:v>
                </c:pt>
                <c:pt idx="5">
                  <c:v>81.613975524902344</c:v>
                </c:pt>
                <c:pt idx="10">
                  <c:v>78.8526611328125</c:v>
                </c:pt>
                <c:pt idx="12">
                  <c:v>79.390815734863281</c:v>
                </c:pt>
                <c:pt idx="13">
                  <c:v>78.822349548339844</c:v>
                </c:pt>
                <c:pt idx="14">
                  <c:v>87.641960144042969</c:v>
                </c:pt>
                <c:pt idx="16">
                  <c:v>87.051811218261719</c:v>
                </c:pt>
                <c:pt idx="18">
                  <c:v>79.836334228515625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142752"/>
        <c:axId val="645143144"/>
      </c:lineChart>
      <c:lineChart>
        <c:grouping val="standard"/>
        <c:varyColors val="0"/>
        <c:ser>
          <c:idx val="0"/>
          <c:order val="1"/>
          <c:tx>
            <c:strRef>
              <c:f>hnd!$P$1</c:f>
              <c:strCache>
                <c:ptCount val="1"/>
                <c:pt idx="0">
                  <c:v>GE(0)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hnd!$P$2:$P$20</c:f>
              <c:numCache>
                <c:formatCode>0.00</c:formatCode>
                <c:ptCount val="19"/>
                <c:pt idx="0">
                  <c:v>0.50350921130842285</c:v>
                </c:pt>
                <c:pt idx="4">
                  <c:v>0.56341540529172462</c:v>
                </c:pt>
                <c:pt idx="5">
                  <c:v>0.67494796765796339</c:v>
                </c:pt>
                <c:pt idx="10">
                  <c:v>0.5887363595408619</c:v>
                </c:pt>
                <c:pt idx="12">
                  <c:v>0.49122062633689267</c:v>
                </c:pt>
                <c:pt idx="13">
                  <c:v>0.52618143858114375</c:v>
                </c:pt>
                <c:pt idx="14">
                  <c:v>0.63073933550543093</c:v>
                </c:pt>
                <c:pt idx="16">
                  <c:v>0.53584867826413474</c:v>
                </c:pt>
                <c:pt idx="18">
                  <c:v>0.46626201479924467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hnd!$I$1</c:f>
              <c:strCache>
                <c:ptCount val="1"/>
                <c:pt idx="0">
                  <c:v>Atk (1)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hnd!$I$2:$I$20</c:f>
              <c:numCache>
                <c:formatCode>0.00</c:formatCode>
                <c:ptCount val="19"/>
                <c:pt idx="0">
                  <c:v>0.39559405432166128</c:v>
                </c:pt>
                <c:pt idx="4">
                  <c:v>0.43073851882525233</c:v>
                </c:pt>
                <c:pt idx="5">
                  <c:v>0.49081708610207858</c:v>
                </c:pt>
                <c:pt idx="10">
                  <c:v>0.44497180212308468</c:v>
                </c:pt>
                <c:pt idx="12">
                  <c:v>0.38812093752790711</c:v>
                </c:pt>
                <c:pt idx="13">
                  <c:v>0.40914310928041858</c:v>
                </c:pt>
                <c:pt idx="14">
                  <c:v>0.46780181749552868</c:v>
                </c:pt>
                <c:pt idx="16">
                  <c:v>0.41482754379583892</c:v>
                </c:pt>
                <c:pt idx="18">
                  <c:v>0.37265711060983242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hnd!$H$1</c:f>
              <c:strCache>
                <c:ptCount val="1"/>
                <c:pt idx="0">
                  <c:v>Atk (0.5)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hnd!$H$2:$H$20</c:f>
              <c:numCache>
                <c:formatCode>0.00</c:formatCode>
                <c:ptCount val="19"/>
                <c:pt idx="0">
                  <c:v>0.23376317775951139</c:v>
                </c:pt>
                <c:pt idx="4">
                  <c:v>0.2431853388233004</c:v>
                </c:pt>
                <c:pt idx="5">
                  <c:v>0.27992107266428679</c:v>
                </c:pt>
                <c:pt idx="10">
                  <c:v>0.26185098766436088</c:v>
                </c:pt>
                <c:pt idx="12">
                  <c:v>0.22065215931737331</c:v>
                </c:pt>
                <c:pt idx="13">
                  <c:v>0.23594789690578399</c:v>
                </c:pt>
                <c:pt idx="14">
                  <c:v>0.28200915815898048</c:v>
                </c:pt>
                <c:pt idx="16">
                  <c:v>0.24287963647084851</c:v>
                </c:pt>
                <c:pt idx="18">
                  <c:v>0.20881719376403751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hnd!$J$1</c:f>
              <c:strCache>
                <c:ptCount val="1"/>
                <c:pt idx="0">
                  <c:v>Atk (2)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hnd!$J$2:$J$20</c:f>
              <c:numCache>
                <c:formatCode>0.00</c:formatCode>
                <c:ptCount val="19"/>
                <c:pt idx="0">
                  <c:v>0.6178978088266972</c:v>
                </c:pt>
                <c:pt idx="4">
                  <c:v>0.72883405016565583</c:v>
                </c:pt>
                <c:pt idx="5">
                  <c:v>0.88496158407377545</c:v>
                </c:pt>
                <c:pt idx="10">
                  <c:v>0.71261024714542154</c:v>
                </c:pt>
                <c:pt idx="12">
                  <c:v>0.64186529271113746</c:v>
                </c:pt>
                <c:pt idx="13">
                  <c:v>0.65106291080920342</c:v>
                </c:pt>
                <c:pt idx="14">
                  <c:v>0.75726644818291056</c:v>
                </c:pt>
                <c:pt idx="16">
                  <c:v>0.68085518556591085</c:v>
                </c:pt>
                <c:pt idx="18">
                  <c:v>0.63870339317552394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143928"/>
        <c:axId val="645143536"/>
      </c:lineChart>
      <c:catAx>
        <c:axId val="64514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5143144"/>
        <c:crosses val="autoZero"/>
        <c:auto val="1"/>
        <c:lblAlgn val="ctr"/>
        <c:lblOffset val="100"/>
        <c:noMultiLvlLbl val="0"/>
      </c:catAx>
      <c:valAx>
        <c:axId val="645143144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5142752"/>
        <c:crosses val="autoZero"/>
        <c:crossBetween val="between"/>
        <c:majorUnit val="20"/>
      </c:valAx>
      <c:valAx>
        <c:axId val="645143536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5143928"/>
        <c:crosses val="max"/>
        <c:crossBetween val="between"/>
        <c:majorUnit val="0.2"/>
      </c:valAx>
      <c:catAx>
        <c:axId val="645143928"/>
        <c:scaling>
          <c:orientation val="minMax"/>
        </c:scaling>
        <c:delete val="1"/>
        <c:axPos val="b"/>
        <c:majorTickMark val="out"/>
        <c:minorTickMark val="none"/>
        <c:tickLblPos val="nextTo"/>
        <c:crossAx val="645143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952938174394868"/>
          <c:w val="1"/>
          <c:h val="9.2692840478273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hnd!$D$1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hnd!$A$2:$A$20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hnd!$D$2:$D$20</c:f>
              <c:numCache>
                <c:formatCode>0.00</c:formatCode>
                <c:ptCount val="19"/>
                <c:pt idx="0">
                  <c:v>75.644996643066406</c:v>
                </c:pt>
                <c:pt idx="4">
                  <c:v>91.7239990234375</c:v>
                </c:pt>
                <c:pt idx="5">
                  <c:v>81.613975524902344</c:v>
                </c:pt>
                <c:pt idx="10">
                  <c:v>78.8526611328125</c:v>
                </c:pt>
                <c:pt idx="12">
                  <c:v>79.390815734863281</c:v>
                </c:pt>
                <c:pt idx="13">
                  <c:v>78.822349548339844</c:v>
                </c:pt>
                <c:pt idx="14">
                  <c:v>87.641960144042969</c:v>
                </c:pt>
                <c:pt idx="16">
                  <c:v>87.051811218261719</c:v>
                </c:pt>
                <c:pt idx="18">
                  <c:v>79.836334228515625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hnd!$M$1</c:f>
              <c:strCache>
                <c:ptCount val="1"/>
                <c:pt idx="0">
                  <c:v>Absolute Gini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hnd!$A$2:$A$20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hnd!$M$2:$M$20</c:f>
              <c:numCache>
                <c:formatCode>0.00</c:formatCode>
                <c:ptCount val="19"/>
                <c:pt idx="0">
                  <c:v>79.979733938691538</c:v>
                </c:pt>
                <c:pt idx="4">
                  <c:v>102.38912267386202</c:v>
                </c:pt>
                <c:pt idx="5">
                  <c:v>91.603285928990076</c:v>
                </c:pt>
                <c:pt idx="10">
                  <c:v>114.28531698802631</c:v>
                </c:pt>
                <c:pt idx="12">
                  <c:v>107.2922649124271</c:v>
                </c:pt>
                <c:pt idx="13">
                  <c:v>109.84196259631418</c:v>
                </c:pt>
                <c:pt idx="14">
                  <c:v>112.39980999767513</c:v>
                </c:pt>
                <c:pt idx="16">
                  <c:v>92.714625155890531</c:v>
                </c:pt>
                <c:pt idx="18">
                  <c:v>89.493874884259654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144712"/>
        <c:axId val="645145104"/>
      </c:lineChart>
      <c:catAx>
        <c:axId val="645144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5145104"/>
        <c:crosses val="autoZero"/>
        <c:auto val="1"/>
        <c:lblAlgn val="ctr"/>
        <c:lblOffset val="100"/>
        <c:noMultiLvlLbl val="0"/>
      </c:catAx>
      <c:valAx>
        <c:axId val="645145104"/>
        <c:scaling>
          <c:orientation val="minMax"/>
          <c:min val="6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514471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0"/>
          <c:order val="0"/>
          <c:tx>
            <c:strRef>
              <c:f>mex!$B$1</c:f>
              <c:strCache>
                <c:ptCount val="1"/>
                <c:pt idx="0">
                  <c:v>% Unfair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cat>
            <c:numRef>
              <c:f>mex!$A$2:$A$20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mex!$B$2:$B$20</c:f>
              <c:numCache>
                <c:formatCode>0.00</c:formatCode>
                <c:ptCount val="19"/>
                <c:pt idx="0">
                  <c:v>39.182914733886719</c:v>
                </c:pt>
                <c:pt idx="4">
                  <c:v>52.9310302734375</c:v>
                </c:pt>
                <c:pt idx="5">
                  <c:v>44.352191925048828</c:v>
                </c:pt>
                <c:pt idx="10">
                  <c:v>50.514579772949219</c:v>
                </c:pt>
                <c:pt idx="12">
                  <c:v>52.233676910400391</c:v>
                </c:pt>
                <c:pt idx="13">
                  <c:v>53.859203338623047</c:v>
                </c:pt>
                <c:pt idx="14">
                  <c:v>61.373390197753906</c:v>
                </c:pt>
                <c:pt idx="16">
                  <c:v>45.518455505371094</c:v>
                </c:pt>
                <c:pt idx="18">
                  <c:v>47.781570434570313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mex!$D$1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mex!$A$2:$A$20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mex!$D$2:$D$20</c:f>
              <c:numCache>
                <c:formatCode>0.00</c:formatCode>
                <c:ptCount val="19"/>
                <c:pt idx="0">
                  <c:v>71.216339111328125</c:v>
                </c:pt>
                <c:pt idx="4">
                  <c:v>82.6256103515625</c:v>
                </c:pt>
                <c:pt idx="5">
                  <c:v>92.273696899414063</c:v>
                </c:pt>
                <c:pt idx="10">
                  <c:v>74.957122802734375</c:v>
                </c:pt>
                <c:pt idx="12">
                  <c:v>84.3642578125</c:v>
                </c:pt>
                <c:pt idx="13">
                  <c:v>84.563186645507813</c:v>
                </c:pt>
                <c:pt idx="14">
                  <c:v>84.721031188964844</c:v>
                </c:pt>
                <c:pt idx="16">
                  <c:v>79.964851379394531</c:v>
                </c:pt>
                <c:pt idx="18">
                  <c:v>82.423210144042969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mex!$F$1</c:f>
              <c:strCache>
                <c:ptCount val="1"/>
                <c:pt idx="0">
                  <c:v>% Very Unfair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mex!$A$2:$A$20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mex!$F$2:$F$20</c:f>
              <c:numCache>
                <c:formatCode>0.00</c:formatCode>
                <c:ptCount val="19"/>
                <c:pt idx="0">
                  <c:v>32.033424377441406</c:v>
                </c:pt>
                <c:pt idx="4">
                  <c:v>29.694578170776367</c:v>
                </c:pt>
                <c:pt idx="5">
                  <c:v>47.9215087890625</c:v>
                </c:pt>
                <c:pt idx="10">
                  <c:v>24.442539215087891</c:v>
                </c:pt>
                <c:pt idx="12">
                  <c:v>32.130584716796875</c:v>
                </c:pt>
                <c:pt idx="13">
                  <c:v>30.703985214233398</c:v>
                </c:pt>
                <c:pt idx="14">
                  <c:v>23.347640991210937</c:v>
                </c:pt>
                <c:pt idx="16">
                  <c:v>34.446395874023438</c:v>
                </c:pt>
                <c:pt idx="18">
                  <c:v>34.641639709472656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145888"/>
        <c:axId val="645146280"/>
      </c:lineChart>
      <c:catAx>
        <c:axId val="645145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5146280"/>
        <c:crosses val="autoZero"/>
        <c:auto val="1"/>
        <c:lblAlgn val="ctr"/>
        <c:lblOffset val="100"/>
        <c:noMultiLvlLbl val="0"/>
      </c:catAx>
      <c:valAx>
        <c:axId val="645146280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514588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942694663167115E-2"/>
          <c:y val="0.90544400699912508"/>
          <c:w val="0.83084413190489559"/>
          <c:h val="7.57015588105250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3350940507436555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mex!$D$1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mex!$A$2:$A$20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mex!$D$2:$D$20</c:f>
              <c:numCache>
                <c:formatCode>0.00</c:formatCode>
                <c:ptCount val="19"/>
                <c:pt idx="0">
                  <c:v>71.216339111328125</c:v>
                </c:pt>
                <c:pt idx="4">
                  <c:v>82.6256103515625</c:v>
                </c:pt>
                <c:pt idx="5">
                  <c:v>92.273696899414063</c:v>
                </c:pt>
                <c:pt idx="10">
                  <c:v>74.957122802734375</c:v>
                </c:pt>
                <c:pt idx="12">
                  <c:v>84.3642578125</c:v>
                </c:pt>
                <c:pt idx="13">
                  <c:v>84.563186645507813</c:v>
                </c:pt>
                <c:pt idx="14">
                  <c:v>84.721031188964844</c:v>
                </c:pt>
                <c:pt idx="16">
                  <c:v>79.964851379394531</c:v>
                </c:pt>
                <c:pt idx="18">
                  <c:v>82.423210144042969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147064"/>
        <c:axId val="645147456"/>
      </c:lineChart>
      <c:lineChart>
        <c:grouping val="standard"/>
        <c:varyColors val="0"/>
        <c:ser>
          <c:idx val="0"/>
          <c:order val="1"/>
          <c:tx>
            <c:strRef>
              <c:f>mex!$N$1</c:f>
              <c:strCache>
                <c:ptCount val="1"/>
                <c:pt idx="0">
                  <c:v>Gini coefficient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mex!$A$2:$A$20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mex!$N$2:$N$20</c:f>
              <c:numCache>
                <c:formatCode>0.00</c:formatCode>
                <c:ptCount val="19"/>
                <c:pt idx="0">
                  <c:v>0.53401189668356597</c:v>
                </c:pt>
                <c:pt idx="4">
                  <c:v>0.53942997576802032</c:v>
                </c:pt>
                <c:pt idx="5">
                  <c:v>0.51246680674182821</c:v>
                </c:pt>
                <c:pt idx="10">
                  <c:v>0.49783226110721052</c:v>
                </c:pt>
                <c:pt idx="12">
                  <c:v>0.50525709745015845</c:v>
                </c:pt>
                <c:pt idx="13">
                  <c:v>0.47549319192110262</c:v>
                </c:pt>
                <c:pt idx="14">
                  <c:v>0.49355237835165738</c:v>
                </c:pt>
                <c:pt idx="16">
                  <c:v>0.49247812603522823</c:v>
                </c:pt>
                <c:pt idx="18">
                  <c:v>0.49140387371879901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148240"/>
        <c:axId val="645147848"/>
      </c:lineChart>
      <c:catAx>
        <c:axId val="645147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5147456"/>
        <c:crosses val="autoZero"/>
        <c:auto val="1"/>
        <c:lblAlgn val="ctr"/>
        <c:lblOffset val="100"/>
        <c:noMultiLvlLbl val="0"/>
      </c:catAx>
      <c:valAx>
        <c:axId val="645147456"/>
        <c:scaling>
          <c:orientation val="minMax"/>
          <c:max val="100"/>
          <c:min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0"/>
              <c:y val="0.355831960572660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5147064"/>
        <c:crosses val="autoZero"/>
        <c:crossBetween val="between"/>
        <c:majorUnit val="10"/>
      </c:valAx>
      <c:valAx>
        <c:axId val="645147848"/>
        <c:scaling>
          <c:orientation val="minMax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Gini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5148240"/>
        <c:crosses val="max"/>
        <c:crossBetween val="between"/>
        <c:majorUnit val="5.000000000000001E-2"/>
      </c:valAx>
      <c:catAx>
        <c:axId val="645148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5147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mex!$D$1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mex!$A$2:$A$20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mex!$D$2:$D$20</c:f>
              <c:numCache>
                <c:formatCode>0.00</c:formatCode>
                <c:ptCount val="19"/>
                <c:pt idx="0">
                  <c:v>71.216339111328125</c:v>
                </c:pt>
                <c:pt idx="4">
                  <c:v>82.6256103515625</c:v>
                </c:pt>
                <c:pt idx="5">
                  <c:v>92.273696899414063</c:v>
                </c:pt>
                <c:pt idx="10">
                  <c:v>74.957122802734375</c:v>
                </c:pt>
                <c:pt idx="12">
                  <c:v>84.3642578125</c:v>
                </c:pt>
                <c:pt idx="13">
                  <c:v>84.563186645507813</c:v>
                </c:pt>
                <c:pt idx="14">
                  <c:v>84.721031188964844</c:v>
                </c:pt>
                <c:pt idx="16">
                  <c:v>79.964851379394531</c:v>
                </c:pt>
                <c:pt idx="18">
                  <c:v>82.423210144042969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149024"/>
        <c:axId val="714480920"/>
      </c:lineChart>
      <c:lineChart>
        <c:grouping val="standard"/>
        <c:varyColors val="0"/>
        <c:ser>
          <c:idx val="0"/>
          <c:order val="1"/>
          <c:tx>
            <c:strRef>
              <c:f>mex!$P$1</c:f>
              <c:strCache>
                <c:ptCount val="1"/>
                <c:pt idx="0">
                  <c:v>GE(0)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mex!$P$2:$P$20</c:f>
              <c:numCache>
                <c:formatCode>0.00</c:formatCode>
                <c:ptCount val="19"/>
                <c:pt idx="0">
                  <c:v>0.52051705916265001</c:v>
                </c:pt>
                <c:pt idx="4">
                  <c:v>0.52573215595354095</c:v>
                </c:pt>
                <c:pt idx="5">
                  <c:v>0.46791054321472808</c:v>
                </c:pt>
                <c:pt idx="10">
                  <c:v>0.43558444536237062</c:v>
                </c:pt>
                <c:pt idx="12">
                  <c:v>0.45512607221688411</c:v>
                </c:pt>
                <c:pt idx="13">
                  <c:v>0.39604587197748581</c:v>
                </c:pt>
                <c:pt idx="14">
                  <c:v>0.42513134446689832</c:v>
                </c:pt>
                <c:pt idx="16">
                  <c:v>0.42229149954298295</c:v>
                </c:pt>
                <c:pt idx="18">
                  <c:v>0.4194516546190673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mex!$I$1</c:f>
              <c:strCache>
                <c:ptCount val="1"/>
                <c:pt idx="0">
                  <c:v>Atk (1)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mex!$I$2:$I$20</c:f>
              <c:numCache>
                <c:formatCode>0.00</c:formatCode>
                <c:ptCount val="19"/>
                <c:pt idx="0">
                  <c:v>0.40578677486760267</c:v>
                </c:pt>
                <c:pt idx="4">
                  <c:v>0.40887758790143292</c:v>
                </c:pt>
                <c:pt idx="5">
                  <c:v>0.37369045120967748</c:v>
                </c:pt>
                <c:pt idx="10">
                  <c:v>0.35311351323127171</c:v>
                </c:pt>
                <c:pt idx="12">
                  <c:v>0.36563201327175737</c:v>
                </c:pt>
                <c:pt idx="13">
                  <c:v>0.32702417550238161</c:v>
                </c:pt>
                <c:pt idx="14">
                  <c:v>0.34631607827512861</c:v>
                </c:pt>
                <c:pt idx="16">
                  <c:v>0.34445443553597577</c:v>
                </c:pt>
                <c:pt idx="18">
                  <c:v>0.34259279279682292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mex!$H$1</c:f>
              <c:strCache>
                <c:ptCount val="1"/>
                <c:pt idx="0">
                  <c:v>Atk (0.5)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mex!$H$2:$H$20</c:f>
              <c:numCache>
                <c:formatCode>0.00</c:formatCode>
                <c:ptCount val="19"/>
                <c:pt idx="0">
                  <c:v>0.23772215290477761</c:v>
                </c:pt>
                <c:pt idx="4">
                  <c:v>0.24110359569700371</c:v>
                </c:pt>
                <c:pt idx="5">
                  <c:v>0.2160273012781401</c:v>
                </c:pt>
                <c:pt idx="10">
                  <c:v>0.2053480639461796</c:v>
                </c:pt>
                <c:pt idx="12">
                  <c:v>0.21433269871069771</c:v>
                </c:pt>
                <c:pt idx="13">
                  <c:v>0.18605143180630981</c:v>
                </c:pt>
                <c:pt idx="14">
                  <c:v>0.201422064466066</c:v>
                </c:pt>
                <c:pt idx="16">
                  <c:v>0.20237599929376071</c:v>
                </c:pt>
                <c:pt idx="18">
                  <c:v>0.20332993412145531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mex!$J$1</c:f>
              <c:strCache>
                <c:ptCount val="1"/>
                <c:pt idx="0">
                  <c:v>Atk (2)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mex!$J$2:$J$20</c:f>
              <c:numCache>
                <c:formatCode>0.00</c:formatCode>
                <c:ptCount val="19"/>
                <c:pt idx="0">
                  <c:v>0.65594853160635336</c:v>
                </c:pt>
                <c:pt idx="4">
                  <c:v>0.64942502279984082</c:v>
                </c:pt>
                <c:pt idx="5">
                  <c:v>0.61626377541301514</c:v>
                </c:pt>
                <c:pt idx="10">
                  <c:v>0.57698251297883829</c:v>
                </c:pt>
                <c:pt idx="12">
                  <c:v>0.59675334389351742</c:v>
                </c:pt>
                <c:pt idx="13">
                  <c:v>0.56096533618785682</c:v>
                </c:pt>
                <c:pt idx="14">
                  <c:v>0.56028395520200491</c:v>
                </c:pt>
                <c:pt idx="16">
                  <c:v>0.55414206601775629</c:v>
                </c:pt>
                <c:pt idx="18">
                  <c:v>0.54800017683350777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4481704"/>
        <c:axId val="714481312"/>
      </c:lineChart>
      <c:catAx>
        <c:axId val="64514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4480920"/>
        <c:crosses val="autoZero"/>
        <c:auto val="1"/>
        <c:lblAlgn val="ctr"/>
        <c:lblOffset val="100"/>
        <c:noMultiLvlLbl val="0"/>
      </c:catAx>
      <c:valAx>
        <c:axId val="714480920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45149024"/>
        <c:crosses val="autoZero"/>
        <c:crossBetween val="between"/>
        <c:majorUnit val="20"/>
      </c:valAx>
      <c:valAx>
        <c:axId val="714481312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4481704"/>
        <c:crosses val="max"/>
        <c:crossBetween val="between"/>
        <c:majorUnit val="0.2"/>
      </c:valAx>
      <c:catAx>
        <c:axId val="714481704"/>
        <c:scaling>
          <c:orientation val="minMax"/>
        </c:scaling>
        <c:delete val="1"/>
        <c:axPos val="b"/>
        <c:majorTickMark val="out"/>
        <c:minorTickMark val="none"/>
        <c:tickLblPos val="nextTo"/>
        <c:crossAx val="714481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952938174394868"/>
          <c:w val="1"/>
          <c:h val="9.2692840478273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mex!$D$1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mex!$A$2:$A$20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mex!$D$2:$D$20</c:f>
              <c:numCache>
                <c:formatCode>0.00</c:formatCode>
                <c:ptCount val="19"/>
                <c:pt idx="0">
                  <c:v>71.216339111328125</c:v>
                </c:pt>
                <c:pt idx="4">
                  <c:v>82.6256103515625</c:v>
                </c:pt>
                <c:pt idx="5">
                  <c:v>92.273696899414063</c:v>
                </c:pt>
                <c:pt idx="10">
                  <c:v>74.957122802734375</c:v>
                </c:pt>
                <c:pt idx="12">
                  <c:v>84.3642578125</c:v>
                </c:pt>
                <c:pt idx="13">
                  <c:v>84.563186645507813</c:v>
                </c:pt>
                <c:pt idx="14">
                  <c:v>84.721031188964844</c:v>
                </c:pt>
                <c:pt idx="16">
                  <c:v>79.964851379394531</c:v>
                </c:pt>
                <c:pt idx="18">
                  <c:v>82.423210144042969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mex!$M$1</c:f>
              <c:strCache>
                <c:ptCount val="1"/>
                <c:pt idx="0">
                  <c:v>Absolute Gini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mex!$A$2:$A$20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mex!$M$2:$M$20</c:f>
              <c:numCache>
                <c:formatCode>0.00</c:formatCode>
                <c:ptCount val="19"/>
                <c:pt idx="0">
                  <c:v>85.741529661857768</c:v>
                </c:pt>
                <c:pt idx="4">
                  <c:v>104.03165582420306</c:v>
                </c:pt>
                <c:pt idx="5">
                  <c:v>98.05679648667585</c:v>
                </c:pt>
                <c:pt idx="10">
                  <c:v>107.76916433870969</c:v>
                </c:pt>
                <c:pt idx="12">
                  <c:v>107.37224338463722</c:v>
                </c:pt>
                <c:pt idx="13">
                  <c:v>92.990557813825859</c:v>
                </c:pt>
                <c:pt idx="14">
                  <c:v>104.50823337370008</c:v>
                </c:pt>
                <c:pt idx="16">
                  <c:v>102.01903934369875</c:v>
                </c:pt>
                <c:pt idx="18">
                  <c:v>99.529845313698246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4482488"/>
        <c:axId val="714482880"/>
      </c:lineChart>
      <c:catAx>
        <c:axId val="714482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4482880"/>
        <c:crosses val="autoZero"/>
        <c:auto val="1"/>
        <c:lblAlgn val="ctr"/>
        <c:lblOffset val="100"/>
        <c:noMultiLvlLbl val="0"/>
      </c:catAx>
      <c:valAx>
        <c:axId val="714482880"/>
        <c:scaling>
          <c:orientation val="minMax"/>
          <c:min val="3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448248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0"/>
          <c:order val="0"/>
          <c:tx>
            <c:strRef>
              <c:f>nic!$B$1</c:f>
              <c:strCache>
                <c:ptCount val="1"/>
                <c:pt idx="0">
                  <c:v>% Unfair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cat>
            <c:numRef>
              <c:f>nic!$A$2:$A$20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nic!$B$2:$B$20</c:f>
              <c:numCache>
                <c:formatCode>0.00</c:formatCode>
                <c:ptCount val="19"/>
                <c:pt idx="0">
                  <c:v>43.248729705810547</c:v>
                </c:pt>
                <c:pt idx="4">
                  <c:v>54.705272674560547</c:v>
                </c:pt>
                <c:pt idx="5">
                  <c:v>54.355018615722656</c:v>
                </c:pt>
                <c:pt idx="10">
                  <c:v>46.386928558349609</c:v>
                </c:pt>
                <c:pt idx="12">
                  <c:v>54.959075927734375</c:v>
                </c:pt>
                <c:pt idx="13">
                  <c:v>59.333122253417969</c:v>
                </c:pt>
                <c:pt idx="14">
                  <c:v>62.039302825927734</c:v>
                </c:pt>
                <c:pt idx="16">
                  <c:v>45.532375335693359</c:v>
                </c:pt>
                <c:pt idx="18">
                  <c:v>46.344520568847656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nic!$D$1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nic!$A$2:$A$20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nic!$D$2:$D$20</c:f>
              <c:numCache>
                <c:formatCode>0.00</c:formatCode>
                <c:ptCount val="19"/>
                <c:pt idx="0">
                  <c:v>62.538070678710937</c:v>
                </c:pt>
                <c:pt idx="4">
                  <c:v>84.591522216796875</c:v>
                </c:pt>
                <c:pt idx="5">
                  <c:v>78.390296936035156</c:v>
                </c:pt>
                <c:pt idx="10">
                  <c:v>69.577056884765625</c:v>
                </c:pt>
                <c:pt idx="12">
                  <c:v>80.711898803710938</c:v>
                </c:pt>
                <c:pt idx="13">
                  <c:v>73.796493530273437</c:v>
                </c:pt>
                <c:pt idx="14">
                  <c:v>72.703132629394531</c:v>
                </c:pt>
                <c:pt idx="16">
                  <c:v>54.949699401855469</c:v>
                </c:pt>
                <c:pt idx="18">
                  <c:v>57.824073791503906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nic!$F$1</c:f>
              <c:strCache>
                <c:ptCount val="1"/>
                <c:pt idx="0">
                  <c:v>% Very Unfair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nic!$A$2:$A$20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nic!$F$2:$F$20</c:f>
              <c:numCache>
                <c:formatCode>0.00</c:formatCode>
                <c:ptCount val="19"/>
                <c:pt idx="0">
                  <c:v>19.289340972900391</c:v>
                </c:pt>
                <c:pt idx="4">
                  <c:v>29.886245727539063</c:v>
                </c:pt>
                <c:pt idx="5">
                  <c:v>24.035280227661133</c:v>
                </c:pt>
                <c:pt idx="10">
                  <c:v>23.190126419067383</c:v>
                </c:pt>
                <c:pt idx="12">
                  <c:v>25.752824783325195</c:v>
                </c:pt>
                <c:pt idx="13">
                  <c:v>14.463371276855469</c:v>
                </c:pt>
                <c:pt idx="14">
                  <c:v>10.663821220397949</c:v>
                </c:pt>
                <c:pt idx="16">
                  <c:v>9.417327880859375</c:v>
                </c:pt>
                <c:pt idx="18">
                  <c:v>11.479554176330566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4483664"/>
        <c:axId val="714484056"/>
      </c:lineChart>
      <c:catAx>
        <c:axId val="71448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4484056"/>
        <c:crosses val="autoZero"/>
        <c:auto val="1"/>
        <c:lblAlgn val="ctr"/>
        <c:lblOffset val="100"/>
        <c:noMultiLvlLbl val="0"/>
      </c:catAx>
      <c:valAx>
        <c:axId val="714484056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448366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942694663167115E-2"/>
          <c:y val="0.90544400699912508"/>
          <c:w val="0.83084413190489559"/>
          <c:h val="7.57015588105250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3350940507436555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nic!$D$1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nic!$A$2:$A$20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nic!$D$2:$D$20</c:f>
              <c:numCache>
                <c:formatCode>0.00</c:formatCode>
                <c:ptCount val="19"/>
                <c:pt idx="0">
                  <c:v>62.538070678710937</c:v>
                </c:pt>
                <c:pt idx="4">
                  <c:v>84.591522216796875</c:v>
                </c:pt>
                <c:pt idx="5">
                  <c:v>78.390296936035156</c:v>
                </c:pt>
                <c:pt idx="10">
                  <c:v>69.577056884765625</c:v>
                </c:pt>
                <c:pt idx="12">
                  <c:v>80.711898803710938</c:v>
                </c:pt>
                <c:pt idx="13">
                  <c:v>73.796493530273437</c:v>
                </c:pt>
                <c:pt idx="14">
                  <c:v>72.703132629394531</c:v>
                </c:pt>
                <c:pt idx="16">
                  <c:v>54.949699401855469</c:v>
                </c:pt>
                <c:pt idx="18">
                  <c:v>57.824073791503906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4484840"/>
        <c:axId val="714485232"/>
      </c:lineChart>
      <c:lineChart>
        <c:grouping val="standard"/>
        <c:varyColors val="0"/>
        <c:ser>
          <c:idx val="0"/>
          <c:order val="1"/>
          <c:tx>
            <c:strRef>
              <c:f>nic!$N$1</c:f>
              <c:strCache>
                <c:ptCount val="1"/>
                <c:pt idx="0">
                  <c:v>Gini coefficient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nic!$A$2:$A$20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nic!$N$2:$N$20</c:f>
              <c:numCache>
                <c:formatCode>0.00</c:formatCode>
                <c:ptCount val="19"/>
                <c:pt idx="0">
                  <c:v>0.54432836393155859</c:v>
                </c:pt>
                <c:pt idx="4">
                  <c:v>0.53141591830044632</c:v>
                </c:pt>
                <c:pt idx="5">
                  <c:v>0.52431356438195742</c:v>
                </c:pt>
                <c:pt idx="10">
                  <c:v>0.48880179478951841</c:v>
                </c:pt>
                <c:pt idx="12">
                  <c:v>0.44170884190897391</c:v>
                </c:pt>
                <c:pt idx="13">
                  <c:v>0.44569799884111116</c:v>
                </c:pt>
                <c:pt idx="14">
                  <c:v>0.44968715577324847</c:v>
                </c:pt>
                <c:pt idx="16">
                  <c:v>0.45766546963752308</c:v>
                </c:pt>
                <c:pt idx="18">
                  <c:v>0.46564378350179791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4486016"/>
        <c:axId val="714485624"/>
      </c:lineChart>
      <c:catAx>
        <c:axId val="714484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4485232"/>
        <c:crosses val="autoZero"/>
        <c:auto val="1"/>
        <c:lblAlgn val="ctr"/>
        <c:lblOffset val="100"/>
        <c:noMultiLvlLbl val="0"/>
      </c:catAx>
      <c:valAx>
        <c:axId val="714485232"/>
        <c:scaling>
          <c:orientation val="minMax"/>
          <c:max val="100"/>
          <c:min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0"/>
              <c:y val="0.355831960572660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4484840"/>
        <c:crosses val="autoZero"/>
        <c:crossBetween val="between"/>
        <c:majorUnit val="10"/>
      </c:valAx>
      <c:valAx>
        <c:axId val="714485624"/>
        <c:scaling>
          <c:orientation val="minMax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Gini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4486016"/>
        <c:crosses val="max"/>
        <c:crossBetween val="between"/>
        <c:majorUnit val="5.000000000000001E-2"/>
      </c:valAx>
      <c:catAx>
        <c:axId val="714486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14485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nic!$D$1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nic!$A$2:$A$20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nic!$D$2:$D$20</c:f>
              <c:numCache>
                <c:formatCode>0.00</c:formatCode>
                <c:ptCount val="19"/>
                <c:pt idx="0">
                  <c:v>62.538070678710937</c:v>
                </c:pt>
                <c:pt idx="4">
                  <c:v>84.591522216796875</c:v>
                </c:pt>
                <c:pt idx="5">
                  <c:v>78.390296936035156</c:v>
                </c:pt>
                <c:pt idx="10">
                  <c:v>69.577056884765625</c:v>
                </c:pt>
                <c:pt idx="12">
                  <c:v>80.711898803710938</c:v>
                </c:pt>
                <c:pt idx="13">
                  <c:v>73.796493530273437</c:v>
                </c:pt>
                <c:pt idx="14">
                  <c:v>72.703132629394531</c:v>
                </c:pt>
                <c:pt idx="16">
                  <c:v>54.949699401855469</c:v>
                </c:pt>
                <c:pt idx="18">
                  <c:v>57.824073791503906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4486800"/>
        <c:axId val="714487192"/>
      </c:lineChart>
      <c:lineChart>
        <c:grouping val="standard"/>
        <c:varyColors val="0"/>
        <c:ser>
          <c:idx val="0"/>
          <c:order val="1"/>
          <c:tx>
            <c:strRef>
              <c:f>nic!$P$1</c:f>
              <c:strCache>
                <c:ptCount val="1"/>
                <c:pt idx="0">
                  <c:v>GE(0)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nic!$P$2:$P$20</c:f>
              <c:numCache>
                <c:formatCode>0.00</c:formatCode>
                <c:ptCount val="19"/>
                <c:pt idx="0">
                  <c:v>0.5541694766886327</c:v>
                </c:pt>
                <c:pt idx="4">
                  <c:v>0.50552567547226734</c:v>
                </c:pt>
                <c:pt idx="5">
                  <c:v>0.48973495821283564</c:v>
                </c:pt>
                <c:pt idx="10">
                  <c:v>0.41078137191566311</c:v>
                </c:pt>
                <c:pt idx="12">
                  <c:v>0.33644466398359818</c:v>
                </c:pt>
                <c:pt idx="13">
                  <c:v>0.34288178982651552</c:v>
                </c:pt>
                <c:pt idx="14">
                  <c:v>0.34931891566943207</c:v>
                </c:pt>
                <c:pt idx="16">
                  <c:v>0.36219316735526341</c:v>
                </c:pt>
                <c:pt idx="18">
                  <c:v>0.3750674190410962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nic!$I$1</c:f>
              <c:strCache>
                <c:ptCount val="1"/>
                <c:pt idx="0">
                  <c:v>Atk (1)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nic!$I$2:$I$20</c:f>
              <c:numCache>
                <c:formatCode>0.00</c:formatCode>
                <c:ptCount val="19"/>
                <c:pt idx="0">
                  <c:v>0.42545076036475171</c:v>
                </c:pt>
                <c:pt idx="4">
                  <c:v>0.39681158928123739</c:v>
                </c:pt>
                <c:pt idx="5">
                  <c:v>0.38682100856611967</c:v>
                </c:pt>
                <c:pt idx="10">
                  <c:v>0.33686810499051562</c:v>
                </c:pt>
                <c:pt idx="12">
                  <c:v>0.28569459070166597</c:v>
                </c:pt>
                <c:pt idx="13">
                  <c:v>0.29020500158993201</c:v>
                </c:pt>
                <c:pt idx="14">
                  <c:v>0.29471541247819566</c:v>
                </c:pt>
                <c:pt idx="16">
                  <c:v>0.30373623425472651</c:v>
                </c:pt>
                <c:pt idx="18">
                  <c:v>0.3127570560312547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nic!$H$1</c:f>
              <c:strCache>
                <c:ptCount val="1"/>
                <c:pt idx="0">
                  <c:v>Atk (0.5)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nic!$H$2:$H$20</c:f>
              <c:numCache>
                <c:formatCode>0.00</c:formatCode>
                <c:ptCount val="19"/>
                <c:pt idx="0">
                  <c:v>0.2536355747924377</c:v>
                </c:pt>
                <c:pt idx="4">
                  <c:v>0.2444137601712886</c:v>
                </c:pt>
                <c:pt idx="5">
                  <c:v>0.23760144241965087</c:v>
                </c:pt>
                <c:pt idx="10">
                  <c:v>0.2035398536614606</c:v>
                </c:pt>
                <c:pt idx="12">
                  <c:v>0.16191388370725929</c:v>
                </c:pt>
                <c:pt idx="13">
                  <c:v>0.16583989714280012</c:v>
                </c:pt>
                <c:pt idx="14">
                  <c:v>0.16976591057834067</c:v>
                </c:pt>
                <c:pt idx="16">
                  <c:v>0.17761793744942267</c:v>
                </c:pt>
                <c:pt idx="18">
                  <c:v>0.185469964320505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nic!$J$1</c:f>
              <c:strCache>
                <c:ptCount val="1"/>
                <c:pt idx="0">
                  <c:v>Atk (2)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nic!$J$2:$J$20</c:f>
              <c:numCache>
                <c:formatCode>0.00</c:formatCode>
                <c:ptCount val="19"/>
                <c:pt idx="0">
                  <c:v>0.70440462796665693</c:v>
                </c:pt>
                <c:pt idx="4">
                  <c:v>0.61152256843222608</c:v>
                </c:pt>
                <c:pt idx="5">
                  <c:v>0.59575754485982912</c:v>
                </c:pt>
                <c:pt idx="10">
                  <c:v>0.51693242699786235</c:v>
                </c:pt>
                <c:pt idx="12">
                  <c:v>0.47648494059112101</c:v>
                </c:pt>
                <c:pt idx="13">
                  <c:v>0.47937881229212653</c:v>
                </c:pt>
                <c:pt idx="14">
                  <c:v>0.48227268399313328</c:v>
                </c:pt>
                <c:pt idx="16">
                  <c:v>0.48806042739514588</c:v>
                </c:pt>
                <c:pt idx="18">
                  <c:v>0.49384817079715893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4487976"/>
        <c:axId val="714487584"/>
      </c:lineChart>
      <c:catAx>
        <c:axId val="714486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4487192"/>
        <c:crosses val="autoZero"/>
        <c:auto val="1"/>
        <c:lblAlgn val="ctr"/>
        <c:lblOffset val="100"/>
        <c:noMultiLvlLbl val="0"/>
      </c:catAx>
      <c:valAx>
        <c:axId val="714487192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4486800"/>
        <c:crosses val="autoZero"/>
        <c:crossBetween val="between"/>
        <c:majorUnit val="20"/>
      </c:valAx>
      <c:valAx>
        <c:axId val="714487584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4487976"/>
        <c:crosses val="max"/>
        <c:crossBetween val="between"/>
        <c:majorUnit val="0.2"/>
      </c:valAx>
      <c:catAx>
        <c:axId val="714487976"/>
        <c:scaling>
          <c:orientation val="minMax"/>
        </c:scaling>
        <c:delete val="1"/>
        <c:axPos val="b"/>
        <c:majorTickMark val="out"/>
        <c:minorTickMark val="none"/>
        <c:tickLblPos val="nextTo"/>
        <c:crossAx val="7144875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952938174394868"/>
          <c:w val="1"/>
          <c:h val="9.2692840478273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nic!$D$1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nic!$A$2:$A$20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nic!$D$2:$D$20</c:f>
              <c:numCache>
                <c:formatCode>0.00</c:formatCode>
                <c:ptCount val="19"/>
                <c:pt idx="0">
                  <c:v>62.538070678710937</c:v>
                </c:pt>
                <c:pt idx="4">
                  <c:v>84.591522216796875</c:v>
                </c:pt>
                <c:pt idx="5">
                  <c:v>78.390296936035156</c:v>
                </c:pt>
                <c:pt idx="10">
                  <c:v>69.577056884765625</c:v>
                </c:pt>
                <c:pt idx="12">
                  <c:v>80.711898803710938</c:v>
                </c:pt>
                <c:pt idx="13">
                  <c:v>73.796493530273437</c:v>
                </c:pt>
                <c:pt idx="14">
                  <c:v>72.703132629394531</c:v>
                </c:pt>
                <c:pt idx="16">
                  <c:v>54.949699401855469</c:v>
                </c:pt>
                <c:pt idx="18">
                  <c:v>57.824073791503906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nic!$M$1</c:f>
              <c:strCache>
                <c:ptCount val="1"/>
                <c:pt idx="0">
                  <c:v>Absolute Gini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nic!$A$2:$A$20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nic!$M$2:$M$20</c:f>
              <c:numCache>
                <c:formatCode>0.00</c:formatCode>
                <c:ptCount val="19"/>
                <c:pt idx="0">
                  <c:v>85.31037040479336</c:v>
                </c:pt>
                <c:pt idx="4">
                  <c:v>94.112141387302557</c:v>
                </c:pt>
                <c:pt idx="5">
                  <c:v>95.497331588820998</c:v>
                </c:pt>
                <c:pt idx="10">
                  <c:v>102.42328259641201</c:v>
                </c:pt>
                <c:pt idx="12">
                  <c:v>90.489716935921265</c:v>
                </c:pt>
                <c:pt idx="13">
                  <c:v>96.685515290833791</c:v>
                </c:pt>
                <c:pt idx="14">
                  <c:v>102.88131364574474</c:v>
                </c:pt>
                <c:pt idx="16">
                  <c:v>115.27291035556664</c:v>
                </c:pt>
                <c:pt idx="18">
                  <c:v>127.66450706539025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949944"/>
        <c:axId val="612950336"/>
      </c:lineChart>
      <c:catAx>
        <c:axId val="612949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12950336"/>
        <c:crosses val="autoZero"/>
        <c:auto val="1"/>
        <c:lblAlgn val="ctr"/>
        <c:lblOffset val="100"/>
        <c:noMultiLvlLbl val="0"/>
      </c:catAx>
      <c:valAx>
        <c:axId val="612950336"/>
        <c:scaling>
          <c:orientation val="minMax"/>
          <c:min val="5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1294994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0"/>
          <c:order val="0"/>
          <c:tx>
            <c:strRef>
              <c:f>pan!$B$1</c:f>
              <c:strCache>
                <c:ptCount val="1"/>
                <c:pt idx="0">
                  <c:v>% Unfair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cat>
            <c:numRef>
              <c:f>pan!$A$2:$A$20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pan!$B$2:$B$20</c:f>
              <c:numCache>
                <c:formatCode>0.00</c:formatCode>
                <c:ptCount val="19"/>
                <c:pt idx="0">
                  <c:v>58.458457946777344</c:v>
                </c:pt>
                <c:pt idx="4">
                  <c:v>40.848213195800781</c:v>
                </c:pt>
                <c:pt idx="5">
                  <c:v>45.030658721923828</c:v>
                </c:pt>
                <c:pt idx="10">
                  <c:v>49.321426391601563</c:v>
                </c:pt>
                <c:pt idx="12">
                  <c:v>54.899894714355469</c:v>
                </c:pt>
                <c:pt idx="13">
                  <c:v>48.387096405029297</c:v>
                </c:pt>
                <c:pt idx="14">
                  <c:v>50.520832061767578</c:v>
                </c:pt>
                <c:pt idx="16">
                  <c:v>41.543342590332031</c:v>
                </c:pt>
                <c:pt idx="18">
                  <c:v>43.110649108886719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pan!$D$1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pan!$A$2:$A$20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pan!$D$2:$D$20</c:f>
              <c:numCache>
                <c:formatCode>0.00</c:formatCode>
                <c:ptCount val="19"/>
                <c:pt idx="0">
                  <c:v>79.079078674316406</c:v>
                </c:pt>
                <c:pt idx="4">
                  <c:v>94.866073608398438</c:v>
                </c:pt>
                <c:pt idx="5">
                  <c:v>91.795623779296875</c:v>
                </c:pt>
                <c:pt idx="10">
                  <c:v>81.7132568359375</c:v>
                </c:pt>
                <c:pt idx="12">
                  <c:v>73.024238586425781</c:v>
                </c:pt>
                <c:pt idx="13">
                  <c:v>66.70135498046875</c:v>
                </c:pt>
                <c:pt idx="14">
                  <c:v>66.145828247070312</c:v>
                </c:pt>
                <c:pt idx="16">
                  <c:v>63.213531494140625</c:v>
                </c:pt>
                <c:pt idx="18">
                  <c:v>62.108558654785156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pan!$F$1</c:f>
              <c:strCache>
                <c:ptCount val="1"/>
                <c:pt idx="0">
                  <c:v>% Very Unfair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pan!$A$2:$A$20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pan!$F$2:$F$20</c:f>
              <c:numCache>
                <c:formatCode>0.00</c:formatCode>
                <c:ptCount val="19"/>
                <c:pt idx="0">
                  <c:v>20.620620727539063</c:v>
                </c:pt>
                <c:pt idx="4">
                  <c:v>54.017860412597656</c:v>
                </c:pt>
                <c:pt idx="5">
                  <c:v>46.764961242675781</c:v>
                </c:pt>
                <c:pt idx="10">
                  <c:v>32.391826629638672</c:v>
                </c:pt>
                <c:pt idx="12">
                  <c:v>18.12434196472168</c:v>
                </c:pt>
                <c:pt idx="13">
                  <c:v>18.31425666809082</c:v>
                </c:pt>
                <c:pt idx="14">
                  <c:v>15.625</c:v>
                </c:pt>
                <c:pt idx="16">
                  <c:v>21.670190811157227</c:v>
                </c:pt>
                <c:pt idx="18">
                  <c:v>18.99791145324707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951120"/>
        <c:axId val="612951512"/>
      </c:lineChart>
      <c:catAx>
        <c:axId val="61295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12951512"/>
        <c:crosses val="autoZero"/>
        <c:auto val="1"/>
        <c:lblAlgn val="ctr"/>
        <c:lblOffset val="100"/>
        <c:noMultiLvlLbl val="0"/>
      </c:catAx>
      <c:valAx>
        <c:axId val="612951512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1295112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942694663167115E-2"/>
          <c:y val="0.90544400699912508"/>
          <c:w val="0.83084413190489559"/>
          <c:h val="7.57015588105250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3350940507436555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pan!$D$1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pan!$A$2:$A$20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pan!$D$2:$D$20</c:f>
              <c:numCache>
                <c:formatCode>0.00</c:formatCode>
                <c:ptCount val="19"/>
                <c:pt idx="0">
                  <c:v>79.079078674316406</c:v>
                </c:pt>
                <c:pt idx="4">
                  <c:v>94.866073608398438</c:v>
                </c:pt>
                <c:pt idx="5">
                  <c:v>91.795623779296875</c:v>
                </c:pt>
                <c:pt idx="10">
                  <c:v>81.7132568359375</c:v>
                </c:pt>
                <c:pt idx="12">
                  <c:v>73.024238586425781</c:v>
                </c:pt>
                <c:pt idx="13">
                  <c:v>66.70135498046875</c:v>
                </c:pt>
                <c:pt idx="14">
                  <c:v>66.145828247070312</c:v>
                </c:pt>
                <c:pt idx="16">
                  <c:v>63.213531494140625</c:v>
                </c:pt>
                <c:pt idx="18">
                  <c:v>62.108558654785156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952296"/>
        <c:axId val="612952688"/>
      </c:lineChart>
      <c:lineChart>
        <c:grouping val="standard"/>
        <c:varyColors val="0"/>
        <c:ser>
          <c:idx val="0"/>
          <c:order val="1"/>
          <c:tx>
            <c:strRef>
              <c:f>pan!$N$1</c:f>
              <c:strCache>
                <c:ptCount val="1"/>
                <c:pt idx="0">
                  <c:v>Gini coefficient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pan!$A$2:$A$20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pan!$N$2:$N$20</c:f>
              <c:numCache>
                <c:formatCode>0.00</c:formatCode>
                <c:ptCount val="19"/>
                <c:pt idx="0">
                  <c:v>0.53465136013366932</c:v>
                </c:pt>
                <c:pt idx="4">
                  <c:v>0.52987184164880174</c:v>
                </c:pt>
                <c:pt idx="5">
                  <c:v>0.52867696202758463</c:v>
                </c:pt>
                <c:pt idx="10">
                  <c:v>0.52270256392149994</c:v>
                </c:pt>
                <c:pt idx="12">
                  <c:v>0.52031280467906671</c:v>
                </c:pt>
                <c:pt idx="13">
                  <c:v>0.51911792505784982</c:v>
                </c:pt>
                <c:pt idx="14">
                  <c:v>0.51830705018315149</c:v>
                </c:pt>
                <c:pt idx="16">
                  <c:v>0.51664858868705832</c:v>
                </c:pt>
                <c:pt idx="18">
                  <c:v>0.50696801627148236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953472"/>
        <c:axId val="612953080"/>
      </c:lineChart>
      <c:catAx>
        <c:axId val="612952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12952688"/>
        <c:crosses val="autoZero"/>
        <c:auto val="1"/>
        <c:lblAlgn val="ctr"/>
        <c:lblOffset val="100"/>
        <c:noMultiLvlLbl val="0"/>
      </c:catAx>
      <c:valAx>
        <c:axId val="612952688"/>
        <c:scaling>
          <c:orientation val="minMax"/>
          <c:max val="100"/>
          <c:min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0"/>
              <c:y val="0.355831960572660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12952296"/>
        <c:crosses val="autoZero"/>
        <c:crossBetween val="between"/>
        <c:majorUnit val="10"/>
      </c:valAx>
      <c:valAx>
        <c:axId val="612953080"/>
        <c:scaling>
          <c:orientation val="minMax"/>
          <c:min val="0.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Gini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12953472"/>
        <c:crosses val="max"/>
        <c:crossBetween val="between"/>
        <c:majorUnit val="1.0000000000000002E-2"/>
      </c:valAx>
      <c:catAx>
        <c:axId val="612953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2953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pan!$D$1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pan!$A$2:$A$20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pan!$D$2:$D$20</c:f>
              <c:numCache>
                <c:formatCode>0.00</c:formatCode>
                <c:ptCount val="19"/>
                <c:pt idx="0">
                  <c:v>79.079078674316406</c:v>
                </c:pt>
                <c:pt idx="4">
                  <c:v>94.866073608398438</c:v>
                </c:pt>
                <c:pt idx="5">
                  <c:v>91.795623779296875</c:v>
                </c:pt>
                <c:pt idx="10">
                  <c:v>81.7132568359375</c:v>
                </c:pt>
                <c:pt idx="12">
                  <c:v>73.024238586425781</c:v>
                </c:pt>
                <c:pt idx="13">
                  <c:v>66.70135498046875</c:v>
                </c:pt>
                <c:pt idx="14">
                  <c:v>66.145828247070312</c:v>
                </c:pt>
                <c:pt idx="16">
                  <c:v>63.213531494140625</c:v>
                </c:pt>
                <c:pt idx="18">
                  <c:v>62.108558654785156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954256"/>
        <c:axId val="612954648"/>
      </c:lineChart>
      <c:lineChart>
        <c:grouping val="standard"/>
        <c:varyColors val="0"/>
        <c:ser>
          <c:idx val="0"/>
          <c:order val="1"/>
          <c:tx>
            <c:strRef>
              <c:f>pan!$P$1</c:f>
              <c:strCache>
                <c:ptCount val="1"/>
                <c:pt idx="0">
                  <c:v>GE(0)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pan!$P$2:$P$20</c:f>
              <c:numCache>
                <c:formatCode>0.00</c:formatCode>
                <c:ptCount val="19"/>
                <c:pt idx="0">
                  <c:v>0.37513179379450534</c:v>
                </c:pt>
                <c:pt idx="4">
                  <c:v>0.41238623269950736</c:v>
                </c:pt>
                <c:pt idx="5">
                  <c:v>0.42169984242575609</c:v>
                </c:pt>
                <c:pt idx="10">
                  <c:v>0.46826789105701039</c:v>
                </c:pt>
                <c:pt idx="12">
                  <c:v>0.4868951105095129</c:v>
                </c:pt>
                <c:pt idx="13">
                  <c:v>0.49620872023576368</c:v>
                </c:pt>
                <c:pt idx="14">
                  <c:v>0.49748150996391027</c:v>
                </c:pt>
                <c:pt idx="16">
                  <c:v>0.48787170244165751</c:v>
                </c:pt>
                <c:pt idx="18">
                  <c:v>0.47879467045657648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pan!$I$1</c:f>
              <c:strCache>
                <c:ptCount val="1"/>
                <c:pt idx="0">
                  <c:v>Atk (1)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pan!$I$2:$I$20</c:f>
              <c:numCache>
                <c:formatCode>0.00</c:formatCode>
                <c:ptCount val="19"/>
                <c:pt idx="0">
                  <c:v>0.3171052836636612</c:v>
                </c:pt>
                <c:pt idx="4">
                  <c:v>0.33989302662280529</c:v>
                </c:pt>
                <c:pt idx="5">
                  <c:v>0.34558996236259176</c:v>
                </c:pt>
                <c:pt idx="10">
                  <c:v>0.3740746410615241</c:v>
                </c:pt>
                <c:pt idx="12">
                  <c:v>0.38546851254109782</c:v>
                </c:pt>
                <c:pt idx="13">
                  <c:v>0.39116544828088412</c:v>
                </c:pt>
                <c:pt idx="14">
                  <c:v>0.39193987369954592</c:v>
                </c:pt>
                <c:pt idx="16">
                  <c:v>0.3860683660800987</c:v>
                </c:pt>
                <c:pt idx="18">
                  <c:v>0.38047032061985531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pan!$H$1</c:f>
              <c:strCache>
                <c:ptCount val="1"/>
                <c:pt idx="0">
                  <c:v>Atk (0.5)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pan!$H$2:$H$20</c:f>
              <c:numCache>
                <c:formatCode>0.00</c:formatCode>
                <c:ptCount val="19"/>
                <c:pt idx="0">
                  <c:v>0.20217295513324096</c:v>
                </c:pt>
                <c:pt idx="4">
                  <c:v>0.20899235289016893</c:v>
                </c:pt>
                <c:pt idx="5">
                  <c:v>0.21069720232940092</c:v>
                </c:pt>
                <c:pt idx="10">
                  <c:v>0.21922144952556089</c:v>
                </c:pt>
                <c:pt idx="12">
                  <c:v>0.22263114840402501</c:v>
                </c:pt>
                <c:pt idx="13">
                  <c:v>0.224335997843257</c:v>
                </c:pt>
                <c:pt idx="14">
                  <c:v>0.22295240828148019</c:v>
                </c:pt>
                <c:pt idx="16">
                  <c:v>0.21971787164080661</c:v>
                </c:pt>
                <c:pt idx="18">
                  <c:v>0.2137230957276417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pan!$J$1</c:f>
              <c:strCache>
                <c:ptCount val="1"/>
                <c:pt idx="0">
                  <c:v>Atk (2)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pan!$J$2:$J$20</c:f>
              <c:numCache>
                <c:formatCode>0.00</c:formatCode>
                <c:ptCount val="19"/>
                <c:pt idx="0">
                  <c:v>0.34347692937733143</c:v>
                </c:pt>
                <c:pt idx="4">
                  <c:v>0.43067338813944644</c:v>
                </c:pt>
                <c:pt idx="5">
                  <c:v>0.45247250282997697</c:v>
                </c:pt>
                <c:pt idx="10">
                  <c:v>0.56146807628262252</c:v>
                </c:pt>
                <c:pt idx="12">
                  <c:v>0.60506630566368624</c:v>
                </c:pt>
                <c:pt idx="13">
                  <c:v>0.62686542035421522</c:v>
                </c:pt>
                <c:pt idx="14">
                  <c:v>0.6352957425950434</c:v>
                </c:pt>
                <c:pt idx="16">
                  <c:v>0.61756938707965681</c:v>
                </c:pt>
                <c:pt idx="18">
                  <c:v>0.63183344607250225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955432"/>
        <c:axId val="612955040"/>
      </c:lineChart>
      <c:catAx>
        <c:axId val="61295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12954648"/>
        <c:crosses val="autoZero"/>
        <c:auto val="1"/>
        <c:lblAlgn val="ctr"/>
        <c:lblOffset val="100"/>
        <c:noMultiLvlLbl val="0"/>
      </c:catAx>
      <c:valAx>
        <c:axId val="612954648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12954256"/>
        <c:crosses val="autoZero"/>
        <c:crossBetween val="between"/>
        <c:majorUnit val="20"/>
      </c:valAx>
      <c:valAx>
        <c:axId val="612955040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12955432"/>
        <c:crosses val="max"/>
        <c:crossBetween val="between"/>
        <c:majorUnit val="0.2"/>
      </c:valAx>
      <c:catAx>
        <c:axId val="612955432"/>
        <c:scaling>
          <c:orientation val="minMax"/>
        </c:scaling>
        <c:delete val="1"/>
        <c:axPos val="b"/>
        <c:majorTickMark val="out"/>
        <c:minorTickMark val="none"/>
        <c:tickLblPos val="nextTo"/>
        <c:crossAx val="6129550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952938174394868"/>
          <c:w val="1"/>
          <c:h val="9.2692840478273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pan!$D$1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pan!$A$2:$A$20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pan!$D$2:$D$20</c:f>
              <c:numCache>
                <c:formatCode>0.00</c:formatCode>
                <c:ptCount val="19"/>
                <c:pt idx="0">
                  <c:v>79.079078674316406</c:v>
                </c:pt>
                <c:pt idx="4">
                  <c:v>94.866073608398438</c:v>
                </c:pt>
                <c:pt idx="5">
                  <c:v>91.795623779296875</c:v>
                </c:pt>
                <c:pt idx="10">
                  <c:v>81.7132568359375</c:v>
                </c:pt>
                <c:pt idx="12">
                  <c:v>73.024238586425781</c:v>
                </c:pt>
                <c:pt idx="13">
                  <c:v>66.70135498046875</c:v>
                </c:pt>
                <c:pt idx="14">
                  <c:v>66.145828247070312</c:v>
                </c:pt>
                <c:pt idx="16">
                  <c:v>63.213531494140625</c:v>
                </c:pt>
                <c:pt idx="18">
                  <c:v>62.108558654785156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pan!$M$1</c:f>
              <c:strCache>
                <c:ptCount val="1"/>
                <c:pt idx="0">
                  <c:v>Absolute Gini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pan!$A$2:$A$20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pan!$M$2:$M$20</c:f>
              <c:numCache>
                <c:formatCode>0.00</c:formatCode>
                <c:ptCount val="19"/>
                <c:pt idx="0">
                  <c:v>66.598144286692786</c:v>
                </c:pt>
                <c:pt idx="4">
                  <c:v>74.819115371953103</c:v>
                </c:pt>
                <c:pt idx="5">
                  <c:v>76.874358143267727</c:v>
                </c:pt>
                <c:pt idx="10">
                  <c:v>87.150571999842668</c:v>
                </c:pt>
                <c:pt idx="12">
                  <c:v>91.261057542472642</c:v>
                </c:pt>
                <c:pt idx="13">
                  <c:v>93.316300313787579</c:v>
                </c:pt>
                <c:pt idx="14">
                  <c:v>101.93178924399766</c:v>
                </c:pt>
                <c:pt idx="16">
                  <c:v>107.54075216939709</c:v>
                </c:pt>
                <c:pt idx="18">
                  <c:v>105.95009631050061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956216"/>
        <c:axId val="612956608"/>
      </c:lineChart>
      <c:catAx>
        <c:axId val="612956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12956608"/>
        <c:crosses val="autoZero"/>
        <c:auto val="1"/>
        <c:lblAlgn val="ctr"/>
        <c:lblOffset val="100"/>
        <c:noMultiLvlLbl val="0"/>
      </c:catAx>
      <c:valAx>
        <c:axId val="612956608"/>
        <c:scaling>
          <c:orientation val="minMax"/>
          <c:min val="3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1295621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0"/>
          <c:order val="0"/>
          <c:tx>
            <c:strRef>
              <c:f>per!$B$1</c:f>
              <c:strCache>
                <c:ptCount val="1"/>
                <c:pt idx="0">
                  <c:v>% Unfair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cat>
            <c:numRef>
              <c:f>per!$A$2:$A$20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per!$B$2:$B$20</c:f>
              <c:numCache>
                <c:formatCode>0.00</c:formatCode>
                <c:ptCount val="19"/>
                <c:pt idx="0">
                  <c:v>57.002937316894531</c:v>
                </c:pt>
                <c:pt idx="4">
                  <c:v>57.750762939453125</c:v>
                </c:pt>
                <c:pt idx="5">
                  <c:v>56.904708862304687</c:v>
                </c:pt>
                <c:pt idx="10">
                  <c:v>65.397926330566406</c:v>
                </c:pt>
                <c:pt idx="12">
                  <c:v>67.522125244140625</c:v>
                </c:pt>
                <c:pt idx="13">
                  <c:v>65.566459655761719</c:v>
                </c:pt>
                <c:pt idx="14">
                  <c:v>62.347824096679688</c:v>
                </c:pt>
                <c:pt idx="16">
                  <c:v>63.294540405273438</c:v>
                </c:pt>
                <c:pt idx="18">
                  <c:v>61.235450744628906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per!$D$1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per!$A$2:$A$20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per!$D$2:$D$20</c:f>
              <c:numCache>
                <c:formatCode>0.00</c:formatCode>
                <c:ptCount val="19"/>
                <c:pt idx="0">
                  <c:v>85.798240661621094</c:v>
                </c:pt>
                <c:pt idx="4">
                  <c:v>94.630195617675781</c:v>
                </c:pt>
                <c:pt idx="5">
                  <c:v>86.060920715332031</c:v>
                </c:pt>
                <c:pt idx="10">
                  <c:v>91.262977600097656</c:v>
                </c:pt>
                <c:pt idx="12">
                  <c:v>88.849555969238281</c:v>
                </c:pt>
                <c:pt idx="13">
                  <c:v>85.548614501953125</c:v>
                </c:pt>
                <c:pt idx="14">
                  <c:v>85.826087951660156</c:v>
                </c:pt>
                <c:pt idx="16">
                  <c:v>82.00537109375</c:v>
                </c:pt>
                <c:pt idx="18">
                  <c:v>82.273948669433594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per!$F$1</c:f>
              <c:strCache>
                <c:ptCount val="1"/>
                <c:pt idx="0">
                  <c:v>% Very Unfair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per!$A$2:$A$20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per!$F$2:$F$20</c:f>
              <c:numCache>
                <c:formatCode>0.00</c:formatCode>
                <c:ptCount val="19"/>
                <c:pt idx="0">
                  <c:v>28.795299530029297</c:v>
                </c:pt>
                <c:pt idx="4">
                  <c:v>36.879432678222656</c:v>
                </c:pt>
                <c:pt idx="5">
                  <c:v>29.156211853027344</c:v>
                </c:pt>
                <c:pt idx="10">
                  <c:v>25.86505126953125</c:v>
                </c:pt>
                <c:pt idx="12">
                  <c:v>21.327432632446289</c:v>
                </c:pt>
                <c:pt idx="13">
                  <c:v>19.982158660888672</c:v>
                </c:pt>
                <c:pt idx="14">
                  <c:v>23.478260040283203</c:v>
                </c:pt>
                <c:pt idx="16">
                  <c:v>18.710832595825195</c:v>
                </c:pt>
                <c:pt idx="18">
                  <c:v>21.038496017456055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957392"/>
        <c:axId val="699660024"/>
      </c:lineChart>
      <c:catAx>
        <c:axId val="612957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60024"/>
        <c:crosses val="autoZero"/>
        <c:auto val="1"/>
        <c:lblAlgn val="ctr"/>
        <c:lblOffset val="100"/>
        <c:noMultiLvlLbl val="0"/>
      </c:catAx>
      <c:valAx>
        <c:axId val="699660024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1295739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942694663167115E-2"/>
          <c:y val="0.90544400699912508"/>
          <c:w val="0.83084413190489559"/>
          <c:h val="7.57015588105250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3350940507436555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per!$D$1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per!$A$2:$A$20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per!$D$2:$D$20</c:f>
              <c:numCache>
                <c:formatCode>0.00</c:formatCode>
                <c:ptCount val="19"/>
                <c:pt idx="0">
                  <c:v>85.798240661621094</c:v>
                </c:pt>
                <c:pt idx="4">
                  <c:v>94.630195617675781</c:v>
                </c:pt>
                <c:pt idx="5">
                  <c:v>86.060920715332031</c:v>
                </c:pt>
                <c:pt idx="10">
                  <c:v>91.262977600097656</c:v>
                </c:pt>
                <c:pt idx="12">
                  <c:v>88.849555969238281</c:v>
                </c:pt>
                <c:pt idx="13">
                  <c:v>85.548614501953125</c:v>
                </c:pt>
                <c:pt idx="14">
                  <c:v>85.826087951660156</c:v>
                </c:pt>
                <c:pt idx="16">
                  <c:v>82.00537109375</c:v>
                </c:pt>
                <c:pt idx="18">
                  <c:v>82.273948669433594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660808"/>
        <c:axId val="699661200"/>
      </c:lineChart>
      <c:lineChart>
        <c:grouping val="standard"/>
        <c:varyColors val="0"/>
        <c:ser>
          <c:idx val="0"/>
          <c:order val="1"/>
          <c:tx>
            <c:strRef>
              <c:f>per!$N$1</c:f>
              <c:strCache>
                <c:ptCount val="1"/>
                <c:pt idx="0">
                  <c:v>Gini coefficient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per!$A$2:$A$20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per!$N$2:$N$20</c:f>
              <c:numCache>
                <c:formatCode>0.00</c:formatCode>
                <c:ptCount val="19"/>
                <c:pt idx="0">
                  <c:v>0.68330958953507803</c:v>
                </c:pt>
                <c:pt idx="4">
                  <c:v>0.61539677375793644</c:v>
                </c:pt>
                <c:pt idx="5">
                  <c:v>0.59841856981365282</c:v>
                </c:pt>
                <c:pt idx="10">
                  <c:v>0.51352755009223783</c:v>
                </c:pt>
                <c:pt idx="12">
                  <c:v>0.47957114220366931</c:v>
                </c:pt>
                <c:pt idx="13">
                  <c:v>0.46206255591321438</c:v>
                </c:pt>
                <c:pt idx="14">
                  <c:v>0.45476774095444311</c:v>
                </c:pt>
                <c:pt idx="16">
                  <c:v>0.44726810919559151</c:v>
                </c:pt>
                <c:pt idx="18">
                  <c:v>0.44136618251696141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661984"/>
        <c:axId val="699661592"/>
      </c:lineChart>
      <c:catAx>
        <c:axId val="699660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61200"/>
        <c:crosses val="autoZero"/>
        <c:auto val="1"/>
        <c:lblAlgn val="ctr"/>
        <c:lblOffset val="100"/>
        <c:noMultiLvlLbl val="0"/>
      </c:catAx>
      <c:valAx>
        <c:axId val="699661200"/>
        <c:scaling>
          <c:orientation val="minMax"/>
          <c:max val="100"/>
          <c:min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0"/>
              <c:y val="0.355831960572660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60808"/>
        <c:crosses val="autoZero"/>
        <c:crossBetween val="between"/>
        <c:majorUnit val="10"/>
      </c:valAx>
      <c:valAx>
        <c:axId val="699661592"/>
        <c:scaling>
          <c:orientation val="minMax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Gini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61984"/>
        <c:crosses val="max"/>
        <c:crossBetween val="between"/>
        <c:majorUnit val="5.000000000000001E-2"/>
      </c:valAx>
      <c:catAx>
        <c:axId val="699661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96615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per!$D$1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per!$A$2:$A$20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per!$D$2:$D$20</c:f>
              <c:numCache>
                <c:formatCode>0.00</c:formatCode>
                <c:ptCount val="19"/>
                <c:pt idx="0">
                  <c:v>85.798240661621094</c:v>
                </c:pt>
                <c:pt idx="4">
                  <c:v>94.630195617675781</c:v>
                </c:pt>
                <c:pt idx="5">
                  <c:v>86.060920715332031</c:v>
                </c:pt>
                <c:pt idx="10">
                  <c:v>91.262977600097656</c:v>
                </c:pt>
                <c:pt idx="12">
                  <c:v>88.849555969238281</c:v>
                </c:pt>
                <c:pt idx="13">
                  <c:v>85.548614501953125</c:v>
                </c:pt>
                <c:pt idx="14">
                  <c:v>85.826087951660156</c:v>
                </c:pt>
                <c:pt idx="16">
                  <c:v>82.00537109375</c:v>
                </c:pt>
                <c:pt idx="18">
                  <c:v>82.273948669433594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662768"/>
        <c:axId val="699663160"/>
      </c:lineChart>
      <c:lineChart>
        <c:grouping val="standard"/>
        <c:varyColors val="0"/>
        <c:ser>
          <c:idx val="0"/>
          <c:order val="1"/>
          <c:tx>
            <c:strRef>
              <c:f>per!$P$1</c:f>
              <c:strCache>
                <c:ptCount val="1"/>
                <c:pt idx="0">
                  <c:v>GE(0)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per!$P$2:$P$20</c:f>
              <c:numCache>
                <c:formatCode>0.00</c:formatCode>
                <c:ptCount val="19"/>
                <c:pt idx="0">
                  <c:v>0.83761256529764694</c:v>
                </c:pt>
                <c:pt idx="4">
                  <c:v>0.69728639474135434</c:v>
                </c:pt>
                <c:pt idx="5">
                  <c:v>0.66220485210227764</c:v>
                </c:pt>
                <c:pt idx="10">
                  <c:v>0.48679713890691401</c:v>
                </c:pt>
                <c:pt idx="12">
                  <c:v>0.4166340536287656</c:v>
                </c:pt>
                <c:pt idx="13">
                  <c:v>0.38413951337893798</c:v>
                </c:pt>
                <c:pt idx="14">
                  <c:v>0.37377807068137459</c:v>
                </c:pt>
                <c:pt idx="16">
                  <c:v>0.36059657437896031</c:v>
                </c:pt>
                <c:pt idx="18">
                  <c:v>0.34971502914419728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per!$I$1</c:f>
              <c:strCache>
                <c:ptCount val="1"/>
                <c:pt idx="0">
                  <c:v>Atk (1)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per!$I$2:$I$20</c:f>
              <c:numCache>
                <c:formatCode>0.00</c:formatCode>
                <c:ptCount val="19"/>
                <c:pt idx="0">
                  <c:v>0.60876046969549691</c:v>
                </c:pt>
                <c:pt idx="4">
                  <c:v>0.51941960300013079</c:v>
                </c:pt>
                <c:pt idx="5">
                  <c:v>0.49708438632628571</c:v>
                </c:pt>
                <c:pt idx="10">
                  <c:v>0.38540830295707601</c:v>
                </c:pt>
                <c:pt idx="12">
                  <c:v>0.34073786960939051</c:v>
                </c:pt>
                <c:pt idx="13">
                  <c:v>0.31896359313894862</c:v>
                </c:pt>
                <c:pt idx="14">
                  <c:v>0.31187038898013109</c:v>
                </c:pt>
                <c:pt idx="16">
                  <c:v>0.3027397656227348</c:v>
                </c:pt>
                <c:pt idx="18">
                  <c:v>0.29511106609734478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per!$H$1</c:f>
              <c:strCache>
                <c:ptCount val="1"/>
                <c:pt idx="0">
                  <c:v>Atk (0.5)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per!$H$2:$H$20</c:f>
              <c:numCache>
                <c:formatCode>0.00</c:formatCode>
                <c:ptCount val="19"/>
                <c:pt idx="0">
                  <c:v>0.36881792856879869</c:v>
                </c:pt>
                <c:pt idx="4">
                  <c:v>0.30921497727497282</c:v>
                </c:pt>
                <c:pt idx="5">
                  <c:v>0.29431423945151636</c:v>
                </c:pt>
                <c:pt idx="10">
                  <c:v>0.21981055033423491</c:v>
                </c:pt>
                <c:pt idx="12">
                  <c:v>0.19000907468732259</c:v>
                </c:pt>
                <c:pt idx="13">
                  <c:v>0.17713960873612969</c:v>
                </c:pt>
                <c:pt idx="14">
                  <c:v>0.17183522809456461</c:v>
                </c:pt>
                <c:pt idx="16">
                  <c:v>0.16519081755418111</c:v>
                </c:pt>
                <c:pt idx="18">
                  <c:v>0.16065040221396981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per!$J$1</c:f>
              <c:strCache>
                <c:ptCount val="1"/>
                <c:pt idx="0">
                  <c:v>Atk (2)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per!$J$2:$J$20</c:f>
              <c:numCache>
                <c:formatCode>0.00</c:formatCode>
                <c:ptCount val="19"/>
                <c:pt idx="0">
                  <c:v>0.86984555550201037</c:v>
                </c:pt>
                <c:pt idx="4">
                  <c:v>0.76964598037054088</c:v>
                </c:pt>
                <c:pt idx="5">
                  <c:v>0.74459608658767706</c:v>
                </c:pt>
                <c:pt idx="10">
                  <c:v>0.6193466176733442</c:v>
                </c:pt>
                <c:pt idx="12">
                  <c:v>0.5692468301076119</c:v>
                </c:pt>
                <c:pt idx="13">
                  <c:v>0.53898260469679293</c:v>
                </c:pt>
                <c:pt idx="14">
                  <c:v>0.53562495415633304</c:v>
                </c:pt>
                <c:pt idx="16">
                  <c:v>0.53283249646416608</c:v>
                </c:pt>
                <c:pt idx="18">
                  <c:v>0.51684097345386038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663944"/>
        <c:axId val="699663552"/>
      </c:lineChart>
      <c:catAx>
        <c:axId val="699662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63160"/>
        <c:crosses val="autoZero"/>
        <c:auto val="1"/>
        <c:lblAlgn val="ctr"/>
        <c:lblOffset val="100"/>
        <c:noMultiLvlLbl val="0"/>
      </c:catAx>
      <c:valAx>
        <c:axId val="699663160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62768"/>
        <c:crosses val="autoZero"/>
        <c:crossBetween val="between"/>
        <c:majorUnit val="20"/>
      </c:valAx>
      <c:valAx>
        <c:axId val="699663552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63944"/>
        <c:crosses val="max"/>
        <c:crossBetween val="between"/>
        <c:majorUnit val="0.2"/>
      </c:valAx>
      <c:catAx>
        <c:axId val="699663944"/>
        <c:scaling>
          <c:orientation val="minMax"/>
        </c:scaling>
        <c:delete val="1"/>
        <c:axPos val="b"/>
        <c:majorTickMark val="out"/>
        <c:minorTickMark val="none"/>
        <c:tickLblPos val="nextTo"/>
        <c:crossAx val="699663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952938174394868"/>
          <c:w val="1"/>
          <c:h val="9.2692840478273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per!$D$1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per!$A$2:$A$20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per!$D$2:$D$20</c:f>
              <c:numCache>
                <c:formatCode>0.00</c:formatCode>
                <c:ptCount val="19"/>
                <c:pt idx="0">
                  <c:v>85.798240661621094</c:v>
                </c:pt>
                <c:pt idx="4">
                  <c:v>94.630195617675781</c:v>
                </c:pt>
                <c:pt idx="5">
                  <c:v>86.060920715332031</c:v>
                </c:pt>
                <c:pt idx="10">
                  <c:v>91.262977600097656</c:v>
                </c:pt>
                <c:pt idx="12">
                  <c:v>88.849555969238281</c:v>
                </c:pt>
                <c:pt idx="13">
                  <c:v>85.548614501953125</c:v>
                </c:pt>
                <c:pt idx="14">
                  <c:v>85.826087951660156</c:v>
                </c:pt>
                <c:pt idx="16">
                  <c:v>82.00537109375</c:v>
                </c:pt>
                <c:pt idx="18">
                  <c:v>82.273948669433594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per!$M$1</c:f>
              <c:strCache>
                <c:ptCount val="1"/>
                <c:pt idx="0">
                  <c:v>Absolute Gini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per!$A$2:$A$20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per!$M$2:$M$20</c:f>
              <c:numCache>
                <c:formatCode>0.00</c:formatCode>
                <c:ptCount val="19"/>
                <c:pt idx="0">
                  <c:v>98.068123545794947</c:v>
                </c:pt>
                <c:pt idx="4">
                  <c:v>97.778812555275806</c:v>
                </c:pt>
                <c:pt idx="5">
                  <c:v>97.706484807646035</c:v>
                </c:pt>
                <c:pt idx="10">
                  <c:v>97.344846069497123</c:v>
                </c:pt>
                <c:pt idx="12">
                  <c:v>97.200190574237553</c:v>
                </c:pt>
                <c:pt idx="13">
                  <c:v>97.233661019150148</c:v>
                </c:pt>
                <c:pt idx="14">
                  <c:v>99.568324659392374</c:v>
                </c:pt>
                <c:pt idx="16">
                  <c:v>104.45785063654662</c:v>
                </c:pt>
                <c:pt idx="18">
                  <c:v>104.19514377160969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664728"/>
        <c:axId val="699665120"/>
      </c:lineChart>
      <c:catAx>
        <c:axId val="699664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65120"/>
        <c:crosses val="autoZero"/>
        <c:auto val="1"/>
        <c:lblAlgn val="ctr"/>
        <c:lblOffset val="100"/>
        <c:noMultiLvlLbl val="0"/>
      </c:catAx>
      <c:valAx>
        <c:axId val="699665120"/>
        <c:scaling>
          <c:orientation val="minMax"/>
          <c:min val="8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6472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0"/>
          <c:order val="0"/>
          <c:tx>
            <c:strRef>
              <c:f>pry!$B$1</c:f>
              <c:strCache>
                <c:ptCount val="1"/>
                <c:pt idx="0">
                  <c:v>% Unfair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cat>
            <c:numRef>
              <c:f>pry!$A$2:$A$20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pry!$B$2:$B$20</c:f>
              <c:numCache>
                <c:formatCode>0.00</c:formatCode>
                <c:ptCount val="19"/>
                <c:pt idx="0">
                  <c:v>52.356208801269531</c:v>
                </c:pt>
                <c:pt idx="4">
                  <c:v>39.769950866699219</c:v>
                </c:pt>
                <c:pt idx="5">
                  <c:v>52.241451263427734</c:v>
                </c:pt>
                <c:pt idx="10">
                  <c:v>39.078422546386719</c:v>
                </c:pt>
                <c:pt idx="12">
                  <c:v>52.416030883789063</c:v>
                </c:pt>
                <c:pt idx="13">
                  <c:v>48.397014617919922</c:v>
                </c:pt>
                <c:pt idx="14">
                  <c:v>55.64990234375</c:v>
                </c:pt>
                <c:pt idx="16">
                  <c:v>47.077713012695312</c:v>
                </c:pt>
                <c:pt idx="18">
                  <c:v>52.214103698730469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pry!$D$1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pry!$A$2:$A$20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pry!$D$2:$D$20</c:f>
              <c:numCache>
                <c:formatCode>0.00</c:formatCode>
                <c:ptCount val="19"/>
                <c:pt idx="0">
                  <c:v>88.026817321777344</c:v>
                </c:pt>
                <c:pt idx="4">
                  <c:v>94.464698791503906</c:v>
                </c:pt>
                <c:pt idx="5">
                  <c:v>92.275169372558594</c:v>
                </c:pt>
                <c:pt idx="10">
                  <c:v>93.774917602539062</c:v>
                </c:pt>
                <c:pt idx="12">
                  <c:v>82.6435546875</c:v>
                </c:pt>
                <c:pt idx="13">
                  <c:v>79.688186645507812</c:v>
                </c:pt>
                <c:pt idx="14">
                  <c:v>77.24798583984375</c:v>
                </c:pt>
                <c:pt idx="16">
                  <c:v>90.216224670410156</c:v>
                </c:pt>
                <c:pt idx="18">
                  <c:v>85.678321838378906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pry!$F$1</c:f>
              <c:strCache>
                <c:ptCount val="1"/>
                <c:pt idx="0">
                  <c:v>% Very Unfair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pry!$A$2:$A$20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pry!$F$2:$F$20</c:f>
              <c:numCache>
                <c:formatCode>0.00</c:formatCode>
                <c:ptCount val="19"/>
                <c:pt idx="0">
                  <c:v>35.670608520507813</c:v>
                </c:pt>
                <c:pt idx="4">
                  <c:v>54.694747924804688</c:v>
                </c:pt>
                <c:pt idx="5">
                  <c:v>40.033729553222656</c:v>
                </c:pt>
                <c:pt idx="10">
                  <c:v>54.696498870849609</c:v>
                </c:pt>
                <c:pt idx="12">
                  <c:v>30.227518081665039</c:v>
                </c:pt>
                <c:pt idx="13">
                  <c:v>31.291172027587891</c:v>
                </c:pt>
                <c:pt idx="14">
                  <c:v>21.59808349609375</c:v>
                </c:pt>
                <c:pt idx="16">
                  <c:v>43.138511657714844</c:v>
                </c:pt>
                <c:pt idx="18">
                  <c:v>33.464218139648438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665904"/>
        <c:axId val="699666296"/>
      </c:lineChart>
      <c:catAx>
        <c:axId val="69966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66296"/>
        <c:crosses val="autoZero"/>
        <c:auto val="1"/>
        <c:lblAlgn val="ctr"/>
        <c:lblOffset val="100"/>
        <c:noMultiLvlLbl val="0"/>
      </c:catAx>
      <c:valAx>
        <c:axId val="699666296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6590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942694663167115E-2"/>
          <c:y val="0.90544400699912508"/>
          <c:w val="0.83084413190489559"/>
          <c:h val="7.57015588105250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3350940507436555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pry!$D$1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pry!$A$2:$A$20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pry!$D$2:$D$20</c:f>
              <c:numCache>
                <c:formatCode>0.00</c:formatCode>
                <c:ptCount val="19"/>
                <c:pt idx="0">
                  <c:v>88.026817321777344</c:v>
                </c:pt>
                <c:pt idx="4">
                  <c:v>94.464698791503906</c:v>
                </c:pt>
                <c:pt idx="5">
                  <c:v>92.275169372558594</c:v>
                </c:pt>
                <c:pt idx="10">
                  <c:v>93.774917602539062</c:v>
                </c:pt>
                <c:pt idx="12">
                  <c:v>82.6435546875</c:v>
                </c:pt>
                <c:pt idx="13">
                  <c:v>79.688186645507812</c:v>
                </c:pt>
                <c:pt idx="14">
                  <c:v>77.24798583984375</c:v>
                </c:pt>
                <c:pt idx="16">
                  <c:v>90.216224670410156</c:v>
                </c:pt>
                <c:pt idx="18">
                  <c:v>85.678321838378906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667080"/>
        <c:axId val="699667472"/>
      </c:lineChart>
      <c:lineChart>
        <c:grouping val="standard"/>
        <c:varyColors val="0"/>
        <c:ser>
          <c:idx val="0"/>
          <c:order val="1"/>
          <c:tx>
            <c:strRef>
              <c:f>pry!$N$1</c:f>
              <c:strCache>
                <c:ptCount val="1"/>
                <c:pt idx="0">
                  <c:v>Gini coefficient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pry!$A$2:$A$20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pry!$N$2:$N$20</c:f>
              <c:numCache>
                <c:formatCode>0.00</c:formatCode>
                <c:ptCount val="19"/>
                <c:pt idx="0">
                  <c:v>0.5489243180116955</c:v>
                </c:pt>
                <c:pt idx="4">
                  <c:v>0.54830040279525527</c:v>
                </c:pt>
                <c:pt idx="5">
                  <c:v>0.5733553719844815</c:v>
                </c:pt>
                <c:pt idx="10">
                  <c:v>0.52089498528484224</c:v>
                </c:pt>
                <c:pt idx="12">
                  <c:v>0.49665879136834662</c:v>
                </c:pt>
                <c:pt idx="13">
                  <c:v>0.51834697076635761</c:v>
                </c:pt>
                <c:pt idx="14">
                  <c:v>0.52601081983698361</c:v>
                </c:pt>
                <c:pt idx="16">
                  <c:v>0.4829666149680012</c:v>
                </c:pt>
                <c:pt idx="18">
                  <c:v>0.51671718340495154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668256"/>
        <c:axId val="699667864"/>
      </c:lineChart>
      <c:catAx>
        <c:axId val="699667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67472"/>
        <c:crosses val="autoZero"/>
        <c:auto val="1"/>
        <c:lblAlgn val="ctr"/>
        <c:lblOffset val="100"/>
        <c:noMultiLvlLbl val="0"/>
      </c:catAx>
      <c:valAx>
        <c:axId val="699667472"/>
        <c:scaling>
          <c:orientation val="minMax"/>
          <c:max val="100"/>
          <c:min val="7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0"/>
              <c:y val="0.355831960572660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67080"/>
        <c:crosses val="autoZero"/>
        <c:crossBetween val="between"/>
        <c:majorUnit val="10"/>
      </c:valAx>
      <c:valAx>
        <c:axId val="699667864"/>
        <c:scaling>
          <c:orientation val="minMax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Gini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68256"/>
        <c:crosses val="max"/>
        <c:crossBetween val="between"/>
        <c:majorUnit val="5.000000000000001E-2"/>
      </c:valAx>
      <c:catAx>
        <c:axId val="699668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9667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pry!$D$1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pry!$A$2:$A$20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pry!$D$2:$D$20</c:f>
              <c:numCache>
                <c:formatCode>0.00</c:formatCode>
                <c:ptCount val="19"/>
                <c:pt idx="0">
                  <c:v>88.026817321777344</c:v>
                </c:pt>
                <c:pt idx="4">
                  <c:v>94.464698791503906</c:v>
                </c:pt>
                <c:pt idx="5">
                  <c:v>92.275169372558594</c:v>
                </c:pt>
                <c:pt idx="10">
                  <c:v>93.774917602539062</c:v>
                </c:pt>
                <c:pt idx="12">
                  <c:v>82.6435546875</c:v>
                </c:pt>
                <c:pt idx="13">
                  <c:v>79.688186645507812</c:v>
                </c:pt>
                <c:pt idx="14">
                  <c:v>77.24798583984375</c:v>
                </c:pt>
                <c:pt idx="16">
                  <c:v>90.216224670410156</c:v>
                </c:pt>
                <c:pt idx="18">
                  <c:v>85.678321838378906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669040"/>
        <c:axId val="699669432"/>
      </c:lineChart>
      <c:lineChart>
        <c:grouping val="standard"/>
        <c:varyColors val="0"/>
        <c:ser>
          <c:idx val="0"/>
          <c:order val="1"/>
          <c:tx>
            <c:strRef>
              <c:f>pry!$P$1</c:f>
              <c:strCache>
                <c:ptCount val="1"/>
                <c:pt idx="0">
                  <c:v>GE(0)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pry!$P$2:$P$20</c:f>
              <c:numCache>
                <c:formatCode>0.00</c:formatCode>
                <c:ptCount val="19"/>
                <c:pt idx="0">
                  <c:v>0.59174767766253999</c:v>
                </c:pt>
                <c:pt idx="4">
                  <c:v>0.56517698173860409</c:v>
                </c:pt>
                <c:pt idx="5">
                  <c:v>0.61901359456560501</c:v>
                </c:pt>
                <c:pt idx="10">
                  <c:v>0.50035725753104499</c:v>
                </c:pt>
                <c:pt idx="12">
                  <c:v>0.45101730294400028</c:v>
                </c:pt>
                <c:pt idx="13">
                  <c:v>0.49582518768312728</c:v>
                </c:pt>
                <c:pt idx="14">
                  <c:v>0.5155482121540611</c:v>
                </c:pt>
                <c:pt idx="16">
                  <c:v>0.41574266280359118</c:v>
                </c:pt>
                <c:pt idx="18">
                  <c:v>0.48320749104085858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pry!$I$1</c:f>
              <c:strCache>
                <c:ptCount val="1"/>
                <c:pt idx="0">
                  <c:v>Atk (1)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pry!$I$2:$I$20</c:f>
              <c:numCache>
                <c:formatCode>0.00</c:formatCode>
                <c:ptCount val="19"/>
                <c:pt idx="0">
                  <c:v>0.44664065460939339</c:v>
                </c:pt>
                <c:pt idx="4">
                  <c:v>0.4317404337087124</c:v>
                </c:pt>
                <c:pt idx="5">
                  <c:v>0.4615246692938168</c:v>
                </c:pt>
                <c:pt idx="10">
                  <c:v>0.39368598923129883</c:v>
                </c:pt>
                <c:pt idx="12">
                  <c:v>0.363020179543523</c:v>
                </c:pt>
                <c:pt idx="13">
                  <c:v>0.3909318956264568</c:v>
                </c:pt>
                <c:pt idx="14">
                  <c:v>0.40282687270083672</c:v>
                </c:pt>
                <c:pt idx="16">
                  <c:v>0.3401499473995806</c:v>
                </c:pt>
                <c:pt idx="18">
                  <c:v>0.38319817075834101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pry!$H$1</c:f>
              <c:strCache>
                <c:ptCount val="1"/>
                <c:pt idx="0">
                  <c:v>Atk (0.5)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pry!$H$2:$H$20</c:f>
              <c:numCache>
                <c:formatCode>0.00</c:formatCode>
                <c:ptCount val="19"/>
                <c:pt idx="0">
                  <c:v>0.2518308304052797</c:v>
                </c:pt>
                <c:pt idx="4">
                  <c:v>0.25583188747971342</c:v>
                </c:pt>
                <c:pt idx="5">
                  <c:v>0.29379022924807519</c:v>
                </c:pt>
                <c:pt idx="10">
                  <c:v>0.23939995904539499</c:v>
                </c:pt>
                <c:pt idx="12">
                  <c:v>0.20884859128596731</c:v>
                </c:pt>
                <c:pt idx="13">
                  <c:v>0.23579785953640001</c:v>
                </c:pt>
                <c:pt idx="14">
                  <c:v>0.2363264191851886</c:v>
                </c:pt>
                <c:pt idx="16">
                  <c:v>0.19481354211573579</c:v>
                </c:pt>
                <c:pt idx="18">
                  <c:v>0.23279309234373879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pry!$J$1</c:f>
              <c:strCache>
                <c:ptCount val="1"/>
                <c:pt idx="0">
                  <c:v>Atk (2)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pry!$J$2:$J$20</c:f>
              <c:numCache>
                <c:formatCode>0.00</c:formatCode>
                <c:ptCount val="19"/>
                <c:pt idx="0">
                  <c:v>0.72530793449759501</c:v>
                </c:pt>
                <c:pt idx="4">
                  <c:v>0.73075492054633173</c:v>
                </c:pt>
                <c:pt idx="5">
                  <c:v>0.69193743051417222</c:v>
                </c:pt>
                <c:pt idx="10">
                  <c:v>0.62272830805033297</c:v>
                </c:pt>
                <c:pt idx="12">
                  <c:v>0.59565934549010002</c:v>
                </c:pt>
                <c:pt idx="13">
                  <c:v>0.62118792305076176</c:v>
                </c:pt>
                <c:pt idx="14">
                  <c:v>0.67899753337963564</c:v>
                </c:pt>
                <c:pt idx="16">
                  <c:v>0.57301200970688271</c:v>
                </c:pt>
                <c:pt idx="18">
                  <c:v>0.60001218681675494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670216"/>
        <c:axId val="699669824"/>
      </c:lineChart>
      <c:catAx>
        <c:axId val="69966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69432"/>
        <c:crosses val="autoZero"/>
        <c:auto val="1"/>
        <c:lblAlgn val="ctr"/>
        <c:lblOffset val="100"/>
        <c:noMultiLvlLbl val="0"/>
      </c:catAx>
      <c:valAx>
        <c:axId val="699669432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69040"/>
        <c:crosses val="autoZero"/>
        <c:crossBetween val="between"/>
        <c:majorUnit val="20"/>
      </c:valAx>
      <c:valAx>
        <c:axId val="699669824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70216"/>
        <c:crosses val="max"/>
        <c:crossBetween val="between"/>
        <c:majorUnit val="0.2"/>
      </c:valAx>
      <c:catAx>
        <c:axId val="699670216"/>
        <c:scaling>
          <c:orientation val="minMax"/>
        </c:scaling>
        <c:delete val="1"/>
        <c:axPos val="b"/>
        <c:majorTickMark val="out"/>
        <c:minorTickMark val="none"/>
        <c:tickLblPos val="nextTo"/>
        <c:crossAx val="699669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952938174394868"/>
          <c:w val="1"/>
          <c:h val="9.2692840478273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pry!$D$1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pry!$A$2:$A$20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pry!$D$2:$D$20</c:f>
              <c:numCache>
                <c:formatCode>0.00</c:formatCode>
                <c:ptCount val="19"/>
                <c:pt idx="0">
                  <c:v>88.026817321777344</c:v>
                </c:pt>
                <c:pt idx="4">
                  <c:v>94.464698791503906</c:v>
                </c:pt>
                <c:pt idx="5">
                  <c:v>92.275169372558594</c:v>
                </c:pt>
                <c:pt idx="10">
                  <c:v>93.774917602539062</c:v>
                </c:pt>
                <c:pt idx="12">
                  <c:v>82.6435546875</c:v>
                </c:pt>
                <c:pt idx="13">
                  <c:v>79.688186645507812</c:v>
                </c:pt>
                <c:pt idx="14">
                  <c:v>77.24798583984375</c:v>
                </c:pt>
                <c:pt idx="16">
                  <c:v>90.216224670410156</c:v>
                </c:pt>
                <c:pt idx="18">
                  <c:v>85.678321838378906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pry!$M$1</c:f>
              <c:strCache>
                <c:ptCount val="1"/>
                <c:pt idx="0">
                  <c:v>Absolute Gini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pry!$A$2:$A$20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pry!$M$2:$M$20</c:f>
              <c:numCache>
                <c:formatCode>0.00</c:formatCode>
                <c:ptCount val="19"/>
                <c:pt idx="0">
                  <c:v>106.58260823275425</c:v>
                </c:pt>
                <c:pt idx="4">
                  <c:v>96.718616514067008</c:v>
                </c:pt>
                <c:pt idx="5">
                  <c:v>77.393099215624616</c:v>
                </c:pt>
                <c:pt idx="10">
                  <c:v>79.889210629366374</c:v>
                </c:pt>
                <c:pt idx="12">
                  <c:v>86.356052024264415</c:v>
                </c:pt>
                <c:pt idx="13">
                  <c:v>96.136276235508618</c:v>
                </c:pt>
                <c:pt idx="14">
                  <c:v>112.46835884492783</c:v>
                </c:pt>
                <c:pt idx="16">
                  <c:v>113.27165872839171</c:v>
                </c:pt>
                <c:pt idx="18">
                  <c:v>131.18411717664634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671000"/>
        <c:axId val="699671392"/>
      </c:lineChart>
      <c:catAx>
        <c:axId val="699671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71392"/>
        <c:crosses val="autoZero"/>
        <c:auto val="1"/>
        <c:lblAlgn val="ctr"/>
        <c:lblOffset val="100"/>
        <c:noMultiLvlLbl val="0"/>
      </c:catAx>
      <c:valAx>
        <c:axId val="699671392"/>
        <c:scaling>
          <c:orientation val="minMax"/>
          <c:min val="7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7100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0"/>
          <c:order val="0"/>
          <c:tx>
            <c:strRef>
              <c:f>slv!$B$1</c:f>
              <c:strCache>
                <c:ptCount val="1"/>
                <c:pt idx="0">
                  <c:v>% Unfair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cat>
            <c:numRef>
              <c:f>slv!$A$2:$A$20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slv!$B$2:$B$20</c:f>
              <c:numCache>
                <c:formatCode>0.00</c:formatCode>
                <c:ptCount val="19"/>
                <c:pt idx="0">
                  <c:v>44.343437194824219</c:v>
                </c:pt>
                <c:pt idx="4">
                  <c:v>49.069736480712891</c:v>
                </c:pt>
                <c:pt idx="5">
                  <c:v>59.146827697753906</c:v>
                </c:pt>
                <c:pt idx="10">
                  <c:v>46.386566162109375</c:v>
                </c:pt>
                <c:pt idx="12">
                  <c:v>48.043369293212891</c:v>
                </c:pt>
                <c:pt idx="13">
                  <c:v>61.556499481201172</c:v>
                </c:pt>
                <c:pt idx="14">
                  <c:v>54.414958953857422</c:v>
                </c:pt>
                <c:pt idx="16">
                  <c:v>58.877140045166016</c:v>
                </c:pt>
                <c:pt idx="18">
                  <c:v>56.643070220947266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slv!$D$1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slv!$A$2:$A$20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slv!$D$2:$D$20</c:f>
              <c:numCache>
                <c:formatCode>0.00</c:formatCode>
                <c:ptCount val="19"/>
                <c:pt idx="0">
                  <c:v>60.909091949462891</c:v>
                </c:pt>
                <c:pt idx="4">
                  <c:v>83.627105712890625</c:v>
                </c:pt>
                <c:pt idx="5">
                  <c:v>81.354698181152344</c:v>
                </c:pt>
                <c:pt idx="10">
                  <c:v>72.958442687988281</c:v>
                </c:pt>
                <c:pt idx="12">
                  <c:v>73.908576965332031</c:v>
                </c:pt>
                <c:pt idx="13">
                  <c:v>82.044471740722656</c:v>
                </c:pt>
                <c:pt idx="14">
                  <c:v>81.58642578125</c:v>
                </c:pt>
                <c:pt idx="16">
                  <c:v>69.912879943847656</c:v>
                </c:pt>
                <c:pt idx="18">
                  <c:v>76.740943908691406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slv!$F$1</c:f>
              <c:strCache>
                <c:ptCount val="1"/>
                <c:pt idx="0">
                  <c:v>% Very Unfair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slv!$A$2:$A$20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slv!$F$2:$F$20</c:f>
              <c:numCache>
                <c:formatCode>0.00</c:formatCode>
                <c:ptCount val="19"/>
                <c:pt idx="0">
                  <c:v>16.565656661987305</c:v>
                </c:pt>
                <c:pt idx="4">
                  <c:v>34.557373046875</c:v>
                </c:pt>
                <c:pt idx="5">
                  <c:v>22.207868576049805</c:v>
                </c:pt>
                <c:pt idx="10">
                  <c:v>26.571872711181641</c:v>
                </c:pt>
                <c:pt idx="12">
                  <c:v>25.865209579467773</c:v>
                </c:pt>
                <c:pt idx="13">
                  <c:v>20.487968444824219</c:v>
                </c:pt>
                <c:pt idx="14">
                  <c:v>27.171468734741211</c:v>
                </c:pt>
                <c:pt idx="16">
                  <c:v>11.035743713378906</c:v>
                </c:pt>
                <c:pt idx="18">
                  <c:v>20.097871780395508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672176"/>
        <c:axId val="699672568"/>
      </c:lineChart>
      <c:catAx>
        <c:axId val="699672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72568"/>
        <c:crosses val="autoZero"/>
        <c:auto val="1"/>
        <c:lblAlgn val="ctr"/>
        <c:lblOffset val="100"/>
        <c:noMultiLvlLbl val="0"/>
      </c:catAx>
      <c:valAx>
        <c:axId val="699672568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7217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942694663167115E-2"/>
          <c:y val="0.90544400699912508"/>
          <c:w val="0.83084413190489559"/>
          <c:h val="7.57015588105250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3350940507436555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slv!$D$1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slv!$A$2:$A$20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slv!$D$2:$D$20</c:f>
              <c:numCache>
                <c:formatCode>0.00</c:formatCode>
                <c:ptCount val="19"/>
                <c:pt idx="0">
                  <c:v>60.909091949462891</c:v>
                </c:pt>
                <c:pt idx="4">
                  <c:v>83.627105712890625</c:v>
                </c:pt>
                <c:pt idx="5">
                  <c:v>81.354698181152344</c:v>
                </c:pt>
                <c:pt idx="10">
                  <c:v>72.958442687988281</c:v>
                </c:pt>
                <c:pt idx="12">
                  <c:v>73.908576965332031</c:v>
                </c:pt>
                <c:pt idx="13">
                  <c:v>82.044471740722656</c:v>
                </c:pt>
                <c:pt idx="14">
                  <c:v>81.58642578125</c:v>
                </c:pt>
                <c:pt idx="16">
                  <c:v>69.912879943847656</c:v>
                </c:pt>
                <c:pt idx="18">
                  <c:v>76.740943908691406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673352"/>
        <c:axId val="699673744"/>
      </c:lineChart>
      <c:lineChart>
        <c:grouping val="standard"/>
        <c:varyColors val="0"/>
        <c:ser>
          <c:idx val="0"/>
          <c:order val="1"/>
          <c:tx>
            <c:strRef>
              <c:f>slv!$N$1</c:f>
              <c:strCache>
                <c:ptCount val="1"/>
                <c:pt idx="0">
                  <c:v>Gini coefficient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slv!$A$2:$A$20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slv!$N$2:$N$20</c:f>
              <c:numCache>
                <c:formatCode>0.00</c:formatCode>
                <c:ptCount val="19"/>
                <c:pt idx="0">
                  <c:v>0.54515711359921093</c:v>
                </c:pt>
                <c:pt idx="4">
                  <c:v>0.51144625799940435</c:v>
                </c:pt>
                <c:pt idx="5">
                  <c:v>0.51535317848816031</c:v>
                </c:pt>
                <c:pt idx="10">
                  <c:v>0.4523826855391177</c:v>
                </c:pt>
                <c:pt idx="12">
                  <c:v>0.45928238427736717</c:v>
                </c:pt>
                <c:pt idx="13">
                  <c:v>0.44525523069730572</c:v>
                </c:pt>
                <c:pt idx="14">
                  <c:v>0.42429788596475349</c:v>
                </c:pt>
                <c:pt idx="16">
                  <c:v>0.43512373618136069</c:v>
                </c:pt>
                <c:pt idx="18">
                  <c:v>0.41835669285033988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674528"/>
        <c:axId val="699674136"/>
      </c:lineChart>
      <c:catAx>
        <c:axId val="699673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73744"/>
        <c:crosses val="autoZero"/>
        <c:auto val="1"/>
        <c:lblAlgn val="ctr"/>
        <c:lblOffset val="100"/>
        <c:noMultiLvlLbl val="0"/>
      </c:catAx>
      <c:valAx>
        <c:axId val="699673744"/>
        <c:scaling>
          <c:orientation val="minMax"/>
          <c:max val="100"/>
          <c:min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0"/>
              <c:y val="0.355831960572660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73352"/>
        <c:crosses val="autoZero"/>
        <c:crossBetween val="between"/>
        <c:majorUnit val="10"/>
      </c:valAx>
      <c:valAx>
        <c:axId val="699674136"/>
        <c:scaling>
          <c:orientation val="minMax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Gini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74528"/>
        <c:crosses val="max"/>
        <c:crossBetween val="between"/>
        <c:majorUnit val="5.000000000000001E-2"/>
      </c:valAx>
      <c:catAx>
        <c:axId val="699674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96741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slv!$D$1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slv!$A$2:$A$20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slv!$D$2:$D$20</c:f>
              <c:numCache>
                <c:formatCode>0.00</c:formatCode>
                <c:ptCount val="19"/>
                <c:pt idx="0">
                  <c:v>60.909091949462891</c:v>
                </c:pt>
                <c:pt idx="4">
                  <c:v>83.627105712890625</c:v>
                </c:pt>
                <c:pt idx="5">
                  <c:v>81.354698181152344</c:v>
                </c:pt>
                <c:pt idx="10">
                  <c:v>72.958442687988281</c:v>
                </c:pt>
                <c:pt idx="12">
                  <c:v>73.908576965332031</c:v>
                </c:pt>
                <c:pt idx="13">
                  <c:v>82.044471740722656</c:v>
                </c:pt>
                <c:pt idx="14">
                  <c:v>81.58642578125</c:v>
                </c:pt>
                <c:pt idx="16">
                  <c:v>69.912879943847656</c:v>
                </c:pt>
                <c:pt idx="18">
                  <c:v>76.740943908691406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675312"/>
        <c:axId val="699675704"/>
      </c:lineChart>
      <c:lineChart>
        <c:grouping val="standard"/>
        <c:varyColors val="0"/>
        <c:ser>
          <c:idx val="0"/>
          <c:order val="1"/>
          <c:tx>
            <c:strRef>
              <c:f>slv!$P$1</c:f>
              <c:strCache>
                <c:ptCount val="1"/>
                <c:pt idx="0">
                  <c:v>GE(0)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slv!$P$2:$P$20</c:f>
              <c:numCache>
                <c:formatCode>0.00</c:formatCode>
                <c:ptCount val="19"/>
                <c:pt idx="0">
                  <c:v>0.59534422444366142</c:v>
                </c:pt>
                <c:pt idx="4">
                  <c:v>0.50026122234801096</c:v>
                </c:pt>
                <c:pt idx="5">
                  <c:v>0.51118924071066751</c:v>
                </c:pt>
                <c:pt idx="10">
                  <c:v>0.35181043321704608</c:v>
                </c:pt>
                <c:pt idx="12">
                  <c:v>0.36580441763478488</c:v>
                </c:pt>
                <c:pt idx="13">
                  <c:v>0.35162936126579281</c:v>
                </c:pt>
                <c:pt idx="14">
                  <c:v>0.30674761856754212</c:v>
                </c:pt>
                <c:pt idx="16">
                  <c:v>0.3253054199240582</c:v>
                </c:pt>
                <c:pt idx="18">
                  <c:v>0.29731804317440008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slv!$I$1</c:f>
              <c:strCache>
                <c:ptCount val="1"/>
                <c:pt idx="0">
                  <c:v>Atk (1)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slv!$I$2:$I$20</c:f>
              <c:numCache>
                <c:formatCode>0.00</c:formatCode>
                <c:ptCount val="19"/>
                <c:pt idx="0">
                  <c:v>0.44862726277587139</c:v>
                </c:pt>
                <c:pt idx="4">
                  <c:v>0.39362775895823793</c:v>
                </c:pt>
                <c:pt idx="5">
                  <c:v>0.40021813050638472</c:v>
                </c:pt>
                <c:pt idx="10">
                  <c:v>0.29658654683624142</c:v>
                </c:pt>
                <c:pt idx="12">
                  <c:v>0.30636154860712511</c:v>
                </c:pt>
                <c:pt idx="13">
                  <c:v>0.29645916685764578</c:v>
                </c:pt>
                <c:pt idx="14">
                  <c:v>0.26416371110915898</c:v>
                </c:pt>
                <c:pt idx="16">
                  <c:v>0.27769328691172213</c:v>
                </c:pt>
                <c:pt idx="18">
                  <c:v>0.2571922701383984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slv!$H$1</c:f>
              <c:strCache>
                <c:ptCount val="1"/>
                <c:pt idx="0">
                  <c:v>Atk (0.5)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slv!$H$2:$H$20</c:f>
              <c:numCache>
                <c:formatCode>0.00</c:formatCode>
                <c:ptCount val="19"/>
                <c:pt idx="0">
                  <c:v>0.24533682082414751</c:v>
                </c:pt>
                <c:pt idx="4">
                  <c:v>0.21812580774134219</c:v>
                </c:pt>
                <c:pt idx="5">
                  <c:v>0.2248888367254748</c:v>
                </c:pt>
                <c:pt idx="10">
                  <c:v>0.17148764442313599</c:v>
                </c:pt>
                <c:pt idx="12">
                  <c:v>0.17479770233663161</c:v>
                </c:pt>
                <c:pt idx="13">
                  <c:v>0.1620055865680429</c:v>
                </c:pt>
                <c:pt idx="14">
                  <c:v>0.14789396869723881</c:v>
                </c:pt>
                <c:pt idx="16">
                  <c:v>0.1620037024924561</c:v>
                </c:pt>
                <c:pt idx="18">
                  <c:v>0.1437130260480278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slv!$J$1</c:f>
              <c:strCache>
                <c:ptCount val="1"/>
                <c:pt idx="0">
                  <c:v>Atk (2)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slv!$J$2:$J$20</c:f>
              <c:numCache>
                <c:formatCode>0.00</c:formatCode>
                <c:ptCount val="19"/>
                <c:pt idx="0">
                  <c:v>0.7986734137791679</c:v>
                </c:pt>
                <c:pt idx="4">
                  <c:v>0.69741367776864194</c:v>
                </c:pt>
                <c:pt idx="5">
                  <c:v>0.70856525861625008</c:v>
                </c:pt>
                <c:pt idx="10">
                  <c:v>0.47865105407702979</c:v>
                </c:pt>
                <c:pt idx="12">
                  <c:v>0.50448450446969706</c:v>
                </c:pt>
                <c:pt idx="13">
                  <c:v>0.5195823059571838</c:v>
                </c:pt>
                <c:pt idx="14">
                  <c:v>0.43906465066771372</c:v>
                </c:pt>
                <c:pt idx="16">
                  <c:v>0.44903278226459109</c:v>
                </c:pt>
                <c:pt idx="18">
                  <c:v>0.42954214262711932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041456"/>
        <c:axId val="711041064"/>
      </c:lineChart>
      <c:catAx>
        <c:axId val="699675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75704"/>
        <c:crosses val="autoZero"/>
        <c:auto val="1"/>
        <c:lblAlgn val="ctr"/>
        <c:lblOffset val="100"/>
        <c:noMultiLvlLbl val="0"/>
      </c:catAx>
      <c:valAx>
        <c:axId val="699675704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699675312"/>
        <c:crosses val="autoZero"/>
        <c:crossBetween val="between"/>
        <c:majorUnit val="20"/>
      </c:valAx>
      <c:valAx>
        <c:axId val="711041064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1041456"/>
        <c:crosses val="max"/>
        <c:crossBetween val="between"/>
        <c:majorUnit val="0.2"/>
      </c:valAx>
      <c:catAx>
        <c:axId val="711041456"/>
        <c:scaling>
          <c:orientation val="minMax"/>
        </c:scaling>
        <c:delete val="1"/>
        <c:axPos val="b"/>
        <c:majorTickMark val="out"/>
        <c:minorTickMark val="none"/>
        <c:tickLblPos val="nextTo"/>
        <c:crossAx val="711041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952938174394868"/>
          <c:w val="1"/>
          <c:h val="9.2692840478273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slv!$D$1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slv!$A$2:$A$20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slv!$D$2:$D$20</c:f>
              <c:numCache>
                <c:formatCode>0.00</c:formatCode>
                <c:ptCount val="19"/>
                <c:pt idx="0">
                  <c:v>60.909091949462891</c:v>
                </c:pt>
                <c:pt idx="4">
                  <c:v>83.627105712890625</c:v>
                </c:pt>
                <c:pt idx="5">
                  <c:v>81.354698181152344</c:v>
                </c:pt>
                <c:pt idx="10">
                  <c:v>72.958442687988281</c:v>
                </c:pt>
                <c:pt idx="12">
                  <c:v>73.908576965332031</c:v>
                </c:pt>
                <c:pt idx="13">
                  <c:v>82.044471740722656</c:v>
                </c:pt>
                <c:pt idx="14">
                  <c:v>81.58642578125</c:v>
                </c:pt>
                <c:pt idx="16">
                  <c:v>69.912879943847656</c:v>
                </c:pt>
                <c:pt idx="18">
                  <c:v>76.740943908691406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slv!$M$1</c:f>
              <c:strCache>
                <c:ptCount val="1"/>
                <c:pt idx="0">
                  <c:v>Absolute Gini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slv!$A$2:$A$20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slv!$M$2:$M$20</c:f>
              <c:numCache>
                <c:formatCode>0.00</c:formatCode>
                <c:ptCount val="19"/>
                <c:pt idx="0">
                  <c:v>102.08406187511572</c:v>
                </c:pt>
                <c:pt idx="4">
                  <c:v>111.71875270282831</c:v>
                </c:pt>
                <c:pt idx="5">
                  <c:v>114.27861344758841</c:v>
                </c:pt>
                <c:pt idx="10">
                  <c:v>101.91666797473589</c:v>
                </c:pt>
                <c:pt idx="12">
                  <c:v>98.113760006577763</c:v>
                </c:pt>
                <c:pt idx="13">
                  <c:v>91.613264475577054</c:v>
                </c:pt>
                <c:pt idx="14">
                  <c:v>86.382501476320073</c:v>
                </c:pt>
                <c:pt idx="16">
                  <c:v>98.620855028181424</c:v>
                </c:pt>
                <c:pt idx="18">
                  <c:v>95.271526136412007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042240"/>
        <c:axId val="711042632"/>
      </c:lineChart>
      <c:catAx>
        <c:axId val="711042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1042632"/>
        <c:crosses val="autoZero"/>
        <c:auto val="1"/>
        <c:lblAlgn val="ctr"/>
        <c:lblOffset val="100"/>
        <c:noMultiLvlLbl val="0"/>
      </c:catAx>
      <c:valAx>
        <c:axId val="711042632"/>
        <c:scaling>
          <c:orientation val="minMax"/>
          <c:min val="6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104224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0"/>
          <c:order val="0"/>
          <c:tx>
            <c:strRef>
              <c:f>ury!$B$1</c:f>
              <c:strCache>
                <c:ptCount val="1"/>
                <c:pt idx="0">
                  <c:v>% Unfair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cat>
            <c:numRef>
              <c:f>ury!$A$2:$A$20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ury!$B$2:$B$20</c:f>
              <c:numCache>
                <c:formatCode>0.00</c:formatCode>
                <c:ptCount val="19"/>
                <c:pt idx="0">
                  <c:v>52.386272430419922</c:v>
                </c:pt>
                <c:pt idx="4">
                  <c:v>60.536361694335938</c:v>
                </c:pt>
                <c:pt idx="5">
                  <c:v>61.196388244628906</c:v>
                </c:pt>
                <c:pt idx="10">
                  <c:v>58.745582580566406</c:v>
                </c:pt>
                <c:pt idx="12">
                  <c:v>56.681613922119141</c:v>
                </c:pt>
                <c:pt idx="13">
                  <c:v>59.485816955566406</c:v>
                </c:pt>
                <c:pt idx="14">
                  <c:v>60.392505645751953</c:v>
                </c:pt>
                <c:pt idx="16">
                  <c:v>51.933216094970703</c:v>
                </c:pt>
                <c:pt idx="18">
                  <c:v>56.195461273193359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ury!$D$1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ury!$A$2:$A$20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ury!$D$2:$D$20</c:f>
              <c:numCache>
                <c:formatCode>0.00</c:formatCode>
                <c:ptCount val="19"/>
                <c:pt idx="0">
                  <c:v>78.871795654296875</c:v>
                </c:pt>
                <c:pt idx="4">
                  <c:v>91.863258361816406</c:v>
                </c:pt>
                <c:pt idx="5">
                  <c:v>91.610542297363281</c:v>
                </c:pt>
                <c:pt idx="10">
                  <c:v>79.505302429199219</c:v>
                </c:pt>
                <c:pt idx="12">
                  <c:v>66.188339233398437</c:v>
                </c:pt>
                <c:pt idx="13">
                  <c:v>72.78369140625</c:v>
                </c:pt>
                <c:pt idx="14">
                  <c:v>71.543266296386719</c:v>
                </c:pt>
                <c:pt idx="16">
                  <c:v>63.444637298583984</c:v>
                </c:pt>
                <c:pt idx="18">
                  <c:v>65.706809997558594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ury!$F$1</c:f>
              <c:strCache>
                <c:ptCount val="1"/>
                <c:pt idx="0">
                  <c:v>% Very Unfair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ury!$A$2:$A$20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ury!$F$2:$F$20</c:f>
              <c:numCache>
                <c:formatCode>0.00</c:formatCode>
                <c:ptCount val="19"/>
                <c:pt idx="0">
                  <c:v>26.485528945922852</c:v>
                </c:pt>
                <c:pt idx="4">
                  <c:v>31.326898574829102</c:v>
                </c:pt>
                <c:pt idx="5">
                  <c:v>30.414157867431641</c:v>
                </c:pt>
                <c:pt idx="10">
                  <c:v>20.759716033935547</c:v>
                </c:pt>
                <c:pt idx="12">
                  <c:v>9.5067262649536133</c:v>
                </c:pt>
                <c:pt idx="13">
                  <c:v>13.297872543334961</c:v>
                </c:pt>
                <c:pt idx="14">
                  <c:v>11.150757789611816</c:v>
                </c:pt>
                <c:pt idx="16">
                  <c:v>11.511423110961914</c:v>
                </c:pt>
                <c:pt idx="18">
                  <c:v>9.5113439559936523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043416"/>
        <c:axId val="711043808"/>
      </c:lineChart>
      <c:catAx>
        <c:axId val="711043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1043808"/>
        <c:crosses val="autoZero"/>
        <c:auto val="1"/>
        <c:lblAlgn val="ctr"/>
        <c:lblOffset val="100"/>
        <c:noMultiLvlLbl val="0"/>
      </c:catAx>
      <c:valAx>
        <c:axId val="711043808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104341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942694663167115E-2"/>
          <c:y val="0.90544400699912508"/>
          <c:w val="0.83084413190489559"/>
          <c:h val="7.57015588105250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3350940507436555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ury!$D$1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ury!$A$2:$A$20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ury!$D$2:$D$20</c:f>
              <c:numCache>
                <c:formatCode>0.00</c:formatCode>
                <c:ptCount val="19"/>
                <c:pt idx="0">
                  <c:v>78.871795654296875</c:v>
                </c:pt>
                <c:pt idx="4">
                  <c:v>91.863258361816406</c:v>
                </c:pt>
                <c:pt idx="5">
                  <c:v>91.610542297363281</c:v>
                </c:pt>
                <c:pt idx="10">
                  <c:v>79.505302429199219</c:v>
                </c:pt>
                <c:pt idx="12">
                  <c:v>66.188339233398437</c:v>
                </c:pt>
                <c:pt idx="13">
                  <c:v>72.78369140625</c:v>
                </c:pt>
                <c:pt idx="14">
                  <c:v>71.543266296386719</c:v>
                </c:pt>
                <c:pt idx="16">
                  <c:v>63.444637298583984</c:v>
                </c:pt>
                <c:pt idx="18">
                  <c:v>65.706809997558594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044592"/>
        <c:axId val="711044984"/>
      </c:lineChart>
      <c:lineChart>
        <c:grouping val="standard"/>
        <c:varyColors val="0"/>
        <c:ser>
          <c:idx val="0"/>
          <c:order val="1"/>
          <c:tx>
            <c:strRef>
              <c:f>ury!$N$1</c:f>
              <c:strCache>
                <c:ptCount val="1"/>
                <c:pt idx="0">
                  <c:v>Gini coefficient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ury!$A$2:$A$20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ury!$N$2:$N$20</c:f>
              <c:numCache>
                <c:formatCode>0.00</c:formatCode>
                <c:ptCount val="19"/>
                <c:pt idx="0">
                  <c:v>0.42728695987510001</c:v>
                </c:pt>
                <c:pt idx="4">
                  <c:v>0.46167231870530528</c:v>
                </c:pt>
                <c:pt idx="5">
                  <c:v>0.46655236747263051</c:v>
                </c:pt>
                <c:pt idx="10">
                  <c:v>0.47909997120288828</c:v>
                </c:pt>
                <c:pt idx="12">
                  <c:v>0.4647655815864794</c:v>
                </c:pt>
                <c:pt idx="13">
                  <c:v>0.45482157628613201</c:v>
                </c:pt>
                <c:pt idx="14">
                  <c:v>0.43591302549013988</c:v>
                </c:pt>
                <c:pt idx="16">
                  <c:v>0.42083306891088518</c:v>
                </c:pt>
                <c:pt idx="18">
                  <c:v>0.41795824834723833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045768"/>
        <c:axId val="711045376"/>
      </c:lineChart>
      <c:catAx>
        <c:axId val="711044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1044984"/>
        <c:crosses val="autoZero"/>
        <c:auto val="1"/>
        <c:lblAlgn val="ctr"/>
        <c:lblOffset val="100"/>
        <c:noMultiLvlLbl val="0"/>
      </c:catAx>
      <c:valAx>
        <c:axId val="711044984"/>
        <c:scaling>
          <c:orientation val="minMax"/>
          <c:max val="100"/>
          <c:min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0"/>
              <c:y val="0.355831960572660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1044592"/>
        <c:crosses val="autoZero"/>
        <c:crossBetween val="between"/>
        <c:majorUnit val="10"/>
      </c:valAx>
      <c:valAx>
        <c:axId val="711045376"/>
        <c:scaling>
          <c:orientation val="minMax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Gini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1045768"/>
        <c:crosses val="max"/>
        <c:crossBetween val="between"/>
        <c:majorUnit val="5.000000000000001E-2"/>
      </c:valAx>
      <c:catAx>
        <c:axId val="7110457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11045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ury!$D$1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ury!$A$2:$A$20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ury!$D$2:$D$20</c:f>
              <c:numCache>
                <c:formatCode>0.00</c:formatCode>
                <c:ptCount val="19"/>
                <c:pt idx="0">
                  <c:v>78.871795654296875</c:v>
                </c:pt>
                <c:pt idx="4">
                  <c:v>91.863258361816406</c:v>
                </c:pt>
                <c:pt idx="5">
                  <c:v>91.610542297363281</c:v>
                </c:pt>
                <c:pt idx="10">
                  <c:v>79.505302429199219</c:v>
                </c:pt>
                <c:pt idx="12">
                  <c:v>66.188339233398437</c:v>
                </c:pt>
                <c:pt idx="13">
                  <c:v>72.78369140625</c:v>
                </c:pt>
                <c:pt idx="14">
                  <c:v>71.543266296386719</c:v>
                </c:pt>
                <c:pt idx="16">
                  <c:v>63.444637298583984</c:v>
                </c:pt>
                <c:pt idx="18">
                  <c:v>65.706809997558594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046552"/>
        <c:axId val="711046944"/>
      </c:lineChart>
      <c:lineChart>
        <c:grouping val="standard"/>
        <c:varyColors val="0"/>
        <c:ser>
          <c:idx val="0"/>
          <c:order val="1"/>
          <c:tx>
            <c:strRef>
              <c:f>ury!$P$1</c:f>
              <c:strCache>
                <c:ptCount val="1"/>
                <c:pt idx="0">
                  <c:v>GE(0)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ury!$P$2:$P$20</c:f>
              <c:numCache>
                <c:formatCode>0.00</c:formatCode>
                <c:ptCount val="19"/>
                <c:pt idx="0">
                  <c:v>0.32214496558477268</c:v>
                </c:pt>
                <c:pt idx="4">
                  <c:v>0.37531838505328879</c:v>
                </c:pt>
                <c:pt idx="5">
                  <c:v>0.38198166342311213</c:v>
                </c:pt>
                <c:pt idx="10">
                  <c:v>0.40067938280905002</c:v>
                </c:pt>
                <c:pt idx="12">
                  <c:v>0.37685615136926709</c:v>
                </c:pt>
                <c:pt idx="13">
                  <c:v>0.35883071693464108</c:v>
                </c:pt>
                <c:pt idx="14">
                  <c:v>0.33267790600800312</c:v>
                </c:pt>
                <c:pt idx="16">
                  <c:v>0.31375731978379651</c:v>
                </c:pt>
                <c:pt idx="18">
                  <c:v>0.30877420423485141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ury!$I$1</c:f>
              <c:strCache>
                <c:ptCount val="1"/>
                <c:pt idx="0">
                  <c:v>Atk (1)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ury!$I$2:$I$20</c:f>
              <c:numCache>
                <c:formatCode>0.00</c:formatCode>
                <c:ptCount val="19"/>
                <c:pt idx="0">
                  <c:v>0.27540685835267892</c:v>
                </c:pt>
                <c:pt idx="4">
                  <c:v>0.31292950901148753</c:v>
                </c:pt>
                <c:pt idx="5">
                  <c:v>0.31749243205684169</c:v>
                </c:pt>
                <c:pt idx="10">
                  <c:v>0.33013520321844508</c:v>
                </c:pt>
                <c:pt idx="12">
                  <c:v>0.3139852509189141</c:v>
                </c:pt>
                <c:pt idx="13">
                  <c:v>0.3015074156903309</c:v>
                </c:pt>
                <c:pt idx="14">
                  <c:v>0.28299890128660438</c:v>
                </c:pt>
                <c:pt idx="16">
                  <c:v>0.2693036678116163</c:v>
                </c:pt>
                <c:pt idx="18">
                  <c:v>0.26565343634802607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ury!$H$1</c:f>
              <c:strCache>
                <c:ptCount val="1"/>
                <c:pt idx="0">
                  <c:v>Atk (0.5)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ury!$H$2:$H$20</c:f>
              <c:numCache>
                <c:formatCode>0.00</c:formatCode>
                <c:ptCount val="19"/>
                <c:pt idx="0">
                  <c:v>0.14872964975897099</c:v>
                </c:pt>
                <c:pt idx="4">
                  <c:v>0.1730065473804219</c:v>
                </c:pt>
                <c:pt idx="5">
                  <c:v>0.1764115011989541</c:v>
                </c:pt>
                <c:pt idx="10">
                  <c:v>0.1867621524496996</c:v>
                </c:pt>
                <c:pt idx="12">
                  <c:v>0.1768291292121705</c:v>
                </c:pt>
                <c:pt idx="13">
                  <c:v>0.16811421187457751</c:v>
                </c:pt>
                <c:pt idx="14">
                  <c:v>0.15461318311770081</c:v>
                </c:pt>
                <c:pt idx="16">
                  <c:v>0.14422426798835311</c:v>
                </c:pt>
                <c:pt idx="18">
                  <c:v>0.1422618199288517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ury!$J$1</c:f>
              <c:strCache>
                <c:ptCount val="1"/>
                <c:pt idx="0">
                  <c:v>Atk (2)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ury!$J$2:$J$20</c:f>
              <c:numCache>
                <c:formatCode>0.00</c:formatCode>
                <c:ptCount val="19"/>
                <c:pt idx="0">
                  <c:v>0.49056511627550359</c:v>
                </c:pt>
                <c:pt idx="4">
                  <c:v>0.52227170877176421</c:v>
                </c:pt>
                <c:pt idx="5">
                  <c:v>0.52225156032089781</c:v>
                </c:pt>
                <c:pt idx="10">
                  <c:v>0.52869613029587281</c:v>
                </c:pt>
                <c:pt idx="12">
                  <c:v>0.51173540601777012</c:v>
                </c:pt>
                <c:pt idx="13">
                  <c:v>0.49688784264146779</c:v>
                </c:pt>
                <c:pt idx="14">
                  <c:v>0.48432596492155539</c:v>
                </c:pt>
                <c:pt idx="16">
                  <c:v>0.47654746363460398</c:v>
                </c:pt>
                <c:pt idx="18">
                  <c:v>0.47064181726950061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047728"/>
        <c:axId val="711047336"/>
      </c:lineChart>
      <c:catAx>
        <c:axId val="711046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1046944"/>
        <c:crosses val="autoZero"/>
        <c:auto val="1"/>
        <c:lblAlgn val="ctr"/>
        <c:lblOffset val="100"/>
        <c:noMultiLvlLbl val="0"/>
      </c:catAx>
      <c:valAx>
        <c:axId val="711046944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1046552"/>
        <c:crosses val="autoZero"/>
        <c:crossBetween val="between"/>
        <c:majorUnit val="20"/>
      </c:valAx>
      <c:valAx>
        <c:axId val="711047336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1047728"/>
        <c:crosses val="max"/>
        <c:crossBetween val="between"/>
        <c:majorUnit val="0.2"/>
      </c:valAx>
      <c:catAx>
        <c:axId val="711047728"/>
        <c:scaling>
          <c:orientation val="minMax"/>
        </c:scaling>
        <c:delete val="1"/>
        <c:axPos val="b"/>
        <c:majorTickMark val="out"/>
        <c:minorTickMark val="none"/>
        <c:tickLblPos val="nextTo"/>
        <c:crossAx val="711047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952938174394868"/>
          <c:w val="1"/>
          <c:h val="9.2692840478273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ury!$D$1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ury!$A$2:$A$20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ury!$D$2:$D$20</c:f>
              <c:numCache>
                <c:formatCode>0.00</c:formatCode>
                <c:ptCount val="19"/>
                <c:pt idx="0">
                  <c:v>78.871795654296875</c:v>
                </c:pt>
                <c:pt idx="4">
                  <c:v>91.863258361816406</c:v>
                </c:pt>
                <c:pt idx="5">
                  <c:v>91.610542297363281</c:v>
                </c:pt>
                <c:pt idx="10">
                  <c:v>79.505302429199219</c:v>
                </c:pt>
                <c:pt idx="12">
                  <c:v>66.188339233398437</c:v>
                </c:pt>
                <c:pt idx="13">
                  <c:v>72.78369140625</c:v>
                </c:pt>
                <c:pt idx="14">
                  <c:v>71.543266296386719</c:v>
                </c:pt>
                <c:pt idx="16">
                  <c:v>63.444637298583984</c:v>
                </c:pt>
                <c:pt idx="18">
                  <c:v>65.706809997558594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ury!$M$1</c:f>
              <c:strCache>
                <c:ptCount val="1"/>
                <c:pt idx="0">
                  <c:v>Absolute Gini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ury!$A$2:$A$20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ury!$M$2:$M$20</c:f>
              <c:numCache>
                <c:formatCode>0.00</c:formatCode>
                <c:ptCount val="19"/>
                <c:pt idx="0">
                  <c:v>93.239168684143152</c:v>
                </c:pt>
                <c:pt idx="4">
                  <c:v>97.95924595707325</c:v>
                </c:pt>
                <c:pt idx="5">
                  <c:v>88.306061235263016</c:v>
                </c:pt>
                <c:pt idx="10">
                  <c:v>92.075640919638232</c:v>
                </c:pt>
                <c:pt idx="12">
                  <c:v>104.51817465283138</c:v>
                </c:pt>
                <c:pt idx="13">
                  <c:v>104.1839586695239</c:v>
                </c:pt>
                <c:pt idx="14">
                  <c:v>104.41589843367191</c:v>
                </c:pt>
                <c:pt idx="16">
                  <c:v>105.29761374294337</c:v>
                </c:pt>
                <c:pt idx="18">
                  <c:v>110.00420922760183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048512"/>
        <c:axId val="711048904"/>
      </c:lineChart>
      <c:catAx>
        <c:axId val="711048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1048904"/>
        <c:crosses val="autoZero"/>
        <c:auto val="1"/>
        <c:lblAlgn val="ctr"/>
        <c:lblOffset val="100"/>
        <c:noMultiLvlLbl val="0"/>
      </c:catAx>
      <c:valAx>
        <c:axId val="711048904"/>
        <c:scaling>
          <c:orientation val="minMax"/>
          <c:min val="6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104851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0"/>
          <c:order val="0"/>
          <c:tx>
            <c:strRef>
              <c:f>ven!$B$1</c:f>
              <c:strCache>
                <c:ptCount val="1"/>
                <c:pt idx="0">
                  <c:v>% Unfair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cat>
            <c:numRef>
              <c:f>ven!$A$2:$A$20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ven!$B$2:$B$20</c:f>
              <c:numCache>
                <c:formatCode>0.00</c:formatCode>
                <c:ptCount val="19"/>
                <c:pt idx="0">
                  <c:v>48.164333343505859</c:v>
                </c:pt>
                <c:pt idx="4">
                  <c:v>47.398666381835938</c:v>
                </c:pt>
                <c:pt idx="5">
                  <c:v>50.312580108642578</c:v>
                </c:pt>
                <c:pt idx="10">
                  <c:v>32.354129791259766</c:v>
                </c:pt>
                <c:pt idx="12">
                  <c:v>44.297832489013672</c:v>
                </c:pt>
                <c:pt idx="13">
                  <c:v>40.582855224609375</c:v>
                </c:pt>
                <c:pt idx="14">
                  <c:v>50.146961212158203</c:v>
                </c:pt>
                <c:pt idx="16">
                  <c:v>32.789699554443359</c:v>
                </c:pt>
                <c:pt idx="18">
                  <c:v>40.584693908691406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ven!$D$1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ven!$A$2:$A$20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ven!$D$2:$D$20</c:f>
              <c:numCache>
                <c:formatCode>0.00</c:formatCode>
                <c:ptCount val="19"/>
                <c:pt idx="0">
                  <c:v>85.227272033691406</c:v>
                </c:pt>
                <c:pt idx="4">
                  <c:v>72.18853759765625</c:v>
                </c:pt>
                <c:pt idx="5">
                  <c:v>74.600372314453125</c:v>
                </c:pt>
                <c:pt idx="10">
                  <c:v>43.096889495849609</c:v>
                </c:pt>
                <c:pt idx="12">
                  <c:v>66.365516662597656</c:v>
                </c:pt>
                <c:pt idx="13">
                  <c:v>59.727310180664062</c:v>
                </c:pt>
                <c:pt idx="14">
                  <c:v>67.350395202636719</c:v>
                </c:pt>
                <c:pt idx="16">
                  <c:v>55.622314453125</c:v>
                </c:pt>
                <c:pt idx="18">
                  <c:v>74.032676696777344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ven!$F$1</c:f>
              <c:strCache>
                <c:ptCount val="1"/>
                <c:pt idx="0">
                  <c:v>% Very Unfair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ven!$A$2:$A$20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ven!$F$2:$F$20</c:f>
              <c:numCache>
                <c:formatCode>0.00</c:formatCode>
                <c:ptCount val="19"/>
                <c:pt idx="0">
                  <c:v>37.062938690185547</c:v>
                </c:pt>
                <c:pt idx="4">
                  <c:v>24.78986930847168</c:v>
                </c:pt>
                <c:pt idx="5">
                  <c:v>24.287786483764648</c:v>
                </c:pt>
                <c:pt idx="10">
                  <c:v>10.742757797241211</c:v>
                </c:pt>
                <c:pt idx="12">
                  <c:v>22.067686080932617</c:v>
                </c:pt>
                <c:pt idx="13">
                  <c:v>19.144453048706055</c:v>
                </c:pt>
                <c:pt idx="14">
                  <c:v>17.203435897827148</c:v>
                </c:pt>
                <c:pt idx="16">
                  <c:v>22.832618713378906</c:v>
                </c:pt>
                <c:pt idx="18">
                  <c:v>33.447978973388672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049688"/>
        <c:axId val="711050080"/>
      </c:lineChart>
      <c:catAx>
        <c:axId val="711049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1050080"/>
        <c:crosses val="autoZero"/>
        <c:auto val="1"/>
        <c:lblAlgn val="ctr"/>
        <c:lblOffset val="100"/>
        <c:noMultiLvlLbl val="0"/>
      </c:catAx>
      <c:valAx>
        <c:axId val="711050080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104968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942694663167115E-2"/>
          <c:y val="0.90544400699912508"/>
          <c:w val="0.83084413190489559"/>
          <c:h val="7.57015588105250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3350940507436555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ven!$D$1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ven!$A$2:$A$20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ven!$D$2:$D$20</c:f>
              <c:numCache>
                <c:formatCode>0.00</c:formatCode>
                <c:ptCount val="19"/>
                <c:pt idx="0">
                  <c:v>85.227272033691406</c:v>
                </c:pt>
                <c:pt idx="4">
                  <c:v>72.18853759765625</c:v>
                </c:pt>
                <c:pt idx="5">
                  <c:v>74.600372314453125</c:v>
                </c:pt>
                <c:pt idx="10">
                  <c:v>43.096889495849609</c:v>
                </c:pt>
                <c:pt idx="12">
                  <c:v>66.365516662597656</c:v>
                </c:pt>
                <c:pt idx="13">
                  <c:v>59.727310180664062</c:v>
                </c:pt>
                <c:pt idx="14">
                  <c:v>67.350395202636719</c:v>
                </c:pt>
                <c:pt idx="16">
                  <c:v>55.622314453125</c:v>
                </c:pt>
                <c:pt idx="18">
                  <c:v>74.032676696777344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050864"/>
        <c:axId val="711051256"/>
      </c:lineChart>
      <c:lineChart>
        <c:grouping val="standard"/>
        <c:varyColors val="0"/>
        <c:ser>
          <c:idx val="0"/>
          <c:order val="1"/>
          <c:tx>
            <c:strRef>
              <c:f>ven!$N$1</c:f>
              <c:strCache>
                <c:ptCount val="1"/>
                <c:pt idx="0">
                  <c:v>Gini coefficient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ven!$A$2:$A$20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ven!$N$2:$N$20</c:f>
              <c:numCache>
                <c:formatCode>0.00</c:formatCode>
                <c:ptCount val="19"/>
                <c:pt idx="0">
                  <c:v>0.4824846717988166</c:v>
                </c:pt>
                <c:pt idx="4">
                  <c:v>0.4689389786781733</c:v>
                </c:pt>
                <c:pt idx="5">
                  <c:v>0.48154679634421999</c:v>
                </c:pt>
                <c:pt idx="10">
                  <c:v>0.41931698110804688</c:v>
                </c:pt>
                <c:pt idx="12">
                  <c:v>0.4072958499726651</c:v>
                </c:pt>
                <c:pt idx="13">
                  <c:v>0.39077667307517039</c:v>
                </c:pt>
                <c:pt idx="14">
                  <c:v>0.39415910973962642</c:v>
                </c:pt>
                <c:pt idx="16">
                  <c:v>0.40829281425494451</c:v>
                </c:pt>
                <c:pt idx="18">
                  <c:v>0.42242651877026383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052040"/>
        <c:axId val="711051648"/>
      </c:lineChart>
      <c:catAx>
        <c:axId val="711050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1051256"/>
        <c:crosses val="autoZero"/>
        <c:auto val="1"/>
        <c:lblAlgn val="ctr"/>
        <c:lblOffset val="100"/>
        <c:noMultiLvlLbl val="0"/>
      </c:catAx>
      <c:valAx>
        <c:axId val="711051256"/>
        <c:scaling>
          <c:orientation val="minMax"/>
          <c:max val="100"/>
          <c:min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0"/>
              <c:y val="0.355831960572660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1050864"/>
        <c:crosses val="autoZero"/>
        <c:crossBetween val="between"/>
        <c:majorUnit val="10"/>
      </c:valAx>
      <c:valAx>
        <c:axId val="711051648"/>
        <c:scaling>
          <c:orientation val="minMax"/>
          <c:min val="0.35000000000000003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Gini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1052040"/>
        <c:crosses val="max"/>
        <c:crossBetween val="between"/>
        <c:majorUnit val="5.000000000000001E-2"/>
      </c:valAx>
      <c:catAx>
        <c:axId val="711052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11051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ven!$D$1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ven!$A$2:$A$20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ven!$D$2:$D$20</c:f>
              <c:numCache>
                <c:formatCode>0.00</c:formatCode>
                <c:ptCount val="19"/>
                <c:pt idx="0">
                  <c:v>85.227272033691406</c:v>
                </c:pt>
                <c:pt idx="4">
                  <c:v>72.18853759765625</c:v>
                </c:pt>
                <c:pt idx="5">
                  <c:v>74.600372314453125</c:v>
                </c:pt>
                <c:pt idx="10">
                  <c:v>43.096889495849609</c:v>
                </c:pt>
                <c:pt idx="12">
                  <c:v>66.365516662597656</c:v>
                </c:pt>
                <c:pt idx="13">
                  <c:v>59.727310180664062</c:v>
                </c:pt>
                <c:pt idx="14">
                  <c:v>67.350395202636719</c:v>
                </c:pt>
                <c:pt idx="16">
                  <c:v>55.622314453125</c:v>
                </c:pt>
                <c:pt idx="18">
                  <c:v>74.032676696777344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052824"/>
        <c:axId val="711053216"/>
      </c:lineChart>
      <c:lineChart>
        <c:grouping val="standard"/>
        <c:varyColors val="0"/>
        <c:ser>
          <c:idx val="0"/>
          <c:order val="1"/>
          <c:tx>
            <c:strRef>
              <c:f>ven!$P$1</c:f>
              <c:strCache>
                <c:ptCount val="1"/>
                <c:pt idx="0">
                  <c:v>GE(0)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ven!$P$2:$P$20</c:f>
              <c:numCache>
                <c:formatCode>0.00</c:formatCode>
                <c:ptCount val="19"/>
                <c:pt idx="0">
                  <c:v>0.42726065922224138</c:v>
                </c:pt>
                <c:pt idx="4">
                  <c:v>0.3871202991802084</c:v>
                </c:pt>
                <c:pt idx="5">
                  <c:v>0.41056146537110838</c:v>
                </c:pt>
                <c:pt idx="10">
                  <c:v>0.30422661001461809</c:v>
                </c:pt>
                <c:pt idx="12">
                  <c:v>0.28074920148434518</c:v>
                </c:pt>
                <c:pt idx="13">
                  <c:v>0.26074873210435973</c:v>
                </c:pt>
                <c:pt idx="14">
                  <c:v>0.26918984011059333</c:v>
                </c:pt>
                <c:pt idx="16">
                  <c:v>0.28934736766566749</c:v>
                </c:pt>
                <c:pt idx="18">
                  <c:v>0.30950489522074065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ven!$I$1</c:f>
              <c:strCache>
                <c:ptCount val="1"/>
                <c:pt idx="0">
                  <c:v>Atk (1)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ven!$I$2:$I$20</c:f>
              <c:numCache>
                <c:formatCode>0.00</c:formatCode>
                <c:ptCount val="19"/>
                <c:pt idx="0">
                  <c:v>0.34770649625085448</c:v>
                </c:pt>
                <c:pt idx="4">
                  <c:v>0.32099059426173721</c:v>
                </c:pt>
                <c:pt idx="5">
                  <c:v>0.33672226191171239</c:v>
                </c:pt>
                <c:pt idx="10">
                  <c:v>0.26230632126714432</c:v>
                </c:pt>
                <c:pt idx="12">
                  <c:v>0.24478228078643011</c:v>
                </c:pt>
                <c:pt idx="13">
                  <c:v>0.229525509201112</c:v>
                </c:pt>
                <c:pt idx="14">
                  <c:v>0.23600179562317231</c:v>
                </c:pt>
                <c:pt idx="16">
                  <c:v>0.25124793203438878</c:v>
                </c:pt>
                <c:pt idx="18">
                  <c:v>0.2664940684456063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ven!$H$1</c:f>
              <c:strCache>
                <c:ptCount val="1"/>
                <c:pt idx="0">
                  <c:v>Atk (0.5)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ven!$H$2:$H$20</c:f>
              <c:numCache>
                <c:formatCode>0.00</c:formatCode>
                <c:ptCount val="19"/>
                <c:pt idx="0">
                  <c:v>0.19142068651768099</c:v>
                </c:pt>
                <c:pt idx="4">
                  <c:v>0.1770819222490867</c:v>
                </c:pt>
                <c:pt idx="5">
                  <c:v>0.1851438140623233</c:v>
                </c:pt>
                <c:pt idx="10">
                  <c:v>0.1410499318549365</c:v>
                </c:pt>
                <c:pt idx="12">
                  <c:v>0.13155735524452961</c:v>
                </c:pt>
                <c:pt idx="13">
                  <c:v>0.12096837419211021</c:v>
                </c:pt>
                <c:pt idx="14">
                  <c:v>0.12456283228821929</c:v>
                </c:pt>
                <c:pt idx="16">
                  <c:v>0.1339667782440061</c:v>
                </c:pt>
                <c:pt idx="18">
                  <c:v>0.14337072419979258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ven!$J$1</c:f>
              <c:strCache>
                <c:ptCount val="1"/>
                <c:pt idx="0">
                  <c:v>Atk (2)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ven!$J$2:$J$20</c:f>
              <c:numCache>
                <c:formatCode>0.00</c:formatCode>
                <c:ptCount val="19"/>
                <c:pt idx="0">
                  <c:v>0.98804744126469468</c:v>
                </c:pt>
                <c:pt idx="4">
                  <c:v>0.57110748168877801</c:v>
                </c:pt>
                <c:pt idx="5">
                  <c:v>0.91144163292863078</c:v>
                </c:pt>
                <c:pt idx="10">
                  <c:v>0.4799807799233774</c:v>
                </c:pt>
                <c:pt idx="12">
                  <c:v>0.44412445113732268</c:v>
                </c:pt>
                <c:pt idx="13">
                  <c:v>0.43296768920091189</c:v>
                </c:pt>
                <c:pt idx="14">
                  <c:v>0.44788962167607521</c:v>
                </c:pt>
                <c:pt idx="16">
                  <c:v>0.47208076661979431</c:v>
                </c:pt>
                <c:pt idx="18">
                  <c:v>0.49627191156351458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054000"/>
        <c:axId val="711053608"/>
      </c:lineChart>
      <c:catAx>
        <c:axId val="711052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1053216"/>
        <c:crosses val="autoZero"/>
        <c:auto val="1"/>
        <c:lblAlgn val="ctr"/>
        <c:lblOffset val="100"/>
        <c:noMultiLvlLbl val="0"/>
      </c:catAx>
      <c:valAx>
        <c:axId val="711053216"/>
        <c:scaling>
          <c:orientation val="minMax"/>
          <c:max val="1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1052824"/>
        <c:crosses val="autoZero"/>
        <c:crossBetween val="between"/>
        <c:majorUnit val="20"/>
      </c:valAx>
      <c:valAx>
        <c:axId val="711053608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1054000"/>
        <c:crosses val="max"/>
        <c:crossBetween val="between"/>
        <c:majorUnit val="0.2"/>
      </c:valAx>
      <c:catAx>
        <c:axId val="711054000"/>
        <c:scaling>
          <c:orientation val="minMax"/>
        </c:scaling>
        <c:delete val="1"/>
        <c:axPos val="b"/>
        <c:majorTickMark val="out"/>
        <c:minorTickMark val="none"/>
        <c:tickLblPos val="nextTo"/>
        <c:crossAx val="711053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952938174394868"/>
          <c:w val="1"/>
          <c:h val="9.2692840478273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8322856517935266"/>
          <c:h val="0.74365704286964129"/>
        </c:manualLayout>
      </c:layout>
      <c:lineChart>
        <c:grouping val="standard"/>
        <c:varyColors val="0"/>
        <c:ser>
          <c:idx val="1"/>
          <c:order val="0"/>
          <c:tx>
            <c:strRef>
              <c:f>ven!$D$1</c:f>
              <c:strCache>
                <c:ptCount val="1"/>
                <c:pt idx="0">
                  <c:v>% Unfair or Very Unfair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numRef>
              <c:f>ven!$A$2:$A$20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ven!$D$2:$D$20</c:f>
              <c:numCache>
                <c:formatCode>0.00</c:formatCode>
                <c:ptCount val="19"/>
                <c:pt idx="0">
                  <c:v>85.227272033691406</c:v>
                </c:pt>
                <c:pt idx="4">
                  <c:v>72.18853759765625</c:v>
                </c:pt>
                <c:pt idx="5">
                  <c:v>74.600372314453125</c:v>
                </c:pt>
                <c:pt idx="10">
                  <c:v>43.096889495849609</c:v>
                </c:pt>
                <c:pt idx="12">
                  <c:v>66.365516662597656</c:v>
                </c:pt>
                <c:pt idx="13">
                  <c:v>59.727310180664062</c:v>
                </c:pt>
                <c:pt idx="14">
                  <c:v>67.350395202636719</c:v>
                </c:pt>
                <c:pt idx="16">
                  <c:v>55.622314453125</c:v>
                </c:pt>
                <c:pt idx="18">
                  <c:v>74.032676696777344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ven!$M$1</c:f>
              <c:strCache>
                <c:ptCount val="1"/>
                <c:pt idx="0">
                  <c:v>Absolute Gini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ven!$A$2:$A$20</c:f>
              <c:numCache>
                <c:formatCode>General</c:formatCod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numCache>
            </c:numRef>
          </c:cat>
          <c:val>
            <c:numRef>
              <c:f>ven!$M$2:$M$20</c:f>
              <c:numCache>
                <c:formatCode>0.00</c:formatCode>
                <c:ptCount val="19"/>
                <c:pt idx="0">
                  <c:v>98.432059349075189</c:v>
                </c:pt>
                <c:pt idx="4">
                  <c:v>91.708477503748327</c:v>
                </c:pt>
                <c:pt idx="5">
                  <c:v>78.068651660969934</c:v>
                </c:pt>
                <c:pt idx="10">
                  <c:v>110.77112446813477</c:v>
                </c:pt>
                <c:pt idx="12">
                  <c:v>106.85008696799699</c:v>
                </c:pt>
                <c:pt idx="13">
                  <c:v>98.583087440233257</c:v>
                </c:pt>
                <c:pt idx="14">
                  <c:v>99.550716215109873</c:v>
                </c:pt>
                <c:pt idx="16">
                  <c:v>116.03578092044395</c:v>
                </c:pt>
                <c:pt idx="18">
                  <c:v>132.52084562577875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054784"/>
        <c:axId val="711055176"/>
      </c:lineChart>
      <c:catAx>
        <c:axId val="711054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1055176"/>
        <c:crosses val="autoZero"/>
        <c:auto val="1"/>
        <c:lblAlgn val="ctr"/>
        <c:lblOffset val="100"/>
        <c:noMultiLvlLbl val="0"/>
      </c:catAx>
      <c:valAx>
        <c:axId val="711055176"/>
        <c:scaling>
          <c:orientation val="minMax"/>
          <c:min val="4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1105478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4" Type="http://schemas.openxmlformats.org/officeDocument/2006/relationships/chart" Target="../charts/chart2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4" Type="http://schemas.openxmlformats.org/officeDocument/2006/relationships/chart" Target="../charts/chart33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4" Type="http://schemas.openxmlformats.org/officeDocument/2006/relationships/chart" Target="../charts/chart37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4" Type="http://schemas.openxmlformats.org/officeDocument/2006/relationships/chart" Target="../charts/chart4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Relationship Id="rId4" Type="http://schemas.openxmlformats.org/officeDocument/2006/relationships/chart" Target="../charts/chart45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4" Type="http://schemas.openxmlformats.org/officeDocument/2006/relationships/chart" Target="../charts/chart49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Relationship Id="rId4" Type="http://schemas.openxmlformats.org/officeDocument/2006/relationships/chart" Target="../charts/chart53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.xml"/><Relationship Id="rId2" Type="http://schemas.openxmlformats.org/officeDocument/2006/relationships/chart" Target="../charts/chart55.xml"/><Relationship Id="rId1" Type="http://schemas.openxmlformats.org/officeDocument/2006/relationships/chart" Target="../charts/chart54.xml"/><Relationship Id="rId4" Type="http://schemas.openxmlformats.org/officeDocument/2006/relationships/chart" Target="../charts/chart57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0.xml"/><Relationship Id="rId2" Type="http://schemas.openxmlformats.org/officeDocument/2006/relationships/chart" Target="../charts/chart59.xml"/><Relationship Id="rId1" Type="http://schemas.openxmlformats.org/officeDocument/2006/relationships/chart" Target="../charts/chart58.xml"/><Relationship Id="rId4" Type="http://schemas.openxmlformats.org/officeDocument/2006/relationships/chart" Target="../charts/chart61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4.xml"/><Relationship Id="rId2" Type="http://schemas.openxmlformats.org/officeDocument/2006/relationships/chart" Target="../charts/chart63.xml"/><Relationship Id="rId1" Type="http://schemas.openxmlformats.org/officeDocument/2006/relationships/chart" Target="../charts/chart62.xml"/><Relationship Id="rId4" Type="http://schemas.openxmlformats.org/officeDocument/2006/relationships/chart" Target="../charts/chart65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4" Type="http://schemas.openxmlformats.org/officeDocument/2006/relationships/chart" Target="../charts/chart69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2.xml"/><Relationship Id="rId2" Type="http://schemas.openxmlformats.org/officeDocument/2006/relationships/chart" Target="../charts/chart71.xml"/><Relationship Id="rId1" Type="http://schemas.openxmlformats.org/officeDocument/2006/relationships/chart" Target="../charts/chart70.xml"/><Relationship Id="rId4" Type="http://schemas.openxmlformats.org/officeDocument/2006/relationships/chart" Target="../charts/chart73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6.xml"/><Relationship Id="rId2" Type="http://schemas.openxmlformats.org/officeDocument/2006/relationships/chart" Target="../charts/chart75.xml"/><Relationship Id="rId1" Type="http://schemas.openxmlformats.org/officeDocument/2006/relationships/chart" Target="../charts/chart74.xml"/><Relationship Id="rId4" Type="http://schemas.openxmlformats.org/officeDocument/2006/relationships/chart" Target="../charts/chart7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23</xdr:row>
      <xdr:rowOff>147637</xdr:rowOff>
    </xdr:from>
    <xdr:to>
      <xdr:col>8</xdr:col>
      <xdr:colOff>9525</xdr:colOff>
      <xdr:row>40</xdr:row>
      <xdr:rowOff>138112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16</xdr:col>
      <xdr:colOff>304800</xdr:colOff>
      <xdr:row>40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44</xdr:row>
      <xdr:rowOff>147637</xdr:rowOff>
    </xdr:from>
    <xdr:to>
      <xdr:col>8</xdr:col>
      <xdr:colOff>9525</xdr:colOff>
      <xdr:row>61</xdr:row>
      <xdr:rowOff>138112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45</xdr:row>
      <xdr:rowOff>0</xdr:rowOff>
    </xdr:from>
    <xdr:to>
      <xdr:col>16</xdr:col>
      <xdr:colOff>304800</xdr:colOff>
      <xdr:row>61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229720</xdr:colOff>
      <xdr:row>22</xdr:row>
      <xdr:rowOff>124384</xdr:rowOff>
    </xdr:from>
    <xdr:to>
      <xdr:col>24</xdr:col>
      <xdr:colOff>565897</xdr:colOff>
      <xdr:row>39</xdr:row>
      <xdr:rowOff>155761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0.41054</cdr:x>
      <cdr:y>0.37132</cdr:y>
    </cdr:from>
    <cdr:to>
      <cdr:x>0.54779</cdr:x>
      <cdr:y>0.52083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76987" y="1018615"/>
          <a:ext cx="627529" cy="4101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2000">
              <a:solidFill>
                <a:schemeClr val="bg1"/>
              </a:solidFill>
              <a:latin typeface="Bell MT" panose="02020503060305020303" pitchFamily="18" charset="0"/>
            </a:rPr>
            <a:t>Unfair</a:t>
          </a:r>
        </a:p>
      </cdr:txBody>
    </cdr:sp>
  </cdr:relSizeAnchor>
  <cdr:relSizeAnchor xmlns:cdr="http://schemas.openxmlformats.org/drawingml/2006/chartDrawing">
    <cdr:from>
      <cdr:x>0.3616</cdr:x>
      <cdr:y>0.71296</cdr:y>
    </cdr:from>
    <cdr:to>
      <cdr:x>0.85662</cdr:x>
      <cdr:y>0.86247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653241" y="1955800"/>
          <a:ext cx="2263215" cy="4101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>
              <a:solidFill>
                <a:schemeClr val="bg1"/>
              </a:solidFill>
              <a:latin typeface="Bell MT" panose="02020503060305020303" pitchFamily="18" charset="0"/>
            </a:rPr>
            <a:t>Very Unfair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23</xdr:row>
      <xdr:rowOff>147637</xdr:rowOff>
    </xdr:from>
    <xdr:to>
      <xdr:col>8</xdr:col>
      <xdr:colOff>9525</xdr:colOff>
      <xdr:row>40</xdr:row>
      <xdr:rowOff>138112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16</xdr:col>
      <xdr:colOff>304800</xdr:colOff>
      <xdr:row>40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44</xdr:row>
      <xdr:rowOff>147637</xdr:rowOff>
    </xdr:from>
    <xdr:to>
      <xdr:col>8</xdr:col>
      <xdr:colOff>9525</xdr:colOff>
      <xdr:row>61</xdr:row>
      <xdr:rowOff>138112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45</xdr:row>
      <xdr:rowOff>0</xdr:rowOff>
    </xdr:from>
    <xdr:to>
      <xdr:col>16</xdr:col>
      <xdr:colOff>304800</xdr:colOff>
      <xdr:row>61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22</xdr:row>
      <xdr:rowOff>147637</xdr:rowOff>
    </xdr:from>
    <xdr:to>
      <xdr:col>8</xdr:col>
      <xdr:colOff>9525</xdr:colOff>
      <xdr:row>39</xdr:row>
      <xdr:rowOff>138112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16</xdr:col>
      <xdr:colOff>304800</xdr:colOff>
      <xdr:row>39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43</xdr:row>
      <xdr:rowOff>147637</xdr:rowOff>
    </xdr:from>
    <xdr:to>
      <xdr:col>8</xdr:col>
      <xdr:colOff>9525</xdr:colOff>
      <xdr:row>60</xdr:row>
      <xdr:rowOff>138112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44</xdr:row>
      <xdr:rowOff>0</xdr:rowOff>
    </xdr:from>
    <xdr:to>
      <xdr:col>16</xdr:col>
      <xdr:colOff>304800</xdr:colOff>
      <xdr:row>60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23</xdr:row>
      <xdr:rowOff>147637</xdr:rowOff>
    </xdr:from>
    <xdr:to>
      <xdr:col>8</xdr:col>
      <xdr:colOff>9525</xdr:colOff>
      <xdr:row>40</xdr:row>
      <xdr:rowOff>138112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16</xdr:col>
      <xdr:colOff>304800</xdr:colOff>
      <xdr:row>40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44</xdr:row>
      <xdr:rowOff>147637</xdr:rowOff>
    </xdr:from>
    <xdr:to>
      <xdr:col>8</xdr:col>
      <xdr:colOff>9525</xdr:colOff>
      <xdr:row>61</xdr:row>
      <xdr:rowOff>138112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45</xdr:row>
      <xdr:rowOff>0</xdr:rowOff>
    </xdr:from>
    <xdr:to>
      <xdr:col>16</xdr:col>
      <xdr:colOff>304800</xdr:colOff>
      <xdr:row>61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23</xdr:row>
      <xdr:rowOff>147637</xdr:rowOff>
    </xdr:from>
    <xdr:to>
      <xdr:col>8</xdr:col>
      <xdr:colOff>9525</xdr:colOff>
      <xdr:row>40</xdr:row>
      <xdr:rowOff>138112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16</xdr:col>
      <xdr:colOff>304800</xdr:colOff>
      <xdr:row>40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44</xdr:row>
      <xdr:rowOff>147637</xdr:rowOff>
    </xdr:from>
    <xdr:to>
      <xdr:col>8</xdr:col>
      <xdr:colOff>9525</xdr:colOff>
      <xdr:row>61</xdr:row>
      <xdr:rowOff>138112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45</xdr:row>
      <xdr:rowOff>0</xdr:rowOff>
    </xdr:from>
    <xdr:to>
      <xdr:col>16</xdr:col>
      <xdr:colOff>304800</xdr:colOff>
      <xdr:row>61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22</xdr:row>
      <xdr:rowOff>147637</xdr:rowOff>
    </xdr:from>
    <xdr:to>
      <xdr:col>8</xdr:col>
      <xdr:colOff>9525</xdr:colOff>
      <xdr:row>39</xdr:row>
      <xdr:rowOff>138112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16</xdr:col>
      <xdr:colOff>304800</xdr:colOff>
      <xdr:row>39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43</xdr:row>
      <xdr:rowOff>147637</xdr:rowOff>
    </xdr:from>
    <xdr:to>
      <xdr:col>8</xdr:col>
      <xdr:colOff>9525</xdr:colOff>
      <xdr:row>60</xdr:row>
      <xdr:rowOff>138112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44</xdr:row>
      <xdr:rowOff>0</xdr:rowOff>
    </xdr:from>
    <xdr:to>
      <xdr:col>16</xdr:col>
      <xdr:colOff>304800</xdr:colOff>
      <xdr:row>60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22</xdr:row>
      <xdr:rowOff>147637</xdr:rowOff>
    </xdr:from>
    <xdr:to>
      <xdr:col>8</xdr:col>
      <xdr:colOff>9525</xdr:colOff>
      <xdr:row>39</xdr:row>
      <xdr:rowOff>138112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16</xdr:col>
      <xdr:colOff>304800</xdr:colOff>
      <xdr:row>39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43</xdr:row>
      <xdr:rowOff>147637</xdr:rowOff>
    </xdr:from>
    <xdr:to>
      <xdr:col>8</xdr:col>
      <xdr:colOff>9525</xdr:colOff>
      <xdr:row>60</xdr:row>
      <xdr:rowOff>138112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44</xdr:row>
      <xdr:rowOff>0</xdr:rowOff>
    </xdr:from>
    <xdr:to>
      <xdr:col>16</xdr:col>
      <xdr:colOff>304800</xdr:colOff>
      <xdr:row>60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13</xdr:row>
      <xdr:rowOff>147637</xdr:rowOff>
    </xdr:from>
    <xdr:to>
      <xdr:col>8</xdr:col>
      <xdr:colOff>9525</xdr:colOff>
      <xdr:row>30</xdr:row>
      <xdr:rowOff>138112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16</xdr:col>
      <xdr:colOff>304800</xdr:colOff>
      <xdr:row>30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34</xdr:row>
      <xdr:rowOff>147637</xdr:rowOff>
    </xdr:from>
    <xdr:to>
      <xdr:col>8</xdr:col>
      <xdr:colOff>9525</xdr:colOff>
      <xdr:row>51</xdr:row>
      <xdr:rowOff>138112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35</xdr:row>
      <xdr:rowOff>0</xdr:rowOff>
    </xdr:from>
    <xdr:to>
      <xdr:col>16</xdr:col>
      <xdr:colOff>304800</xdr:colOff>
      <xdr:row>51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23</xdr:row>
      <xdr:rowOff>147637</xdr:rowOff>
    </xdr:from>
    <xdr:to>
      <xdr:col>8</xdr:col>
      <xdr:colOff>9525</xdr:colOff>
      <xdr:row>40</xdr:row>
      <xdr:rowOff>138112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16</xdr:col>
      <xdr:colOff>304800</xdr:colOff>
      <xdr:row>40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44</xdr:row>
      <xdr:rowOff>147637</xdr:rowOff>
    </xdr:from>
    <xdr:to>
      <xdr:col>8</xdr:col>
      <xdr:colOff>9525</xdr:colOff>
      <xdr:row>61</xdr:row>
      <xdr:rowOff>138112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45</xdr:row>
      <xdr:rowOff>0</xdr:rowOff>
    </xdr:from>
    <xdr:to>
      <xdr:col>16</xdr:col>
      <xdr:colOff>304800</xdr:colOff>
      <xdr:row>61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23</xdr:row>
      <xdr:rowOff>147637</xdr:rowOff>
    </xdr:from>
    <xdr:to>
      <xdr:col>8</xdr:col>
      <xdr:colOff>9525</xdr:colOff>
      <xdr:row>40</xdr:row>
      <xdr:rowOff>138112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16</xdr:col>
      <xdr:colOff>304800</xdr:colOff>
      <xdr:row>40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44</xdr:row>
      <xdr:rowOff>147637</xdr:rowOff>
    </xdr:from>
    <xdr:to>
      <xdr:col>8</xdr:col>
      <xdr:colOff>9525</xdr:colOff>
      <xdr:row>61</xdr:row>
      <xdr:rowOff>138112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45</xdr:row>
      <xdr:rowOff>0</xdr:rowOff>
    </xdr:from>
    <xdr:to>
      <xdr:col>16</xdr:col>
      <xdr:colOff>304800</xdr:colOff>
      <xdr:row>61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22</xdr:row>
      <xdr:rowOff>147637</xdr:rowOff>
    </xdr:from>
    <xdr:to>
      <xdr:col>8</xdr:col>
      <xdr:colOff>9525</xdr:colOff>
      <xdr:row>39</xdr:row>
      <xdr:rowOff>138112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16</xdr:col>
      <xdr:colOff>304800</xdr:colOff>
      <xdr:row>39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43</xdr:row>
      <xdr:rowOff>147637</xdr:rowOff>
    </xdr:from>
    <xdr:to>
      <xdr:col>8</xdr:col>
      <xdr:colOff>9525</xdr:colOff>
      <xdr:row>60</xdr:row>
      <xdr:rowOff>138112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44</xdr:row>
      <xdr:rowOff>0</xdr:rowOff>
    </xdr:from>
    <xdr:to>
      <xdr:col>16</xdr:col>
      <xdr:colOff>304800</xdr:colOff>
      <xdr:row>60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23</xdr:row>
      <xdr:rowOff>147637</xdr:rowOff>
    </xdr:from>
    <xdr:to>
      <xdr:col>8</xdr:col>
      <xdr:colOff>9525</xdr:colOff>
      <xdr:row>40</xdr:row>
      <xdr:rowOff>138112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16</xdr:col>
      <xdr:colOff>304800</xdr:colOff>
      <xdr:row>40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44</xdr:row>
      <xdr:rowOff>147637</xdr:rowOff>
    </xdr:from>
    <xdr:to>
      <xdr:col>8</xdr:col>
      <xdr:colOff>9525</xdr:colOff>
      <xdr:row>61</xdr:row>
      <xdr:rowOff>138112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45</xdr:row>
      <xdr:rowOff>0</xdr:rowOff>
    </xdr:from>
    <xdr:to>
      <xdr:col>16</xdr:col>
      <xdr:colOff>304800</xdr:colOff>
      <xdr:row>61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24</xdr:row>
      <xdr:rowOff>147637</xdr:rowOff>
    </xdr:from>
    <xdr:to>
      <xdr:col>8</xdr:col>
      <xdr:colOff>9525</xdr:colOff>
      <xdr:row>41</xdr:row>
      <xdr:rowOff>138112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16</xdr:col>
      <xdr:colOff>304800</xdr:colOff>
      <xdr:row>41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45</xdr:row>
      <xdr:rowOff>147637</xdr:rowOff>
    </xdr:from>
    <xdr:to>
      <xdr:col>8</xdr:col>
      <xdr:colOff>9525</xdr:colOff>
      <xdr:row>62</xdr:row>
      <xdr:rowOff>138112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46</xdr:row>
      <xdr:rowOff>0</xdr:rowOff>
    </xdr:from>
    <xdr:to>
      <xdr:col>16</xdr:col>
      <xdr:colOff>304800</xdr:colOff>
      <xdr:row>62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23</xdr:row>
      <xdr:rowOff>147637</xdr:rowOff>
    </xdr:from>
    <xdr:to>
      <xdr:col>8</xdr:col>
      <xdr:colOff>9525</xdr:colOff>
      <xdr:row>40</xdr:row>
      <xdr:rowOff>138112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16</xdr:col>
      <xdr:colOff>304800</xdr:colOff>
      <xdr:row>40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44</xdr:row>
      <xdr:rowOff>147637</xdr:rowOff>
    </xdr:from>
    <xdr:to>
      <xdr:col>8</xdr:col>
      <xdr:colOff>9525</xdr:colOff>
      <xdr:row>61</xdr:row>
      <xdr:rowOff>138112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45</xdr:row>
      <xdr:rowOff>0</xdr:rowOff>
    </xdr:from>
    <xdr:to>
      <xdr:col>16</xdr:col>
      <xdr:colOff>304800</xdr:colOff>
      <xdr:row>61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22</xdr:row>
      <xdr:rowOff>147637</xdr:rowOff>
    </xdr:from>
    <xdr:to>
      <xdr:col>8</xdr:col>
      <xdr:colOff>9525</xdr:colOff>
      <xdr:row>39</xdr:row>
      <xdr:rowOff>138112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16</xdr:col>
      <xdr:colOff>304800</xdr:colOff>
      <xdr:row>39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43</xdr:row>
      <xdr:rowOff>147637</xdr:rowOff>
    </xdr:from>
    <xdr:to>
      <xdr:col>8</xdr:col>
      <xdr:colOff>9525</xdr:colOff>
      <xdr:row>60</xdr:row>
      <xdr:rowOff>138112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44</xdr:row>
      <xdr:rowOff>0</xdr:rowOff>
    </xdr:from>
    <xdr:to>
      <xdr:col>16</xdr:col>
      <xdr:colOff>304800</xdr:colOff>
      <xdr:row>60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22</xdr:row>
      <xdr:rowOff>147637</xdr:rowOff>
    </xdr:from>
    <xdr:to>
      <xdr:col>8</xdr:col>
      <xdr:colOff>9525</xdr:colOff>
      <xdr:row>39</xdr:row>
      <xdr:rowOff>138112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16</xdr:col>
      <xdr:colOff>304800</xdr:colOff>
      <xdr:row>39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43</xdr:row>
      <xdr:rowOff>147637</xdr:rowOff>
    </xdr:from>
    <xdr:to>
      <xdr:col>8</xdr:col>
      <xdr:colOff>9525</xdr:colOff>
      <xdr:row>60</xdr:row>
      <xdr:rowOff>138112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44</xdr:row>
      <xdr:rowOff>0</xdr:rowOff>
    </xdr:from>
    <xdr:to>
      <xdr:col>16</xdr:col>
      <xdr:colOff>304800</xdr:colOff>
      <xdr:row>60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22</xdr:row>
      <xdr:rowOff>147637</xdr:rowOff>
    </xdr:from>
    <xdr:to>
      <xdr:col>8</xdr:col>
      <xdr:colOff>9525</xdr:colOff>
      <xdr:row>39</xdr:row>
      <xdr:rowOff>138112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16</xdr:col>
      <xdr:colOff>304800</xdr:colOff>
      <xdr:row>39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43</xdr:row>
      <xdr:rowOff>147637</xdr:rowOff>
    </xdr:from>
    <xdr:to>
      <xdr:col>8</xdr:col>
      <xdr:colOff>9525</xdr:colOff>
      <xdr:row>60</xdr:row>
      <xdr:rowOff>138112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44</xdr:row>
      <xdr:rowOff>0</xdr:rowOff>
    </xdr:from>
    <xdr:to>
      <xdr:col>16</xdr:col>
      <xdr:colOff>304800</xdr:colOff>
      <xdr:row>60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22</xdr:row>
      <xdr:rowOff>147637</xdr:rowOff>
    </xdr:from>
    <xdr:to>
      <xdr:col>8</xdr:col>
      <xdr:colOff>9525</xdr:colOff>
      <xdr:row>39</xdr:row>
      <xdr:rowOff>138112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16</xdr:col>
      <xdr:colOff>304800</xdr:colOff>
      <xdr:row>39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43</xdr:row>
      <xdr:rowOff>147637</xdr:rowOff>
    </xdr:from>
    <xdr:to>
      <xdr:col>8</xdr:col>
      <xdr:colOff>9525</xdr:colOff>
      <xdr:row>60</xdr:row>
      <xdr:rowOff>138112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44</xdr:row>
      <xdr:rowOff>0</xdr:rowOff>
    </xdr:from>
    <xdr:to>
      <xdr:col>16</xdr:col>
      <xdr:colOff>304800</xdr:colOff>
      <xdr:row>60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22</xdr:row>
      <xdr:rowOff>147637</xdr:rowOff>
    </xdr:from>
    <xdr:to>
      <xdr:col>8</xdr:col>
      <xdr:colOff>9525</xdr:colOff>
      <xdr:row>39</xdr:row>
      <xdr:rowOff>138112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16</xdr:col>
      <xdr:colOff>304800</xdr:colOff>
      <xdr:row>39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43</xdr:row>
      <xdr:rowOff>147637</xdr:rowOff>
    </xdr:from>
    <xdr:to>
      <xdr:col>8</xdr:col>
      <xdr:colOff>9525</xdr:colOff>
      <xdr:row>60</xdr:row>
      <xdr:rowOff>138112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44</xdr:row>
      <xdr:rowOff>0</xdr:rowOff>
    </xdr:from>
    <xdr:to>
      <xdr:col>16</xdr:col>
      <xdr:colOff>304800</xdr:colOff>
      <xdr:row>60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1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2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3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4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5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6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7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8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9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0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1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2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3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4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5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6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7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8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9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0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1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2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3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4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5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6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7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8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9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0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1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2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3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4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5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6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7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8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9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0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1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2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3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4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5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6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7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showGridLines="0" tabSelected="1" zoomScale="85" zoomScaleNormal="85" workbookViewId="0">
      <selection activeCell="W43" sqref="W43"/>
    </sheetView>
  </sheetViews>
  <sheetFormatPr defaultRowHeight="12.75" x14ac:dyDescent="0.2"/>
  <cols>
    <col min="1" max="1" width="5" style="1" bestFit="1" customWidth="1"/>
  </cols>
  <sheetData>
    <row r="1" spans="1:29" x14ac:dyDescent="0.2">
      <c r="A1"/>
      <c r="B1" t="s">
        <v>3</v>
      </c>
      <c r="C1" t="s">
        <v>12</v>
      </c>
      <c r="D1" t="s">
        <v>0</v>
      </c>
      <c r="E1" t="s">
        <v>2</v>
      </c>
      <c r="F1" t="s">
        <v>1</v>
      </c>
      <c r="G1" t="s">
        <v>4</v>
      </c>
      <c r="H1" t="s">
        <v>13</v>
      </c>
      <c r="I1" t="s">
        <v>14</v>
      </c>
      <c r="J1" t="s">
        <v>15</v>
      </c>
      <c r="K1" t="s">
        <v>5</v>
      </c>
      <c r="L1" t="s">
        <v>22</v>
      </c>
      <c r="M1" t="s">
        <v>6</v>
      </c>
      <c r="N1" t="s">
        <v>18</v>
      </c>
      <c r="O1" t="s">
        <v>7</v>
      </c>
      <c r="P1" t="s">
        <v>16</v>
      </c>
      <c r="Q1" t="s">
        <v>8</v>
      </c>
      <c r="R1" t="s">
        <v>9</v>
      </c>
      <c r="S1" t="s">
        <v>10</v>
      </c>
      <c r="T1" t="s">
        <v>11</v>
      </c>
      <c r="U1" s="5"/>
      <c r="V1" s="5"/>
      <c r="W1" s="5" t="s">
        <v>3</v>
      </c>
      <c r="X1" s="5" t="s">
        <v>12</v>
      </c>
      <c r="Y1" s="5" t="s">
        <v>3</v>
      </c>
      <c r="Z1" s="5" t="s">
        <v>12</v>
      </c>
    </row>
    <row r="2" spans="1:29" x14ac:dyDescent="0.2">
      <c r="A2">
        <v>1997</v>
      </c>
      <c r="B2" s="2">
        <v>28.757022857666016</v>
      </c>
      <c r="C2" s="2">
        <v>51.633045196533203</v>
      </c>
      <c r="D2" s="2">
        <v>14.324316024780273</v>
      </c>
      <c r="E2" s="2">
        <v>5.285616397857666</v>
      </c>
      <c r="F2" s="2">
        <v>80.390068054199219</v>
      </c>
      <c r="G2" s="2">
        <v>1.9613852500915527</v>
      </c>
      <c r="H2" s="2">
        <v>0.2467688807457111</v>
      </c>
      <c r="I2" s="2">
        <v>0.41793566335914373</v>
      </c>
      <c r="J2" s="2">
        <v>0.68063271579576101</v>
      </c>
      <c r="K2" s="2">
        <v>1.7243276552442992</v>
      </c>
      <c r="L2" s="2">
        <v>1.6415636826750859</v>
      </c>
      <c r="M2" s="2">
        <v>89.162311244520581</v>
      </c>
      <c r="N2" s="2">
        <v>0.54566875214321653</v>
      </c>
      <c r="O2" s="2">
        <v>0.54299126657901853</v>
      </c>
      <c r="P2" s="2">
        <v>0.54425245664240329</v>
      </c>
      <c r="Q2" s="2">
        <v>3.5673993938419262</v>
      </c>
      <c r="R2" s="2">
        <v>12.492570242787366</v>
      </c>
      <c r="S2" s="2">
        <v>0.60246564315781159</v>
      </c>
      <c r="T2" s="2">
        <v>108.47749858596332</v>
      </c>
      <c r="U2" s="5"/>
      <c r="V2" s="5">
        <v>1997</v>
      </c>
      <c r="W2" s="6">
        <v>28.757022857666016</v>
      </c>
      <c r="X2" s="6">
        <v>51.633045196533203</v>
      </c>
      <c r="Y2" s="7">
        <f>+W2/(SUM(W2:X2))</f>
        <v>0.35771860322693033</v>
      </c>
      <c r="Z2" s="7">
        <f>+X2/(SUM(W2:X2))</f>
        <v>0.64228139677306972</v>
      </c>
      <c r="AA2" s="2">
        <v>0.54566875214321653</v>
      </c>
    </row>
    <row r="3" spans="1:29" x14ac:dyDescent="0.2">
      <c r="A3">
        <v>1998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5"/>
      <c r="V3" s="5">
        <v>2001</v>
      </c>
      <c r="W3" s="6">
        <v>37.434867858886719</v>
      </c>
      <c r="X3" s="6">
        <v>51.434837341308594</v>
      </c>
      <c r="Y3" s="7">
        <f t="shared" ref="Y3:Y10" si="0">+W3/(SUM(W3:X3))</f>
        <v>0.42123317248051867</v>
      </c>
      <c r="Z3" s="7">
        <f t="shared" ref="Z3:Z10" si="1">+X3/(SUM(W3:X3))</f>
        <v>0.57876682751948139</v>
      </c>
      <c r="AA3" s="2">
        <v>0.53790696425077866</v>
      </c>
    </row>
    <row r="4" spans="1:29" x14ac:dyDescent="0.2">
      <c r="A4">
        <v>1999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5"/>
      <c r="V4" s="5">
        <v>2002</v>
      </c>
      <c r="W4" s="6">
        <v>33.083198547363281</v>
      </c>
      <c r="X4" s="6">
        <v>53.523593902587891</v>
      </c>
      <c r="Y4" s="7">
        <f t="shared" si="0"/>
        <v>0.38199311637688915</v>
      </c>
      <c r="Z4" s="7">
        <f t="shared" si="1"/>
        <v>0.61800688362311085</v>
      </c>
      <c r="AA4" s="2">
        <v>0.53744588568453899</v>
      </c>
    </row>
    <row r="5" spans="1:29" x14ac:dyDescent="0.2">
      <c r="A5">
        <v>2000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5"/>
      <c r="V5" s="5">
        <v>2007</v>
      </c>
      <c r="W5" s="6">
        <v>27.591503143310547</v>
      </c>
      <c r="X5" s="6">
        <v>50.161735534667969</v>
      </c>
      <c r="Y5" s="7">
        <f t="shared" si="0"/>
        <v>0.35485985680394672</v>
      </c>
      <c r="Z5" s="7">
        <f t="shared" si="1"/>
        <v>0.64514014319605328</v>
      </c>
      <c r="AA5" s="2">
        <v>0.50604460145487407</v>
      </c>
    </row>
    <row r="6" spans="1:29" x14ac:dyDescent="0.2">
      <c r="A6">
        <v>2001</v>
      </c>
      <c r="B6" s="2">
        <v>37.434867858886719</v>
      </c>
      <c r="C6" s="2">
        <v>51.434837341308594</v>
      </c>
      <c r="D6" s="2">
        <v>9.4469842910766602</v>
      </c>
      <c r="E6" s="2">
        <v>1.6833117008209229</v>
      </c>
      <c r="F6" s="2">
        <v>88.869705200195313</v>
      </c>
      <c r="G6" s="2">
        <v>1.7537873983383179</v>
      </c>
      <c r="H6" s="2">
        <v>0.24064535828728814</v>
      </c>
      <c r="I6" s="2">
        <v>0.40893566133771653</v>
      </c>
      <c r="J6" s="2">
        <v>0.65324365299175013</v>
      </c>
      <c r="K6" s="2">
        <v>1.6469662878840943</v>
      </c>
      <c r="L6" s="2">
        <v>1.5810476441590378</v>
      </c>
      <c r="M6" s="2">
        <v>93.736615352350896</v>
      </c>
      <c r="N6" s="2">
        <v>0.53790696425077866</v>
      </c>
      <c r="O6" s="2">
        <v>0.53556170035551476</v>
      </c>
      <c r="P6" s="2">
        <v>0.52948532559612926</v>
      </c>
      <c r="Q6" s="2">
        <v>3.4873562211504061</v>
      </c>
      <c r="R6" s="2">
        <v>12.15264865316427</v>
      </c>
      <c r="S6" s="2">
        <v>0.58754001969413994</v>
      </c>
      <c r="T6" s="2">
        <v>108.1150823751213</v>
      </c>
      <c r="U6" s="5"/>
      <c r="V6" s="5">
        <v>2009</v>
      </c>
      <c r="W6" s="6">
        <v>24.425638198852539</v>
      </c>
      <c r="X6" s="6">
        <v>53.425437927246094</v>
      </c>
      <c r="Y6" s="7">
        <f t="shared" si="0"/>
        <v>0.31374824105564469</v>
      </c>
      <c r="Z6" s="7">
        <f t="shared" si="1"/>
        <v>0.68625175894435531</v>
      </c>
      <c r="AA6" s="2">
        <v>0.48962708953357353</v>
      </c>
    </row>
    <row r="7" spans="1:29" x14ac:dyDescent="0.2">
      <c r="A7">
        <v>2002</v>
      </c>
      <c r="B7" s="2">
        <v>33.083198547363281</v>
      </c>
      <c r="C7" s="2">
        <v>53.523593902587891</v>
      </c>
      <c r="D7" s="2">
        <v>11.283853530883789</v>
      </c>
      <c r="E7" s="2">
        <v>2.1093535423278809</v>
      </c>
      <c r="F7" s="2">
        <v>86.606796264648437</v>
      </c>
      <c r="G7" s="2">
        <v>1.8241935968399048</v>
      </c>
      <c r="H7" s="2">
        <v>0.24120893933637694</v>
      </c>
      <c r="I7" s="2">
        <v>0.4097673874152501</v>
      </c>
      <c r="J7" s="2">
        <v>0.67784602812840189</v>
      </c>
      <c r="K7" s="2">
        <v>1.6124692338968294</v>
      </c>
      <c r="L7" s="2">
        <v>1.9664805936084264</v>
      </c>
      <c r="M7" s="2">
        <v>89.747540982717467</v>
      </c>
      <c r="N7" s="2">
        <v>0.53744588568453899</v>
      </c>
      <c r="O7" s="2">
        <v>0.534685793585995</v>
      </c>
      <c r="P7" s="2">
        <v>0.53254507536183193</v>
      </c>
      <c r="Q7" s="2">
        <v>3.5378769403738546</v>
      </c>
      <c r="R7" s="2">
        <v>12.720121115723533</v>
      </c>
      <c r="S7" s="2">
        <v>0.59528421721218583</v>
      </c>
      <c r="T7" s="2">
        <v>96.976278770437617</v>
      </c>
      <c r="U7" s="5"/>
      <c r="V7" s="5">
        <v>2010</v>
      </c>
      <c r="W7" s="6">
        <v>24.716573715209961</v>
      </c>
      <c r="X7" s="6">
        <v>53.232002258300781</v>
      </c>
      <c r="Y7" s="7">
        <f t="shared" si="0"/>
        <v>0.31708820086218625</v>
      </c>
      <c r="Z7" s="7">
        <f t="shared" si="1"/>
        <v>0.68291179913781375</v>
      </c>
      <c r="AA7" s="2">
        <v>0.4846444817651171</v>
      </c>
    </row>
    <row r="8" spans="1:29" x14ac:dyDescent="0.2">
      <c r="A8">
        <v>2003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5"/>
      <c r="V8" s="5">
        <v>2011</v>
      </c>
      <c r="W8" s="6">
        <v>24.469806671142578</v>
      </c>
      <c r="X8" s="6">
        <v>54.985263824462891</v>
      </c>
      <c r="Y8" s="7">
        <f t="shared" si="0"/>
        <v>0.30797036008540152</v>
      </c>
      <c r="Z8" s="7">
        <f t="shared" si="1"/>
        <v>0.69202963991459854</v>
      </c>
      <c r="AA8" s="2">
        <v>0.48130264411350154</v>
      </c>
    </row>
    <row r="9" spans="1:29" x14ac:dyDescent="0.2">
      <c r="A9">
        <v>2004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5"/>
      <c r="V9" s="5">
        <v>2013</v>
      </c>
      <c r="W9" s="6">
        <v>25.637388229370117</v>
      </c>
      <c r="X9" s="6">
        <v>47.272560119628906</v>
      </c>
      <c r="Y9" s="7">
        <f t="shared" si="0"/>
        <v>0.35163086533337384</v>
      </c>
      <c r="Z9" s="7">
        <f t="shared" si="1"/>
        <v>0.64836913466662616</v>
      </c>
      <c r="AA9" s="2">
        <v>0.47656148719443131</v>
      </c>
    </row>
    <row r="10" spans="1:29" x14ac:dyDescent="0.2">
      <c r="A10">
        <v>2005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5"/>
      <c r="V10" s="5">
        <v>2015</v>
      </c>
      <c r="W10" s="6">
        <v>25.82835578918457</v>
      </c>
      <c r="X10" s="6">
        <v>49.256275177001953</v>
      </c>
      <c r="Y10" s="7">
        <f t="shared" si="0"/>
        <v>0.34398991453811723</v>
      </c>
      <c r="Z10" s="7">
        <f t="shared" si="1"/>
        <v>0.65601008546188277</v>
      </c>
      <c r="AA10" s="2">
        <v>0.4715095446724743</v>
      </c>
    </row>
    <row r="11" spans="1:29" x14ac:dyDescent="0.2">
      <c r="A11">
        <v>2006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5"/>
      <c r="V11" s="5"/>
      <c r="W11" s="5"/>
      <c r="X11" s="5"/>
      <c r="Y11" s="5"/>
    </row>
    <row r="12" spans="1:29" x14ac:dyDescent="0.2">
      <c r="A12">
        <v>2007</v>
      </c>
      <c r="B12" s="2">
        <v>27.591503143310547</v>
      </c>
      <c r="C12" s="2">
        <v>50.161735534667969</v>
      </c>
      <c r="D12" s="2">
        <v>17.914314270019531</v>
      </c>
      <c r="E12" s="2">
        <v>4.3324480056762695</v>
      </c>
      <c r="F12" s="2">
        <v>77.75323486328125</v>
      </c>
      <c r="G12" s="2">
        <v>1.9898771047592163</v>
      </c>
      <c r="H12" s="2">
        <v>0.21409323283254963</v>
      </c>
      <c r="I12" s="2">
        <v>0.36808672524803598</v>
      </c>
      <c r="J12" s="2">
        <v>0.60399439740441851</v>
      </c>
      <c r="K12" s="2">
        <v>1.4580471197982767</v>
      </c>
      <c r="L12" s="2">
        <v>1.422985161641092</v>
      </c>
      <c r="M12" s="2">
        <v>97.874452816892472</v>
      </c>
      <c r="N12" s="2">
        <v>0.50604460145487407</v>
      </c>
      <c r="O12" s="2">
        <v>0.50426685764711365</v>
      </c>
      <c r="P12" s="2">
        <v>0.46258576027743104</v>
      </c>
      <c r="Q12" s="2">
        <v>3.2169925616697683</v>
      </c>
      <c r="R12" s="2">
        <v>10.12453758475942</v>
      </c>
      <c r="S12" s="2">
        <v>0.51939961026451997</v>
      </c>
      <c r="T12" s="2">
        <v>101.77090940066472</v>
      </c>
      <c r="U12" s="5"/>
      <c r="V12" s="5"/>
      <c r="W12" s="5"/>
      <c r="X12" s="5"/>
      <c r="Y12" s="5"/>
    </row>
    <row r="13" spans="1:29" x14ac:dyDescent="0.2">
      <c r="A13">
        <v>2008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5"/>
      <c r="V13" s="5"/>
      <c r="W13" s="5"/>
      <c r="X13" s="5"/>
      <c r="Y13" s="5"/>
    </row>
    <row r="14" spans="1:29" ht="15.75" x14ac:dyDescent="0.25">
      <c r="A14">
        <v>2009</v>
      </c>
      <c r="B14" s="2">
        <v>24.425638198852539</v>
      </c>
      <c r="C14" s="2">
        <v>53.425437927246094</v>
      </c>
      <c r="D14" s="2">
        <v>19.53474235534668</v>
      </c>
      <c r="E14" s="2">
        <v>2.6141839027404785</v>
      </c>
      <c r="F14" s="2">
        <v>77.85107421875</v>
      </c>
      <c r="G14" s="2">
        <v>2.0033748149871826</v>
      </c>
      <c r="H14" s="2">
        <v>0.20014669972131566</v>
      </c>
      <c r="I14" s="2">
        <v>0.34987323442538037</v>
      </c>
      <c r="J14" s="2">
        <v>0.60285885808087836</v>
      </c>
      <c r="K14" s="2">
        <v>1.3696750644117346</v>
      </c>
      <c r="L14" s="2">
        <v>1.2178003389030707</v>
      </c>
      <c r="M14" s="2">
        <v>97.718671712523857</v>
      </c>
      <c r="N14" s="2">
        <v>0.48962708953357353</v>
      </c>
      <c r="O14" s="2">
        <v>0.48776586076679934</v>
      </c>
      <c r="P14" s="2">
        <v>0.43314103899578277</v>
      </c>
      <c r="Q14" s="2">
        <v>3.1214418994410265</v>
      </c>
      <c r="R14" s="2">
        <v>9.7276907050481416</v>
      </c>
      <c r="S14" s="2">
        <v>0.47654376491175171</v>
      </c>
      <c r="T14" s="2">
        <v>93.586087215510688</v>
      </c>
      <c r="AB14" s="4"/>
      <c r="AC14" s="4"/>
    </row>
    <row r="15" spans="1:29" x14ac:dyDescent="0.2">
      <c r="A15">
        <v>2010</v>
      </c>
      <c r="B15" s="2">
        <v>24.716573715209961</v>
      </c>
      <c r="C15" s="2">
        <v>53.232002258300781</v>
      </c>
      <c r="D15" s="2">
        <v>19.430845260620117</v>
      </c>
      <c r="E15" s="2">
        <v>2.6205770969390869</v>
      </c>
      <c r="F15" s="2">
        <v>77.948577880859375</v>
      </c>
      <c r="G15" s="2">
        <v>1.9995542764663696</v>
      </c>
      <c r="H15" s="2">
        <v>0.19657700921580648</v>
      </c>
      <c r="I15" s="2">
        <v>0.34385596624007192</v>
      </c>
      <c r="J15" s="2">
        <v>0.59624424294924649</v>
      </c>
      <c r="K15" s="2">
        <v>1.3423932740372229</v>
      </c>
      <c r="L15" s="2">
        <v>1.2065108408074912</v>
      </c>
      <c r="M15" s="2">
        <v>98.254753775145048</v>
      </c>
      <c r="N15" s="2">
        <v>0.4846444817651171</v>
      </c>
      <c r="O15" s="2">
        <v>0.48295849755539588</v>
      </c>
      <c r="P15" s="2">
        <v>0.42439450887727426</v>
      </c>
      <c r="Q15" s="2">
        <v>3.081537245816568</v>
      </c>
      <c r="R15" s="2">
        <v>9.4939705035731272</v>
      </c>
      <c r="S15" s="2">
        <v>0.46889179529812164</v>
      </c>
      <c r="T15" s="2">
        <v>92.125936352409283</v>
      </c>
    </row>
    <row r="16" spans="1:29" ht="15.75" x14ac:dyDescent="0.25">
      <c r="A16">
        <v>2011</v>
      </c>
      <c r="B16" s="2">
        <v>24.469806671142578</v>
      </c>
      <c r="C16" s="2">
        <v>54.985263824462891</v>
      </c>
      <c r="D16" s="2">
        <v>18.174028396606445</v>
      </c>
      <c r="E16" s="2">
        <v>2.3709025382995605</v>
      </c>
      <c r="F16" s="2">
        <v>79.455070495605469</v>
      </c>
      <c r="G16" s="2">
        <v>1.9844602346420288</v>
      </c>
      <c r="H16" s="2">
        <v>0.19430628169979861</v>
      </c>
      <c r="I16" s="2">
        <v>0.34034462218034478</v>
      </c>
      <c r="J16" s="2">
        <v>0.59219742029718825</v>
      </c>
      <c r="K16" s="2">
        <v>1.3089794640332371</v>
      </c>
      <c r="L16" s="2">
        <v>1.168986349746145</v>
      </c>
      <c r="M16" s="2">
        <v>101.21178079158133</v>
      </c>
      <c r="N16" s="2">
        <v>0.48130264411350154</v>
      </c>
      <c r="O16" s="2">
        <v>0.47964909369394615</v>
      </c>
      <c r="P16" s="2">
        <v>0.42004640550263733</v>
      </c>
      <c r="Q16" s="2">
        <v>3.0709163757954889</v>
      </c>
      <c r="R16" s="2">
        <v>9.2842878004899596</v>
      </c>
      <c r="S16" s="2">
        <v>0.46289318060825946</v>
      </c>
      <c r="T16" s="2">
        <v>94.451134776692626</v>
      </c>
      <c r="AA16" s="4"/>
    </row>
    <row r="17" spans="1:23" x14ac:dyDescent="0.2">
      <c r="A17">
        <v>2012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3" x14ac:dyDescent="0.2">
      <c r="A18">
        <v>2013</v>
      </c>
      <c r="B18" s="2">
        <v>25.637388229370117</v>
      </c>
      <c r="C18" s="2">
        <v>47.272560119628906</v>
      </c>
      <c r="D18" s="2">
        <v>23.711400985717773</v>
      </c>
      <c r="E18" s="2">
        <v>3.3786509037017822</v>
      </c>
      <c r="F18" s="2">
        <v>72.909950256347656</v>
      </c>
      <c r="G18" s="2">
        <v>2.0483131408691406</v>
      </c>
      <c r="H18" s="2">
        <v>0.18989439839898978</v>
      </c>
      <c r="I18" s="2">
        <v>0.33329858452058014</v>
      </c>
      <c r="J18" s="2">
        <v>0.58112866954412723</v>
      </c>
      <c r="K18" s="2">
        <v>1.3031930809073098</v>
      </c>
      <c r="L18" s="2">
        <v>1.0965611770871035</v>
      </c>
      <c r="M18" s="2">
        <v>106.50994336686773</v>
      </c>
      <c r="N18" s="2">
        <v>0.47656148719443131</v>
      </c>
      <c r="O18" s="2">
        <v>0.47490113426808578</v>
      </c>
      <c r="P18" s="2">
        <v>0.4080543492979401</v>
      </c>
      <c r="Q18" s="2">
        <v>3.0259314471823067</v>
      </c>
      <c r="R18" s="2">
        <v>8.9366687688284845</v>
      </c>
      <c r="S18" s="2">
        <v>0.45020000810193189</v>
      </c>
      <c r="T18" s="2">
        <v>104.60295749078648</v>
      </c>
    </row>
    <row r="19" spans="1:23" x14ac:dyDescent="0.2">
      <c r="A19">
        <v>2014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3" x14ac:dyDescent="0.2">
      <c r="A20">
        <v>2015</v>
      </c>
      <c r="B20" s="2">
        <v>25.82835578918457</v>
      </c>
      <c r="C20" s="2">
        <v>49.256275177001953</v>
      </c>
      <c r="D20" s="2">
        <v>22.657472610473633</v>
      </c>
      <c r="E20" s="2">
        <v>2.2578976154327393</v>
      </c>
      <c r="F20" s="2">
        <v>75.084632873535156</v>
      </c>
      <c r="G20" s="2">
        <v>2.0134491920471191</v>
      </c>
      <c r="H20" s="2">
        <v>0.18581055459374651</v>
      </c>
      <c r="I20" s="2">
        <v>0.32681289527011687</v>
      </c>
      <c r="J20" s="2">
        <v>0.55316497770974249</v>
      </c>
      <c r="K20" s="2">
        <v>1.2811730546513502</v>
      </c>
      <c r="L20" s="2">
        <v>1.0325563092943451</v>
      </c>
      <c r="M20" s="2">
        <v>109.04347340259223</v>
      </c>
      <c r="N20" s="2">
        <v>0.4715095446724743</v>
      </c>
      <c r="O20" s="2">
        <v>0.4700649659823285</v>
      </c>
      <c r="P20" s="2">
        <v>0.39802933214181907</v>
      </c>
      <c r="Q20" s="2">
        <v>2.9642982506075222</v>
      </c>
      <c r="R20" s="2">
        <v>8.7167330616831435</v>
      </c>
      <c r="S20" s="2">
        <v>0.43909340764666133</v>
      </c>
      <c r="T20" s="2">
        <v>110.87676358522387</v>
      </c>
    </row>
    <row r="23" spans="1:23" s="4" customFormat="1" ht="15.75" x14ac:dyDescent="0.25">
      <c r="A23" s="3"/>
      <c r="B23" s="4" t="s">
        <v>17</v>
      </c>
      <c r="J23" s="4" t="s">
        <v>20</v>
      </c>
    </row>
    <row r="30" spans="1:23" x14ac:dyDescent="0.2">
      <c r="W30" s="1"/>
    </row>
    <row r="36" spans="1:23" x14ac:dyDescent="0.2">
      <c r="N36" s="2"/>
    </row>
    <row r="44" spans="1:23" s="4" customFormat="1" ht="15.75" x14ac:dyDescent="0.25">
      <c r="A44" s="3"/>
      <c r="B44" s="4" t="s">
        <v>19</v>
      </c>
      <c r="J44" s="4" t="s">
        <v>21</v>
      </c>
      <c r="W44"/>
    </row>
    <row r="57" spans="14:14" customFormat="1" x14ac:dyDescent="0.2">
      <c r="N57" s="2"/>
    </row>
    <row r="65" spans="5:7" x14ac:dyDescent="0.2">
      <c r="E65" s="2"/>
      <c r="F65" s="2"/>
      <c r="G65" s="2"/>
    </row>
    <row r="66" spans="5:7" x14ac:dyDescent="0.2">
      <c r="E66" s="2"/>
      <c r="F66" s="2"/>
      <c r="G66" s="2"/>
    </row>
    <row r="67" spans="5:7" x14ac:dyDescent="0.2">
      <c r="E67" s="2"/>
      <c r="F67" s="2"/>
      <c r="G67" s="2"/>
    </row>
    <row r="68" spans="5:7" x14ac:dyDescent="0.2">
      <c r="E68" s="2"/>
      <c r="F68" s="2"/>
      <c r="G68" s="2"/>
    </row>
    <row r="69" spans="5:7" x14ac:dyDescent="0.2">
      <c r="E69" s="2"/>
      <c r="F69" s="2"/>
      <c r="G69" s="2"/>
    </row>
    <row r="70" spans="5:7" x14ac:dyDescent="0.2">
      <c r="E70" s="2"/>
      <c r="F70" s="2"/>
      <c r="G70" s="2"/>
    </row>
    <row r="71" spans="5:7" x14ac:dyDescent="0.2">
      <c r="E71" s="2"/>
      <c r="F71" s="2"/>
      <c r="G71" s="2"/>
    </row>
    <row r="72" spans="5:7" x14ac:dyDescent="0.2">
      <c r="E72" s="2"/>
      <c r="F72" s="2"/>
      <c r="G72" s="2"/>
    </row>
    <row r="73" spans="5:7" x14ac:dyDescent="0.2">
      <c r="E73" s="2"/>
      <c r="F73" s="2"/>
      <c r="G73" s="2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"/>
  <sheetViews>
    <sheetView showGridLines="0" zoomScale="85" zoomScaleNormal="85" workbookViewId="0">
      <selection activeCell="B2" sqref="B2:T20"/>
    </sheetView>
  </sheetViews>
  <sheetFormatPr defaultRowHeight="12.75" x14ac:dyDescent="0.2"/>
  <cols>
    <col min="1" max="1" width="5" style="1" bestFit="1" customWidth="1"/>
  </cols>
  <sheetData>
    <row r="1" spans="1:20" x14ac:dyDescent="0.2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13</v>
      </c>
      <c r="I1" t="s">
        <v>14</v>
      </c>
      <c r="J1" t="s">
        <v>15</v>
      </c>
      <c r="K1" t="s">
        <v>5</v>
      </c>
      <c r="L1" t="s">
        <v>22</v>
      </c>
      <c r="M1" t="s">
        <v>6</v>
      </c>
      <c r="N1" t="s">
        <v>18</v>
      </c>
      <c r="O1" t="s">
        <v>7</v>
      </c>
      <c r="P1" t="s">
        <v>16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2">
      <c r="A2">
        <v>1997</v>
      </c>
      <c r="B2" s="2">
        <v>40.990604400634766</v>
      </c>
      <c r="C2" s="2">
        <v>4.0990605354309082</v>
      </c>
      <c r="D2" s="2">
        <v>95.730140686035156</v>
      </c>
      <c r="E2" s="2">
        <v>0.17079418897628784</v>
      </c>
      <c r="F2" s="2">
        <v>54.739540100097656</v>
      </c>
      <c r="G2" s="2">
        <v>1.4970110654830933</v>
      </c>
      <c r="H2" s="2">
        <v>0.2729450906118025</v>
      </c>
      <c r="I2" s="2">
        <v>0.4333564659633069</v>
      </c>
      <c r="J2" s="2">
        <v>0.6857434523572401</v>
      </c>
      <c r="K2" s="2">
        <v>3.1711265972764977</v>
      </c>
      <c r="L2" s="2">
        <v>2.9896910032360893</v>
      </c>
      <c r="M2" s="2">
        <v>78.987454669955696</v>
      </c>
      <c r="N2" s="2">
        <v>0.57865101687891496</v>
      </c>
      <c r="O2" s="2">
        <v>0.56990192355769764</v>
      </c>
      <c r="P2" s="2">
        <v>0.55325069093266066</v>
      </c>
      <c r="Q2" s="2">
        <v>4.3416080492507376</v>
      </c>
      <c r="R2" s="2">
        <v>6.8685292810281453</v>
      </c>
      <c r="S2" s="2">
        <v>0.75039840439768568</v>
      </c>
      <c r="T2" s="2">
        <v>394.45177065869211</v>
      </c>
    </row>
    <row r="3" spans="1:20" x14ac:dyDescent="0.2">
      <c r="A3">
        <v>1998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>
        <v>1999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>
        <v>2000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>
        <v>2001</v>
      </c>
      <c r="B6" s="2">
        <v>42.004795074462891</v>
      </c>
      <c r="C6" s="2">
        <v>2.1169009208679199</v>
      </c>
      <c r="D6" s="2">
        <v>96.883186340332031</v>
      </c>
      <c r="E6" s="2">
        <v>0.99990981817245483</v>
      </c>
      <c r="F6" s="2">
        <v>54.878391265869141</v>
      </c>
      <c r="G6" s="2">
        <v>1.4923832416534424</v>
      </c>
      <c r="H6" s="2">
        <v>0.23736176575757639</v>
      </c>
      <c r="I6" s="2">
        <v>0.39328299536403222</v>
      </c>
      <c r="J6" s="2">
        <v>0.64773703837696317</v>
      </c>
      <c r="K6" s="2">
        <v>2.4596231530175601</v>
      </c>
      <c r="L6" s="2">
        <v>2.1763512949956407</v>
      </c>
      <c r="M6" s="2">
        <v>86.273859904556048</v>
      </c>
      <c r="N6" s="2">
        <v>0.53667741973470839</v>
      </c>
      <c r="O6" s="2">
        <v>0.52955072162040651</v>
      </c>
      <c r="P6" s="2">
        <v>0.49404014307853217</v>
      </c>
      <c r="Q6" s="2">
        <v>3.9649648552228314</v>
      </c>
      <c r="R6" s="2">
        <v>8.0116438202610425</v>
      </c>
      <c r="S6" s="2">
        <v>0.6195964904722473</v>
      </c>
      <c r="T6" s="2">
        <v>294.19709793780203</v>
      </c>
    </row>
    <row r="7" spans="1:20" x14ac:dyDescent="0.2">
      <c r="A7">
        <v>2002</v>
      </c>
      <c r="B7" s="2">
        <v>33.837421417236328</v>
      </c>
      <c r="C7" s="2">
        <v>1.5132714509963989</v>
      </c>
      <c r="D7" s="2">
        <v>97.525993347167969</v>
      </c>
      <c r="E7" s="2">
        <v>0.96073496341705322</v>
      </c>
      <c r="F7" s="2">
        <v>63.688575744628906</v>
      </c>
      <c r="G7" s="2">
        <v>1.3974616527557373</v>
      </c>
      <c r="H7" s="2">
        <v>0.22846593454401898</v>
      </c>
      <c r="I7" s="2">
        <v>0.38326462771421532</v>
      </c>
      <c r="J7" s="2">
        <v>0.63823543488189571</v>
      </c>
      <c r="K7" s="2">
        <v>2.2817472919527972</v>
      </c>
      <c r="L7" s="2">
        <v>1.9730163679355428</v>
      </c>
      <c r="M7" s="2">
        <v>88.095461213205908</v>
      </c>
      <c r="N7" s="2">
        <v>0.52618402044865675</v>
      </c>
      <c r="O7" s="2">
        <v>0.5194629211360855</v>
      </c>
      <c r="P7" s="2">
        <v>0.47923750611499827</v>
      </c>
      <c r="Q7" s="2">
        <v>3.8708040567158264</v>
      </c>
      <c r="R7" s="2">
        <v>8.2974224550691815</v>
      </c>
      <c r="S7" s="2">
        <v>0.58689601199090191</v>
      </c>
      <c r="T7" s="2">
        <v>269.13342975758133</v>
      </c>
    </row>
    <row r="8" spans="1:20" x14ac:dyDescent="0.2">
      <c r="A8">
        <v>2003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>
        <v>2004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>
        <v>2005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>
        <v>2006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>
        <v>2007</v>
      </c>
      <c r="B12" s="2">
        <v>58.186275482177734</v>
      </c>
      <c r="C12" s="2">
        <v>9.1341171264648437</v>
      </c>
      <c r="D12" s="2">
        <v>89.662818908691406</v>
      </c>
      <c r="E12" s="2">
        <v>1.2030642032623291</v>
      </c>
      <c r="F12" s="2">
        <v>31.476541519165039</v>
      </c>
      <c r="G12" s="2">
        <v>1.8006370067596436</v>
      </c>
      <c r="H12" s="2">
        <v>0.18398677847624051</v>
      </c>
      <c r="I12" s="2">
        <v>0.33317278946512507</v>
      </c>
      <c r="J12" s="2">
        <v>0.59072741740655377</v>
      </c>
      <c r="K12" s="2">
        <v>1.392367986629079</v>
      </c>
      <c r="L12" s="2">
        <v>0.95634173263497013</v>
      </c>
      <c r="M12" s="2">
        <v>97.203467756456206</v>
      </c>
      <c r="N12" s="2">
        <v>0.47371702401840088</v>
      </c>
      <c r="O12" s="2">
        <v>0.46902391871447352</v>
      </c>
      <c r="P12" s="2">
        <v>0.40522432129733432</v>
      </c>
      <c r="Q12" s="2">
        <v>3.400000064180932</v>
      </c>
      <c r="R12" s="2">
        <v>9.7263156291102444</v>
      </c>
      <c r="S12" s="2">
        <v>0.4233936195841162</v>
      </c>
      <c r="T12" s="2">
        <v>143.81508885646593</v>
      </c>
    </row>
    <row r="13" spans="1:20" x14ac:dyDescent="0.2">
      <c r="A13">
        <v>2008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>
        <v>2009</v>
      </c>
      <c r="B14" s="2">
        <v>51.276046752929687</v>
      </c>
      <c r="C14" s="2">
        <v>4.0825586318969727</v>
      </c>
      <c r="D14" s="2">
        <v>95.546234130859375</v>
      </c>
      <c r="E14" s="2">
        <v>0.37120944261550903</v>
      </c>
      <c r="F14" s="2">
        <v>44.270187377929687</v>
      </c>
      <c r="G14" s="2">
        <v>1.6055479049682617</v>
      </c>
      <c r="H14" s="2">
        <v>0.16619511604912809</v>
      </c>
      <c r="I14" s="2">
        <v>0.31313605416548868</v>
      </c>
      <c r="J14" s="2">
        <v>0.57172421041641697</v>
      </c>
      <c r="K14" s="2">
        <v>1.0366162644995971</v>
      </c>
      <c r="L14" s="2">
        <v>0.54967187851475219</v>
      </c>
      <c r="M14" s="2">
        <v>100.84667037375638</v>
      </c>
      <c r="N14" s="2">
        <v>0.45273022544629832</v>
      </c>
      <c r="O14" s="2">
        <v>0.44884831774582862</v>
      </c>
      <c r="P14" s="2">
        <v>0.37561904737027008</v>
      </c>
      <c r="Q14" s="2">
        <v>3.2116784671669709</v>
      </c>
      <c r="R14" s="2">
        <v>10.297872898726659</v>
      </c>
      <c r="S14" s="2">
        <v>0.35799266262140278</v>
      </c>
      <c r="T14" s="2">
        <v>93.687752496019598</v>
      </c>
    </row>
    <row r="15" spans="1:20" x14ac:dyDescent="0.2">
      <c r="A15">
        <v>2010</v>
      </c>
      <c r="B15" s="2">
        <v>53.624755859375</v>
      </c>
      <c r="C15" s="2">
        <v>11.782894134521484</v>
      </c>
      <c r="D15" s="2">
        <v>87.601699829101563</v>
      </c>
      <c r="E15" s="2">
        <v>0.61541026830673218</v>
      </c>
      <c r="F15" s="2">
        <v>33.976940155029297</v>
      </c>
      <c r="G15" s="2">
        <v>1.7903677225112915</v>
      </c>
      <c r="H15" s="2">
        <v>0.15975858836266371</v>
      </c>
      <c r="I15" s="2">
        <v>0.29855140889075638</v>
      </c>
      <c r="J15" s="2">
        <v>0.55756018787862538</v>
      </c>
      <c r="K15" s="2">
        <v>1.0116050917880639</v>
      </c>
      <c r="L15" s="2">
        <v>0.51049871608765662</v>
      </c>
      <c r="M15" s="2">
        <v>100.82579229004112</v>
      </c>
      <c r="N15" s="2">
        <v>0.44495505506256477</v>
      </c>
      <c r="O15" s="2">
        <v>0.44219728159131938</v>
      </c>
      <c r="P15" s="2">
        <v>0.35460766635985302</v>
      </c>
      <c r="Q15" s="2">
        <v>3.0867546537872781</v>
      </c>
      <c r="R15" s="2">
        <v>9.0537792262689312</v>
      </c>
      <c r="S15" s="2">
        <v>0.3455404965960473</v>
      </c>
      <c r="T15" s="2">
        <v>91.887412586857735</v>
      </c>
    </row>
    <row r="16" spans="1:20" x14ac:dyDescent="0.2">
      <c r="A16">
        <v>2011</v>
      </c>
      <c r="B16" s="2">
        <v>61.651985168457031</v>
      </c>
      <c r="C16" s="2">
        <v>15.851943016052246</v>
      </c>
      <c r="D16" s="2">
        <v>83.662101745605469</v>
      </c>
      <c r="E16" s="2">
        <v>0.48595154285430908</v>
      </c>
      <c r="F16" s="2">
        <v>22.010116577148437</v>
      </c>
      <c r="G16" s="2">
        <v>1.9481372833251953</v>
      </c>
      <c r="H16" s="2">
        <v>0.15338050637224979</v>
      </c>
      <c r="I16" s="2">
        <v>0.28699507319727591</v>
      </c>
      <c r="J16" s="2">
        <v>0.51976484128332234</v>
      </c>
      <c r="K16" s="2">
        <v>0.99083175874320373</v>
      </c>
      <c r="L16" s="2">
        <v>0.48658251970376482</v>
      </c>
      <c r="M16" s="2">
        <v>106.47556330197385</v>
      </c>
      <c r="N16" s="2">
        <v>0.43572283594249928</v>
      </c>
      <c r="O16" s="2">
        <v>0.43327088005853831</v>
      </c>
      <c r="P16" s="2">
        <v>0.33826694862989182</v>
      </c>
      <c r="Q16" s="2">
        <v>3.0070048737202448</v>
      </c>
      <c r="R16" s="2">
        <v>8.4491974747426077</v>
      </c>
      <c r="S16" s="2">
        <v>0.33154431498837178</v>
      </c>
      <c r="T16" s="2">
        <v>102.40085584095763</v>
      </c>
    </row>
    <row r="17" spans="1:20" x14ac:dyDescent="0.2">
      <c r="A17">
        <v>2012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>
        <v>2013</v>
      </c>
      <c r="B18" s="2">
        <v>55.790149688720703</v>
      </c>
      <c r="C18" s="2">
        <v>23.468385696411133</v>
      </c>
      <c r="D18" s="2">
        <v>75.039443969726563</v>
      </c>
      <c r="E18" s="2">
        <v>1.4921697378158569</v>
      </c>
      <c r="F18" s="2">
        <v>19.249292373657227</v>
      </c>
      <c r="G18" s="2">
        <v>2.0720343589782715</v>
      </c>
      <c r="H18" s="2">
        <v>0.14420735273384</v>
      </c>
      <c r="I18" s="2">
        <v>0.27229297225353222</v>
      </c>
      <c r="J18" s="2">
        <v>0.50281118030456695</v>
      </c>
      <c r="K18" s="2">
        <v>0.9599245266450851</v>
      </c>
      <c r="L18" s="2">
        <v>0.45500285424225573</v>
      </c>
      <c r="M18" s="2">
        <v>101.54721776865956</v>
      </c>
      <c r="N18" s="2">
        <v>0.4228384031640216</v>
      </c>
      <c r="O18" s="2">
        <v>0.41938113588067971</v>
      </c>
      <c r="P18" s="2">
        <v>0.31785674619825183</v>
      </c>
      <c r="Q18" s="2">
        <v>2.961432557175129</v>
      </c>
      <c r="R18" s="2">
        <v>7.7353673442262378</v>
      </c>
      <c r="S18" s="2">
        <v>0.30971291342051072</v>
      </c>
      <c r="T18" s="2">
        <v>93.307232969179239</v>
      </c>
    </row>
    <row r="19" spans="1:20" x14ac:dyDescent="0.2">
      <c r="A19">
        <v>2014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>
        <v>2015</v>
      </c>
      <c r="B20" s="2">
        <v>59.28680419921875</v>
      </c>
      <c r="C20" s="2">
        <v>20.282094955444336</v>
      </c>
      <c r="D20" s="2">
        <v>78.533164978027344</v>
      </c>
      <c r="E20" s="2">
        <v>1.1847398281097412</v>
      </c>
      <c r="F20" s="2">
        <v>19.246360778808594</v>
      </c>
      <c r="G20" s="2">
        <v>2.0340521335601807</v>
      </c>
      <c r="H20" s="2">
        <v>0.14577608021906169</v>
      </c>
      <c r="I20" s="2">
        <v>0.27436485293504947</v>
      </c>
      <c r="J20" s="2">
        <v>0.49926224793243612</v>
      </c>
      <c r="K20" s="2">
        <v>0.94670499126822938</v>
      </c>
      <c r="L20" s="2">
        <v>0.44249821821421659</v>
      </c>
      <c r="M20" s="2">
        <v>93.101282783815677</v>
      </c>
      <c r="N20" s="2">
        <v>0.42666015724546619</v>
      </c>
      <c r="O20" s="2">
        <v>0.42323940122865877</v>
      </c>
      <c r="P20" s="2">
        <v>0.32070794273118569</v>
      </c>
      <c r="Q20" s="2">
        <v>3.0000001726278809</v>
      </c>
      <c r="R20" s="2">
        <v>7.8849556778461594</v>
      </c>
      <c r="S20" s="2">
        <v>0.31258296353713699</v>
      </c>
      <c r="T20" s="2">
        <v>74.901642311027032</v>
      </c>
    </row>
    <row r="23" spans="1:20" s="4" customFormat="1" ht="15.75" x14ac:dyDescent="0.25">
      <c r="A23" s="3"/>
      <c r="B23" s="4" t="s">
        <v>17</v>
      </c>
      <c r="J23" s="4" t="s">
        <v>20</v>
      </c>
    </row>
    <row r="36" spans="1:14" x14ac:dyDescent="0.2">
      <c r="N36" s="2"/>
    </row>
    <row r="44" spans="1:14" s="4" customFormat="1" ht="15.75" x14ac:dyDescent="0.25">
      <c r="A44" s="3"/>
      <c r="B44" s="4" t="s">
        <v>19</v>
      </c>
      <c r="J44" s="4" t="s">
        <v>21</v>
      </c>
    </row>
    <row r="57" spans="14:14" customFormat="1" x14ac:dyDescent="0.2">
      <c r="N57" s="2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"/>
  <sheetViews>
    <sheetView showGridLines="0" zoomScale="85" zoomScaleNormal="85" workbookViewId="0">
      <selection activeCell="B2" sqref="B2:T20"/>
    </sheetView>
  </sheetViews>
  <sheetFormatPr defaultRowHeight="12.75" x14ac:dyDescent="0.2"/>
  <cols>
    <col min="1" max="1" width="5" style="1" bestFit="1" customWidth="1"/>
  </cols>
  <sheetData>
    <row r="1" spans="1:20" x14ac:dyDescent="0.2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13</v>
      </c>
      <c r="I1" t="s">
        <v>14</v>
      </c>
      <c r="J1" t="s">
        <v>15</v>
      </c>
      <c r="K1" t="s">
        <v>5</v>
      </c>
      <c r="L1" t="s">
        <v>22</v>
      </c>
      <c r="M1" t="s">
        <v>6</v>
      </c>
      <c r="N1" t="s">
        <v>18</v>
      </c>
      <c r="O1" t="s">
        <v>7</v>
      </c>
      <c r="P1" t="s">
        <v>16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2">
      <c r="A2">
        <v>1997</v>
      </c>
      <c r="B2" s="2">
        <v>66.237113952636719</v>
      </c>
      <c r="C2" s="2">
        <v>7.6030926704406738</v>
      </c>
      <c r="D2" s="2">
        <v>90.077316284179687</v>
      </c>
      <c r="E2" s="2">
        <v>2.3195874691009521</v>
      </c>
      <c r="F2" s="2">
        <v>23.840206146240234</v>
      </c>
      <c r="G2" s="2">
        <v>1.8840205669403076</v>
      </c>
      <c r="H2" s="2">
        <v>0.28695944530586492</v>
      </c>
      <c r="I2" s="2">
        <v>0.49623531162992729</v>
      </c>
      <c r="J2" s="2">
        <v>0.79219561238137204</v>
      </c>
      <c r="K2" s="2">
        <v>1.9049148466808259</v>
      </c>
      <c r="L2" s="2">
        <v>1.8034914162941229</v>
      </c>
      <c r="M2" s="2">
        <v>97.812896236533319</v>
      </c>
      <c r="N2" s="2">
        <v>0.58164428419883829</v>
      </c>
      <c r="O2" s="2">
        <v>0.57968223477345326</v>
      </c>
      <c r="P2" s="2">
        <v>0.68564600809154097</v>
      </c>
      <c r="Q2" s="2">
        <v>4.0866500836462958</v>
      </c>
      <c r="R2" s="2">
        <v>22.00000074519841</v>
      </c>
      <c r="S2" s="2">
        <v>0.69696466513373068</v>
      </c>
      <c r="T2" s="2">
        <v>120.78835592362593</v>
      </c>
    </row>
    <row r="3" spans="1:20" x14ac:dyDescent="0.2">
      <c r="A3">
        <v>1998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>
        <v>1999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>
        <v>2000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>
        <v>2001</v>
      </c>
      <c r="B6" s="2">
        <v>57.142860412597656</v>
      </c>
      <c r="C6" s="2">
        <v>5.7710504531860352</v>
      </c>
      <c r="D6" s="2">
        <v>91.390731811523438</v>
      </c>
      <c r="E6" s="2">
        <v>2.8382213115692139</v>
      </c>
      <c r="F6" s="2">
        <v>34.247871398925781</v>
      </c>
      <c r="G6" s="2">
        <v>1.7719962596893311</v>
      </c>
      <c r="H6" s="2">
        <v>0.29409999765864181</v>
      </c>
      <c r="I6" s="2">
        <v>0.52281713361056803</v>
      </c>
      <c r="J6" s="2">
        <v>0.87096730254079835</v>
      </c>
      <c r="K6" s="2">
        <v>1.7855892835052589</v>
      </c>
      <c r="L6" s="2">
        <v>1.5766307020339529</v>
      </c>
      <c r="M6" s="2">
        <v>86.895466146916405</v>
      </c>
      <c r="N6" s="2">
        <v>0.58876695377626664</v>
      </c>
      <c r="O6" s="2">
        <v>0.58530782295338524</v>
      </c>
      <c r="P6" s="2">
        <v>0.73985549386769711</v>
      </c>
      <c r="Q6" s="2">
        <v>4.375000367464887</v>
      </c>
      <c r="R6" s="2">
        <v>28.301819510326212</v>
      </c>
      <c r="S6" s="2">
        <v>0.69392570842278156</v>
      </c>
      <c r="T6" s="2">
        <v>82.158102488886811</v>
      </c>
    </row>
    <row r="7" spans="1:20" x14ac:dyDescent="0.2">
      <c r="A7">
        <v>2002</v>
      </c>
      <c r="B7" s="2">
        <v>63.166446685791016</v>
      </c>
      <c r="C7" s="2">
        <v>11.094741821289063</v>
      </c>
      <c r="D7" s="2">
        <v>86.814018249511719</v>
      </c>
      <c r="E7" s="2">
        <v>2.0912396907806396</v>
      </c>
      <c r="F7" s="2">
        <v>23.647571563720703</v>
      </c>
      <c r="G7" s="2">
        <v>1.9162964820861816</v>
      </c>
      <c r="H7" s="2">
        <v>0.31070436471259932</v>
      </c>
      <c r="I7" s="2">
        <v>0.55324748093084652</v>
      </c>
      <c r="J7" s="2">
        <v>0.90996956248107919</v>
      </c>
      <c r="K7" s="2">
        <v>1.8012582743246179</v>
      </c>
      <c r="L7" s="2">
        <v>1.6140703384288919</v>
      </c>
      <c r="M7" s="2">
        <v>88.271102222698275</v>
      </c>
      <c r="N7" s="2">
        <v>0.60158359865190281</v>
      </c>
      <c r="O7" s="2">
        <v>0.60005190174918088</v>
      </c>
      <c r="P7" s="2">
        <v>0.8057504863034578</v>
      </c>
      <c r="Q7" s="2">
        <v>4.5714284214466101</v>
      </c>
      <c r="R7" s="2">
        <v>31.354170280382299</v>
      </c>
      <c r="S7" s="2">
        <v>0.73280833956461455</v>
      </c>
      <c r="T7" s="2">
        <v>82.086762105448585</v>
      </c>
    </row>
    <row r="8" spans="1:20" x14ac:dyDescent="0.2">
      <c r="A8">
        <v>2003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>
        <v>2004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>
        <v>2005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>
        <v>2006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>
        <v>2007</v>
      </c>
      <c r="B12" s="2">
        <v>54.152252197265625</v>
      </c>
      <c r="C12" s="2">
        <v>28.287197113037109</v>
      </c>
      <c r="D12" s="2">
        <v>68.598617553710938</v>
      </c>
      <c r="E12" s="2">
        <v>3.1141867637634277</v>
      </c>
      <c r="F12" s="2">
        <v>14.446367263793945</v>
      </c>
      <c r="G12" s="2">
        <v>2.2006919384002686</v>
      </c>
      <c r="H12" s="2">
        <v>0.25634094195499241</v>
      </c>
      <c r="I12" s="2">
        <v>0.4574839956524055</v>
      </c>
      <c r="J12" s="2">
        <v>0.83659108914655622</v>
      </c>
      <c r="K12" s="2">
        <v>1.515310965992368</v>
      </c>
      <c r="L12" s="2">
        <v>1.142341726761936</v>
      </c>
      <c r="M12" s="2">
        <v>97.73869899628842</v>
      </c>
      <c r="N12" s="2">
        <v>0.55444921054480434</v>
      </c>
      <c r="O12" s="2">
        <v>0.55291049386906321</v>
      </c>
      <c r="P12" s="2">
        <v>0.61153769290116444</v>
      </c>
      <c r="Q12" s="2">
        <v>3.8120704208510139</v>
      </c>
      <c r="R12" s="2">
        <v>14.63147282346031</v>
      </c>
      <c r="S12" s="2">
        <v>0.59369557385027383</v>
      </c>
      <c r="T12" s="2">
        <v>83.885839709477992</v>
      </c>
    </row>
    <row r="13" spans="1:20" x14ac:dyDescent="0.2">
      <c r="A13">
        <v>2008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>
        <v>2009</v>
      </c>
      <c r="B14" s="2">
        <v>48.853614807128906</v>
      </c>
      <c r="C14" s="2">
        <v>33.950618743896484</v>
      </c>
      <c r="D14" s="2">
        <v>63.668430328369141</v>
      </c>
      <c r="E14" s="2">
        <v>2.3809523582458496</v>
      </c>
      <c r="F14" s="2">
        <v>14.814814567565918</v>
      </c>
      <c r="G14" s="2">
        <v>2.2389769554138184</v>
      </c>
      <c r="H14" s="2">
        <v>0.21258172804498779</v>
      </c>
      <c r="I14" s="2">
        <v>0.3955381836764148</v>
      </c>
      <c r="J14" s="2">
        <v>0.74559294886196792</v>
      </c>
      <c r="K14" s="2">
        <v>1.5103892934362499</v>
      </c>
      <c r="L14" s="2">
        <v>1.132820635710742</v>
      </c>
      <c r="M14" s="2">
        <v>96.354106200171046</v>
      </c>
      <c r="N14" s="2">
        <v>0.49653070632326129</v>
      </c>
      <c r="O14" s="2">
        <v>0.49414299340954287</v>
      </c>
      <c r="P14" s="2">
        <v>0.5034167766401455</v>
      </c>
      <c r="Q14" s="2">
        <v>3.2665069363729669</v>
      </c>
      <c r="R14" s="2">
        <v>14.174999754392291</v>
      </c>
      <c r="S14" s="2">
        <v>0.48752516171781918</v>
      </c>
      <c r="T14" s="2">
        <v>101.40856780654977</v>
      </c>
    </row>
    <row r="15" spans="1:20" x14ac:dyDescent="0.2">
      <c r="A15">
        <v>2010</v>
      </c>
      <c r="B15" s="2">
        <v>55.585830688476563</v>
      </c>
      <c r="C15" s="2">
        <v>26.06721305847168</v>
      </c>
      <c r="D15" s="2">
        <v>72.116256713867188</v>
      </c>
      <c r="E15" s="2">
        <v>1.8165303468704224</v>
      </c>
      <c r="F15" s="2">
        <v>16.530427932739258</v>
      </c>
      <c r="G15" s="2">
        <v>2.1316983699798584</v>
      </c>
      <c r="H15" s="2">
        <v>0.19588957690039877</v>
      </c>
      <c r="I15" s="2">
        <v>0.36855279360976567</v>
      </c>
      <c r="J15" s="2">
        <v>0.70064335511953857</v>
      </c>
      <c r="K15" s="2">
        <v>1.3052132605092197</v>
      </c>
      <c r="L15" s="2">
        <v>0.8679818820193077</v>
      </c>
      <c r="M15" s="2">
        <v>97.698744221378092</v>
      </c>
      <c r="N15" s="2">
        <v>0.47956769349786299</v>
      </c>
      <c r="O15" s="2">
        <v>0.47791598743690145</v>
      </c>
      <c r="P15" s="2">
        <v>0.46065494944653551</v>
      </c>
      <c r="Q15" s="2">
        <v>3.1778364982376957</v>
      </c>
      <c r="R15" s="2">
        <v>12.328749455469278</v>
      </c>
      <c r="S15" s="2">
        <v>0.43687357493850243</v>
      </c>
      <c r="T15" s="2">
        <v>83.257834006726625</v>
      </c>
    </row>
    <row r="16" spans="1:20" x14ac:dyDescent="0.2">
      <c r="A16">
        <v>2011</v>
      </c>
      <c r="B16" s="2">
        <v>65.514183044433594</v>
      </c>
      <c r="C16" s="2">
        <v>20.656028747558594</v>
      </c>
      <c r="D16" s="2">
        <v>78.102836608886719</v>
      </c>
      <c r="E16" s="2">
        <v>1.2411347627639771</v>
      </c>
      <c r="F16" s="2">
        <v>12.588652610778809</v>
      </c>
      <c r="G16" s="2">
        <v>2.1054964065551758</v>
      </c>
      <c r="H16" s="2">
        <v>0.17919742575580119</v>
      </c>
      <c r="I16" s="2">
        <v>0.3415674035431126</v>
      </c>
      <c r="J16" s="2">
        <v>0.65569376137712521</v>
      </c>
      <c r="K16" s="2">
        <v>1.1000372275822079</v>
      </c>
      <c r="L16" s="2">
        <v>0.60314312832788386</v>
      </c>
      <c r="M16" s="2">
        <v>99.043382242585551</v>
      </c>
      <c r="N16" s="2">
        <v>0.46260468067246802</v>
      </c>
      <c r="O16" s="2">
        <v>0.46168898146426762</v>
      </c>
      <c r="P16" s="2">
        <v>0.41789312225290581</v>
      </c>
      <c r="Q16" s="2">
        <v>3.0891660601024871</v>
      </c>
      <c r="R16" s="2">
        <v>10.48249915654587</v>
      </c>
      <c r="S16" s="2">
        <v>0.3862219881592005</v>
      </c>
      <c r="T16" s="2">
        <v>65.107100206891573</v>
      </c>
    </row>
    <row r="17" spans="1:20" x14ac:dyDescent="0.2">
      <c r="A17">
        <v>2012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>
        <v>2013</v>
      </c>
      <c r="B18" s="2">
        <v>51.679103851318359</v>
      </c>
      <c r="C18" s="2">
        <v>33.768657684326172</v>
      </c>
      <c r="D18" s="2">
        <v>63.432838439941406</v>
      </c>
      <c r="E18" s="2">
        <v>2.7985074520111084</v>
      </c>
      <c r="F18" s="2">
        <v>11.753730773925781</v>
      </c>
      <c r="G18" s="2">
        <v>2.2761194705963135</v>
      </c>
      <c r="H18" s="2">
        <v>0.1949660606513661</v>
      </c>
      <c r="I18" s="2">
        <v>0.3671272768936048</v>
      </c>
      <c r="J18" s="2">
        <v>0.71090986868510453</v>
      </c>
      <c r="K18" s="2">
        <v>1.251440873535568</v>
      </c>
      <c r="L18" s="2">
        <v>0.77971199353685228</v>
      </c>
      <c r="M18" s="2">
        <v>115.54769999368253</v>
      </c>
      <c r="N18" s="2">
        <v>0.48060334472822458</v>
      </c>
      <c r="O18" s="2">
        <v>0.47925672054570517</v>
      </c>
      <c r="P18" s="2">
        <v>0.45748594639734141</v>
      </c>
      <c r="Q18" s="2">
        <v>3.2496185485564442</v>
      </c>
      <c r="R18" s="2">
        <v>11.185246591646511</v>
      </c>
      <c r="S18" s="2">
        <v>0.43133058629479992</v>
      </c>
      <c r="T18" s="2">
        <v>106.43109724528976</v>
      </c>
    </row>
    <row r="19" spans="1:20" x14ac:dyDescent="0.2">
      <c r="A19">
        <v>2014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>
        <v>2015</v>
      </c>
      <c r="B20" s="2">
        <v>42.803737640380859</v>
      </c>
      <c r="C20" s="2">
        <v>43.271030426025391</v>
      </c>
      <c r="D20" s="2">
        <v>52.990657806396484</v>
      </c>
      <c r="E20" s="2">
        <v>3.7383177280426025</v>
      </c>
      <c r="F20" s="2">
        <v>10.186915397644043</v>
      </c>
      <c r="G20" s="2">
        <v>2.4056074619293213</v>
      </c>
      <c r="H20" s="2">
        <v>0.20084300374958139</v>
      </c>
      <c r="I20" s="2">
        <v>0.36439525808060069</v>
      </c>
      <c r="J20" s="2">
        <v>0.67274756073782982</v>
      </c>
      <c r="K20" s="2">
        <v>1.5013871974604569</v>
      </c>
      <c r="L20" s="2">
        <v>1.3744099267997489</v>
      </c>
      <c r="M20" s="2">
        <v>118.33666585184753</v>
      </c>
      <c r="N20" s="2">
        <v>0.48395805106815099</v>
      </c>
      <c r="O20" s="2">
        <v>0.48309221228764221</v>
      </c>
      <c r="P20" s="2">
        <v>0.45317838380704772</v>
      </c>
      <c r="Q20" s="2">
        <v>3.1127071497728078</v>
      </c>
      <c r="R20" s="2">
        <v>10.822445413579221</v>
      </c>
      <c r="S20" s="2">
        <v>0.47429314836750058</v>
      </c>
      <c r="T20" s="2">
        <v>158.13415519672637</v>
      </c>
    </row>
    <row r="23" spans="1:20" s="4" customFormat="1" ht="15.75" x14ac:dyDescent="0.25">
      <c r="A23" s="3"/>
      <c r="B23" s="4" t="s">
        <v>17</v>
      </c>
      <c r="J23" s="4" t="s">
        <v>20</v>
      </c>
    </row>
    <row r="35" spans="1:14" x14ac:dyDescent="0.2">
      <c r="N35" s="2"/>
    </row>
    <row r="43" spans="1:14" s="4" customFormat="1" ht="15.75" x14ac:dyDescent="0.25">
      <c r="A43" s="3"/>
      <c r="B43" s="4" t="s">
        <v>19</v>
      </c>
      <c r="J43" s="4" t="s">
        <v>21</v>
      </c>
    </row>
    <row r="56" spans="14:14" x14ac:dyDescent="0.2">
      <c r="N56" s="2"/>
    </row>
    <row r="78" spans="14:14" x14ac:dyDescent="0.2">
      <c r="N78" s="2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"/>
  <sheetViews>
    <sheetView showGridLines="0" zoomScale="85" zoomScaleNormal="85" workbookViewId="0">
      <selection activeCell="B2" sqref="B2:T20"/>
    </sheetView>
  </sheetViews>
  <sheetFormatPr defaultRowHeight="12.75" x14ac:dyDescent="0.2"/>
  <cols>
    <col min="1" max="1" width="5" style="1" bestFit="1" customWidth="1"/>
  </cols>
  <sheetData>
    <row r="1" spans="1:20" x14ac:dyDescent="0.2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s="5" t="s">
        <v>13</v>
      </c>
      <c r="I1" t="s">
        <v>14</v>
      </c>
      <c r="J1" t="s">
        <v>15</v>
      </c>
      <c r="K1" t="s">
        <v>5</v>
      </c>
      <c r="L1" s="5" t="s">
        <v>22</v>
      </c>
      <c r="M1" t="s">
        <v>6</v>
      </c>
      <c r="N1" s="5" t="s">
        <v>18</v>
      </c>
      <c r="O1" t="s">
        <v>7</v>
      </c>
      <c r="P1" s="5" t="s">
        <v>16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2">
      <c r="A2">
        <v>1997</v>
      </c>
      <c r="B2" s="2">
        <v>54.098361968994141</v>
      </c>
      <c r="C2" s="2">
        <v>5.6352458000183105</v>
      </c>
      <c r="D2" s="2">
        <v>92.622955322265625</v>
      </c>
      <c r="E2" s="2">
        <v>1.7418032884597778</v>
      </c>
      <c r="F2" s="2">
        <v>38.524589538574219</v>
      </c>
      <c r="G2" s="2">
        <v>1.7059426307678223</v>
      </c>
      <c r="H2" s="2">
        <v>0.29084508336603532</v>
      </c>
      <c r="I2" s="2">
        <v>0.48503895789408719</v>
      </c>
      <c r="J2" s="2">
        <v>0.72563053959936874</v>
      </c>
      <c r="K2" s="2">
        <v>1.8553690866733561</v>
      </c>
      <c r="L2" s="2">
        <v>1.784632550133622</v>
      </c>
      <c r="M2" s="2">
        <v>90.108414226268195</v>
      </c>
      <c r="N2" s="2">
        <v>0.59799658294434221</v>
      </c>
      <c r="O2" s="2">
        <v>0.59230231337720962</v>
      </c>
      <c r="P2" s="2">
        <v>0.6636640275766198</v>
      </c>
      <c r="Q2" s="2">
        <v>4.2684541354731254</v>
      </c>
      <c r="R2" s="2">
        <v>17.49999994785728</v>
      </c>
      <c r="S2" s="2">
        <v>0.71331918517127291</v>
      </c>
      <c r="T2" s="2">
        <v>85.426214329644196</v>
      </c>
    </row>
    <row r="3" spans="1:20" x14ac:dyDescent="0.2">
      <c r="A3">
        <v>1998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>
        <v>1999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>
        <v>2000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>
        <v>2001</v>
      </c>
      <c r="B6" s="2">
        <v>50.686378479003906</v>
      </c>
      <c r="C6" s="2">
        <v>12.777191162109375</v>
      </c>
      <c r="D6" s="2">
        <v>86.378036499023438</v>
      </c>
      <c r="E6" s="2">
        <v>0.84477299451828003</v>
      </c>
      <c r="F6" s="2">
        <v>35.691658020019531</v>
      </c>
      <c r="G6" s="2">
        <v>1.7877508401870728</v>
      </c>
      <c r="H6" s="2">
        <v>0.28613487874067162</v>
      </c>
      <c r="I6" s="2">
        <v>0.47557649257579138</v>
      </c>
      <c r="J6" s="2">
        <v>0.71348245566682822</v>
      </c>
      <c r="K6" s="2">
        <v>1.877995696119408</v>
      </c>
      <c r="L6" s="2">
        <v>1.7390584160205951</v>
      </c>
      <c r="M6" s="2">
        <v>87.741181958473192</v>
      </c>
      <c r="N6" s="2">
        <v>0.59330162455213398</v>
      </c>
      <c r="O6" s="2">
        <v>0.5868172613661502</v>
      </c>
      <c r="P6" s="2">
        <v>0.64545570081951409</v>
      </c>
      <c r="Q6" s="2">
        <v>4.1216214051041957</v>
      </c>
      <c r="R6" s="2">
        <v>16.63095215112136</v>
      </c>
      <c r="S6" s="2">
        <v>0.70632062104033166</v>
      </c>
      <c r="T6" s="2">
        <v>84.542887796507898</v>
      </c>
    </row>
    <row r="7" spans="1:20" x14ac:dyDescent="0.2">
      <c r="A7">
        <v>2002</v>
      </c>
      <c r="B7" s="2">
        <v>53.04437255859375</v>
      </c>
      <c r="C7" s="2">
        <v>13.003095626831055</v>
      </c>
      <c r="D7" s="2">
        <v>85.964912414550781</v>
      </c>
      <c r="E7" s="2">
        <v>1.031991720199585</v>
      </c>
      <c r="F7" s="2">
        <v>32.920536041259766</v>
      </c>
      <c r="G7" s="2">
        <v>1.8214653730392456</v>
      </c>
      <c r="H7" s="2">
        <v>0.28029466827948502</v>
      </c>
      <c r="I7" s="2">
        <v>0.4665023759482767</v>
      </c>
      <c r="J7" s="2">
        <v>0.70293175198294899</v>
      </c>
      <c r="K7" s="2">
        <v>1.76828686874418</v>
      </c>
      <c r="L7" s="2">
        <v>2.085460375694034</v>
      </c>
      <c r="M7" s="2">
        <v>88.110881253952655</v>
      </c>
      <c r="N7" s="2">
        <v>0.58619826231675065</v>
      </c>
      <c r="O7" s="2">
        <v>0.58151827016789959</v>
      </c>
      <c r="P7" s="2">
        <v>0.6283006617613659</v>
      </c>
      <c r="Q7" s="2">
        <v>4.0199999838354579</v>
      </c>
      <c r="R7" s="2">
        <v>15.200000370437429</v>
      </c>
      <c r="S7" s="2">
        <v>0.6915305453975028</v>
      </c>
      <c r="T7" s="2">
        <v>76.970533753788573</v>
      </c>
    </row>
    <row r="8" spans="1:20" x14ac:dyDescent="0.2">
      <c r="A8">
        <v>2003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>
        <v>2004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>
        <v>2005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>
        <v>2006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>
        <v>2007</v>
      </c>
      <c r="B12" s="2">
        <v>53.173244476318359</v>
      </c>
      <c r="C12" s="2">
        <v>10.806175231933594</v>
      </c>
      <c r="D12" s="2">
        <v>86.277870178222656</v>
      </c>
      <c r="E12" s="2">
        <v>2.9159519672393799</v>
      </c>
      <c r="F12" s="2">
        <v>33.104629516601563</v>
      </c>
      <c r="G12" s="2">
        <v>1.8353344202041626</v>
      </c>
      <c r="H12" s="2">
        <v>0.24882802800554871</v>
      </c>
      <c r="I12" s="2">
        <v>0.42314776178838992</v>
      </c>
      <c r="J12" s="2">
        <v>0.68246099013765238</v>
      </c>
      <c r="K12" s="2">
        <v>1.650587988041609</v>
      </c>
      <c r="L12" s="2">
        <v>1.388358550195401</v>
      </c>
      <c r="M12" s="2">
        <v>94.429152920609411</v>
      </c>
      <c r="N12" s="2">
        <v>0.55233232739613347</v>
      </c>
      <c r="O12" s="2">
        <v>0.5466535868277238</v>
      </c>
      <c r="P12" s="2">
        <v>0.55016913155776248</v>
      </c>
      <c r="Q12" s="2">
        <v>3.6571428925063181</v>
      </c>
      <c r="R12" s="2">
        <v>12.8486057305486</v>
      </c>
      <c r="S12" s="2">
        <v>0.60298208414143839</v>
      </c>
      <c r="T12" s="2">
        <v>87.166947291242664</v>
      </c>
    </row>
    <row r="13" spans="1:20" x14ac:dyDescent="0.2">
      <c r="A13">
        <v>2008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>
        <v>2009</v>
      </c>
      <c r="B14" s="2">
        <v>58.397270202636719</v>
      </c>
      <c r="C14" s="2">
        <v>15.345268249511719</v>
      </c>
      <c r="D14" s="2">
        <v>83.375961303710938</v>
      </c>
      <c r="E14" s="2">
        <v>1.2787723541259766</v>
      </c>
      <c r="F14" s="2">
        <v>24.978687286376953</v>
      </c>
      <c r="G14" s="2">
        <v>1.9292412996292114</v>
      </c>
      <c r="H14" s="2">
        <v>0.23820299980068929</v>
      </c>
      <c r="I14" s="2">
        <v>0.40697851170384269</v>
      </c>
      <c r="J14" s="2">
        <v>0.64834063051824553</v>
      </c>
      <c r="K14" s="2">
        <v>1.5742830131196881</v>
      </c>
      <c r="L14" s="2">
        <v>1.448285903791654</v>
      </c>
      <c r="M14" s="2">
        <v>99.812007770767934</v>
      </c>
      <c r="N14" s="2">
        <v>0.53873230490342605</v>
      </c>
      <c r="O14" s="2">
        <v>0.53400212102162914</v>
      </c>
      <c r="P14" s="2">
        <v>0.5225246440535859</v>
      </c>
      <c r="Q14" s="2">
        <v>3.4277194473039541</v>
      </c>
      <c r="R14" s="2">
        <v>11.92056340580622</v>
      </c>
      <c r="S14" s="2">
        <v>0.57780128333543024</v>
      </c>
      <c r="T14" s="2">
        <v>92.839315682552979</v>
      </c>
    </row>
    <row r="15" spans="1:20" x14ac:dyDescent="0.2">
      <c r="A15">
        <v>2010</v>
      </c>
      <c r="B15" s="2">
        <v>61.217391967773438</v>
      </c>
      <c r="C15" s="2">
        <v>20.34782600402832</v>
      </c>
      <c r="D15" s="2">
        <v>77.913047790527344</v>
      </c>
      <c r="E15" s="2">
        <v>1.7391303777694702</v>
      </c>
      <c r="F15" s="2">
        <v>16.695652008056641</v>
      </c>
      <c r="G15" s="2">
        <v>2.0713043212890625</v>
      </c>
      <c r="H15" s="2">
        <v>0.2348272563476419</v>
      </c>
      <c r="I15" s="2">
        <v>0.40199198023284843</v>
      </c>
      <c r="J15" s="2">
        <v>0.64595230288085048</v>
      </c>
      <c r="K15" s="2">
        <v>1.581047745362822</v>
      </c>
      <c r="L15" s="2">
        <v>1.3861621400405966</v>
      </c>
      <c r="M15" s="2">
        <v>102.37030743864852</v>
      </c>
      <c r="N15" s="2">
        <v>0.53483955765563174</v>
      </c>
      <c r="O15" s="2">
        <v>0.52961684228507089</v>
      </c>
      <c r="P15" s="2">
        <v>0.51418588121903497</v>
      </c>
      <c r="Q15" s="2">
        <v>3.3726114010544705</v>
      </c>
      <c r="R15" s="2">
        <v>11.550344331124052</v>
      </c>
      <c r="S15" s="2">
        <v>0.56892081448570764</v>
      </c>
      <c r="T15" s="2">
        <v>100.36342840184443</v>
      </c>
    </row>
    <row r="16" spans="1:20" x14ac:dyDescent="0.2">
      <c r="A16">
        <v>2011</v>
      </c>
      <c r="B16" s="2">
        <v>58.445949554443359</v>
      </c>
      <c r="C16" s="2">
        <v>14.104729652404785</v>
      </c>
      <c r="D16" s="2">
        <v>85.135139465332031</v>
      </c>
      <c r="E16" s="2">
        <v>0.76013517379760742</v>
      </c>
      <c r="F16" s="2">
        <v>26.689189910888672</v>
      </c>
      <c r="G16" s="2">
        <v>1.8893581628799438</v>
      </c>
      <c r="H16" s="2">
        <v>0.23145151289459251</v>
      </c>
      <c r="I16" s="2">
        <v>0.39700544876185251</v>
      </c>
      <c r="J16" s="2">
        <v>0.64356397524345499</v>
      </c>
      <c r="K16" s="2">
        <v>1.5878124776059579</v>
      </c>
      <c r="L16" s="2">
        <v>1.324038376289528</v>
      </c>
      <c r="M16" s="2">
        <v>104.9286071065293</v>
      </c>
      <c r="N16" s="2">
        <v>0.53094681040783653</v>
      </c>
      <c r="O16" s="2">
        <v>0.52523156354851064</v>
      </c>
      <c r="P16" s="2">
        <v>0.50584711838448448</v>
      </c>
      <c r="Q16" s="2">
        <v>3.3175033548049662</v>
      </c>
      <c r="R16" s="2">
        <v>11.18012525644181</v>
      </c>
      <c r="S16" s="2">
        <v>0.56004034563599048</v>
      </c>
      <c r="T16" s="2">
        <v>107.88754112113375</v>
      </c>
    </row>
    <row r="17" spans="1:20" x14ac:dyDescent="0.2">
      <c r="A17">
        <v>2012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>
        <v>2013</v>
      </c>
      <c r="B18" s="2">
        <v>47.878787994384766</v>
      </c>
      <c r="C18" s="2">
        <v>16.88311767578125</v>
      </c>
      <c r="D18" s="2">
        <v>80.952384948730469</v>
      </c>
      <c r="E18" s="2">
        <v>2.1645021438598633</v>
      </c>
      <c r="F18" s="2">
        <v>33.073593139648438</v>
      </c>
      <c r="G18" s="2">
        <v>1.881385326385498</v>
      </c>
      <c r="H18" s="2">
        <v>0.2285984264147724</v>
      </c>
      <c r="I18" s="2">
        <v>0.39194599157505028</v>
      </c>
      <c r="J18" s="2">
        <v>0.64017978314857005</v>
      </c>
      <c r="K18" s="2">
        <v>1.59826591773501</v>
      </c>
      <c r="L18" s="2">
        <v>1.267123096036576</v>
      </c>
      <c r="M18" s="2">
        <v>117.9039982482057</v>
      </c>
      <c r="N18" s="2">
        <v>0.5287386170223205</v>
      </c>
      <c r="O18" s="2">
        <v>0.52185001287658661</v>
      </c>
      <c r="P18" s="2">
        <v>0.49749157131491578</v>
      </c>
      <c r="Q18" s="2">
        <v>3.2620576387588982</v>
      </c>
      <c r="R18" s="2">
        <v>11.06194701427121</v>
      </c>
      <c r="S18" s="2">
        <v>0.55313102653986956</v>
      </c>
      <c r="T18" s="2">
        <v>139.81392820073265</v>
      </c>
    </row>
    <row r="19" spans="1:20" x14ac:dyDescent="0.2">
      <c r="A19">
        <v>2014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>
        <v>2015</v>
      </c>
      <c r="B20" s="2">
        <v>46.448978424072266</v>
      </c>
      <c r="C20" s="2">
        <v>6.775510311126709</v>
      </c>
      <c r="D20" s="2">
        <v>92.326530456542969</v>
      </c>
      <c r="E20" s="2">
        <v>0.89795917272567749</v>
      </c>
      <c r="F20" s="2">
        <v>45.877552032470703</v>
      </c>
      <c r="G20" s="2">
        <v>1.6269388198852539</v>
      </c>
      <c r="H20" s="2">
        <v>0.2195833982928159</v>
      </c>
      <c r="I20" s="2">
        <v>0.3782528544306703</v>
      </c>
      <c r="J20" s="2">
        <v>0.61667207300421856</v>
      </c>
      <c r="K20" s="2">
        <v>1.4962081440446671</v>
      </c>
      <c r="L20" s="2">
        <v>1.2792643462686759</v>
      </c>
      <c r="M20" s="2">
        <v>116.96575111688206</v>
      </c>
      <c r="N20" s="2">
        <v>0.51478924958339178</v>
      </c>
      <c r="O20" s="2">
        <v>0.51183196764375438</v>
      </c>
      <c r="P20" s="2">
        <v>0.47522178727157188</v>
      </c>
      <c r="Q20" s="2">
        <v>3.154305212297972</v>
      </c>
      <c r="R20" s="2">
        <v>9.9999998244565234</v>
      </c>
      <c r="S20" s="2">
        <v>0.52899586639455742</v>
      </c>
      <c r="T20" s="2">
        <v>125.35259667719127</v>
      </c>
    </row>
    <row r="23" spans="1:20" s="4" customFormat="1" ht="15.75" x14ac:dyDescent="0.25">
      <c r="A23" s="3"/>
      <c r="B23" s="4" t="s">
        <v>17</v>
      </c>
      <c r="J23" s="4" t="s">
        <v>20</v>
      </c>
    </row>
    <row r="36" spans="1:14" x14ac:dyDescent="0.2">
      <c r="N36" s="2"/>
    </row>
    <row r="44" spans="1:14" s="4" customFormat="1" ht="15.75" x14ac:dyDescent="0.25">
      <c r="A44" s="3"/>
      <c r="B44" s="4" t="s">
        <v>19</v>
      </c>
      <c r="J44" s="4" t="s">
        <v>21</v>
      </c>
    </row>
    <row r="57" spans="14:14" x14ac:dyDescent="0.2">
      <c r="N57" s="2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6"/>
  <sheetViews>
    <sheetView showGridLines="0" zoomScale="85" zoomScaleNormal="85" workbookViewId="0">
      <selection activeCell="B2" sqref="B2:T20"/>
    </sheetView>
  </sheetViews>
  <sheetFormatPr defaultRowHeight="12.75" x14ac:dyDescent="0.2"/>
  <cols>
    <col min="1" max="1" width="5" style="1" bestFit="1" customWidth="1"/>
  </cols>
  <sheetData>
    <row r="1" spans="1:20" x14ac:dyDescent="0.2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13</v>
      </c>
      <c r="I1" t="s">
        <v>14</v>
      </c>
      <c r="J1" t="s">
        <v>15</v>
      </c>
      <c r="K1" t="s">
        <v>5</v>
      </c>
      <c r="L1" t="s">
        <v>22</v>
      </c>
      <c r="M1" t="s">
        <v>6</v>
      </c>
      <c r="N1" t="s">
        <v>18</v>
      </c>
      <c r="O1" t="s">
        <v>7</v>
      </c>
      <c r="P1" t="s">
        <v>16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2">
      <c r="A2">
        <v>1997</v>
      </c>
      <c r="B2" s="2">
        <v>53.936965942382812</v>
      </c>
      <c r="C2" s="2">
        <v>9.4108238220214844</v>
      </c>
      <c r="D2" s="2">
        <v>88.393768310546875</v>
      </c>
      <c r="E2" s="2">
        <v>2.1954021453857422</v>
      </c>
      <c r="F2" s="2">
        <v>34.456806182861328</v>
      </c>
      <c r="G2" s="2">
        <v>1.7934482097625732</v>
      </c>
      <c r="H2" s="2">
        <v>0.25645084209751579</v>
      </c>
      <c r="I2" s="2">
        <v>0.42309018038563317</v>
      </c>
      <c r="J2" s="2">
        <v>0.6559105218371416</v>
      </c>
      <c r="K2" s="2">
        <v>1.7913040912541249</v>
      </c>
      <c r="L2" s="2">
        <v>1.7326178878528229</v>
      </c>
      <c r="M2" s="2">
        <v>110.81971331306228</v>
      </c>
      <c r="N2" s="2">
        <v>0.55522069084057168</v>
      </c>
      <c r="O2" s="2">
        <v>0.55441338540551421</v>
      </c>
      <c r="P2" s="2">
        <v>0.55006931651846469</v>
      </c>
      <c r="Q2" s="2">
        <v>3.3502203435334059</v>
      </c>
      <c r="R2" s="2">
        <v>11.09065011214364</v>
      </c>
      <c r="S2" s="2">
        <v>0.64458565374217747</v>
      </c>
      <c r="T2" s="2">
        <v>142.17495083461878</v>
      </c>
    </row>
    <row r="3" spans="1:20" x14ac:dyDescent="0.2">
      <c r="A3">
        <v>1998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>
        <v>1999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>
        <v>2000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>
        <v>2001</v>
      </c>
      <c r="B6" s="2">
        <v>52.036506652832031</v>
      </c>
      <c r="C6" s="2">
        <v>8.4135074615478516</v>
      </c>
      <c r="D6" s="2">
        <v>90.2044677734375</v>
      </c>
      <c r="E6" s="2">
        <v>1.3820189237594604</v>
      </c>
      <c r="F6" s="2">
        <v>38.16796875</v>
      </c>
      <c r="G6" s="2">
        <v>1.7300957441329956</v>
      </c>
      <c r="H6" s="2">
        <v>0.25886698422028498</v>
      </c>
      <c r="I6" s="2">
        <v>0.42224527649217142</v>
      </c>
      <c r="J6" s="2">
        <v>0.63612396736397203</v>
      </c>
      <c r="K6" s="2">
        <v>1.8215305492312299</v>
      </c>
      <c r="L6" s="2">
        <v>1.8776849849085839</v>
      </c>
      <c r="M6" s="2">
        <v>111.00775285386607</v>
      </c>
      <c r="N6" s="2">
        <v>0.55594187606513334</v>
      </c>
      <c r="O6" s="2">
        <v>0.5551786886412089</v>
      </c>
      <c r="P6" s="2">
        <v>0.54860585416581409</v>
      </c>
      <c r="Q6" s="2">
        <v>3.2273370132845072</v>
      </c>
      <c r="R6" s="2">
        <v>10.31726613814303</v>
      </c>
      <c r="S6" s="2">
        <v>0.66098195050746367</v>
      </c>
      <c r="T6" s="2">
        <v>147.10647475101175</v>
      </c>
    </row>
    <row r="7" spans="1:20" x14ac:dyDescent="0.2">
      <c r="A7">
        <v>2002</v>
      </c>
      <c r="B7" s="2">
        <v>60.406547546386719</v>
      </c>
      <c r="C7" s="2">
        <v>6.3545255661010742</v>
      </c>
      <c r="D7" s="2">
        <v>90.867088317871094</v>
      </c>
      <c r="E7" s="2">
        <v>2.7783849239349365</v>
      </c>
      <c r="F7" s="2">
        <v>30.460538864135742</v>
      </c>
      <c r="G7" s="2">
        <v>1.8145076036453247</v>
      </c>
      <c r="H7" s="2">
        <v>0.22146245196295711</v>
      </c>
      <c r="I7" s="2">
        <v>0.37340274580355132</v>
      </c>
      <c r="J7" s="2">
        <v>0.61679735072192854</v>
      </c>
      <c r="K7" s="2">
        <v>1.4629222171890881</v>
      </c>
      <c r="L7" s="2">
        <v>1.9207944139290449</v>
      </c>
      <c r="M7" s="2">
        <v>85.984498139721381</v>
      </c>
      <c r="N7" s="2">
        <v>0.51489867973149195</v>
      </c>
      <c r="O7" s="2">
        <v>0.51261085963710495</v>
      </c>
      <c r="P7" s="2">
        <v>0.46745128254122642</v>
      </c>
      <c r="Q7" s="2">
        <v>3.0370370790555592</v>
      </c>
      <c r="R7" s="2">
        <v>9.1287880444311504</v>
      </c>
      <c r="S7" s="2">
        <v>0.5548854472341489</v>
      </c>
      <c r="T7" s="2">
        <v>66.776708492232316</v>
      </c>
    </row>
    <row r="8" spans="1:20" x14ac:dyDescent="0.2">
      <c r="A8">
        <v>2003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>
        <v>2004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>
        <v>2005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>
        <v>2006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>
        <v>2007</v>
      </c>
      <c r="B12" s="2">
        <v>45.393375396728516</v>
      </c>
      <c r="C12" s="2">
        <v>8.3791160583496094</v>
      </c>
      <c r="D12" s="2">
        <v>90.230308532714844</v>
      </c>
      <c r="E12" s="2">
        <v>1.390573263168335</v>
      </c>
      <c r="F12" s="2">
        <v>44.836936950683594</v>
      </c>
      <c r="G12" s="2">
        <v>1.6632332801818848</v>
      </c>
      <c r="H12" s="2">
        <v>0.19335893664223361</v>
      </c>
      <c r="I12" s="2">
        <v>0.3324862979527331</v>
      </c>
      <c r="J12" s="2">
        <v>0.56433630886951347</v>
      </c>
      <c r="K12" s="2">
        <v>1.353667959935557</v>
      </c>
      <c r="L12" s="2">
        <v>1.1697910439821799</v>
      </c>
      <c r="M12" s="2">
        <v>86.874630779795353</v>
      </c>
      <c r="N12" s="2">
        <v>0.48217710848123568</v>
      </c>
      <c r="O12" s="2">
        <v>0.48096427000803782</v>
      </c>
      <c r="P12" s="2">
        <v>0.40419536150647178</v>
      </c>
      <c r="Q12" s="2">
        <v>2.7970067960889158</v>
      </c>
      <c r="R12" s="2">
        <v>7.9891491467792592</v>
      </c>
      <c r="S12" s="2">
        <v>0.46701461497713748</v>
      </c>
      <c r="T12" s="2">
        <v>66.298306403699485</v>
      </c>
    </row>
    <row r="13" spans="1:20" x14ac:dyDescent="0.2">
      <c r="A13">
        <v>2008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>
        <v>2009</v>
      </c>
      <c r="B14" s="2">
        <v>57.388824462890625</v>
      </c>
      <c r="C14" s="2">
        <v>13.027216911315918</v>
      </c>
      <c r="D14" s="2">
        <v>85.074928283691406</v>
      </c>
      <c r="E14" s="2">
        <v>1.8978605270385742</v>
      </c>
      <c r="F14" s="2">
        <v>27.686098098754883</v>
      </c>
      <c r="G14" s="2">
        <v>1.8913683891296387</v>
      </c>
      <c r="H14" s="2">
        <v>0.19978327437488599</v>
      </c>
      <c r="I14" s="2">
        <v>0.340502138312892</v>
      </c>
      <c r="J14" s="2">
        <v>0.61825216435051789</v>
      </c>
      <c r="K14" s="2">
        <v>1.4408083303657431</v>
      </c>
      <c r="L14" s="2">
        <v>1.0304845260577651</v>
      </c>
      <c r="M14" s="2">
        <v>92.72561356444578</v>
      </c>
      <c r="N14" s="2">
        <v>0.48972761005915932</v>
      </c>
      <c r="O14" s="2">
        <v>0.48723528379644709</v>
      </c>
      <c r="P14" s="2">
        <v>0.41627654915418738</v>
      </c>
      <c r="Q14" s="2">
        <v>2.7284086922874211</v>
      </c>
      <c r="R14" s="2">
        <v>7.8113205654159419</v>
      </c>
      <c r="S14" s="2">
        <v>0.48585852653917549</v>
      </c>
      <c r="T14" s="2">
        <v>83.378141811490053</v>
      </c>
    </row>
    <row r="15" spans="1:20" x14ac:dyDescent="0.2">
      <c r="A15">
        <v>2010</v>
      </c>
      <c r="B15" s="2">
        <v>50.629901885986328</v>
      </c>
      <c r="C15" s="2">
        <v>11.727620124816895</v>
      </c>
      <c r="D15" s="2">
        <v>87.89874267578125</v>
      </c>
      <c r="E15" s="2">
        <v>0.37363749742507935</v>
      </c>
      <c r="F15" s="2">
        <v>37.268840789794922</v>
      </c>
      <c r="G15" s="2">
        <v>1.7520605325698853</v>
      </c>
      <c r="H15" s="2">
        <v>0.193851057034097</v>
      </c>
      <c r="I15" s="2">
        <v>0.33167936685005728</v>
      </c>
      <c r="J15" s="2">
        <v>0.57490443773255606</v>
      </c>
      <c r="K15" s="2">
        <v>1.3820312127445504</v>
      </c>
      <c r="L15" s="2">
        <v>0.95374282295728108</v>
      </c>
      <c r="M15" s="2">
        <v>94.933216951703798</v>
      </c>
      <c r="N15" s="2">
        <v>0.48295225845171608</v>
      </c>
      <c r="O15" s="2">
        <v>0.48107282961983344</v>
      </c>
      <c r="P15" s="2">
        <v>0.40307437700146309</v>
      </c>
      <c r="Q15" s="2">
        <v>2.7036259505079201</v>
      </c>
      <c r="R15" s="2">
        <v>7.7332892787136132</v>
      </c>
      <c r="S15" s="2">
        <v>0.46745536537451926</v>
      </c>
      <c r="T15" s="2">
        <v>82.310438079261075</v>
      </c>
    </row>
    <row r="16" spans="1:20" x14ac:dyDescent="0.2">
      <c r="A16">
        <v>2011</v>
      </c>
      <c r="B16" s="2">
        <v>45.08929443359375</v>
      </c>
      <c r="C16" s="2">
        <v>5.3194546699523926</v>
      </c>
      <c r="D16" s="2">
        <v>94.086105346679688</v>
      </c>
      <c r="E16" s="2">
        <v>0.59444320201873779</v>
      </c>
      <c r="F16" s="2">
        <v>48.996807098388672</v>
      </c>
      <c r="G16" s="2">
        <v>1.5751153230667114</v>
      </c>
      <c r="H16" s="2">
        <v>0.18791883969331041</v>
      </c>
      <c r="I16" s="2">
        <v>0.32285659538721517</v>
      </c>
      <c r="J16" s="2">
        <v>0.53155671111460712</v>
      </c>
      <c r="K16" s="2">
        <v>1.323254095123358</v>
      </c>
      <c r="L16" s="2">
        <v>0.87700111985682605</v>
      </c>
      <c r="M16" s="2">
        <v>97.140820338963181</v>
      </c>
      <c r="N16" s="2">
        <v>0.47617690684427461</v>
      </c>
      <c r="O16" s="2">
        <v>0.47491037544321679</v>
      </c>
      <c r="P16" s="2">
        <v>0.38987220484874169</v>
      </c>
      <c r="Q16" s="2">
        <v>2.6788432087284249</v>
      </c>
      <c r="R16" s="2">
        <v>7.6552579920112844</v>
      </c>
      <c r="S16" s="2">
        <v>0.44905220420985531</v>
      </c>
      <c r="T16" s="2">
        <v>81.24273434703187</v>
      </c>
    </row>
    <row r="17" spans="1:20" x14ac:dyDescent="0.2">
      <c r="A17">
        <v>2012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>
        <v>2013</v>
      </c>
      <c r="B18" s="2">
        <v>36.036510467529297</v>
      </c>
      <c r="C18" s="2">
        <v>8.8218984603881836</v>
      </c>
      <c r="D18" s="2">
        <v>89.508209228515625</v>
      </c>
      <c r="E18" s="2">
        <v>1.6698915958404541</v>
      </c>
      <c r="F18" s="2">
        <v>53.471694946289063</v>
      </c>
      <c r="G18" s="2">
        <v>1.5868998765945435</v>
      </c>
      <c r="H18" s="2">
        <v>0.18603407507571079</v>
      </c>
      <c r="I18" s="2">
        <v>0.3174754106460817</v>
      </c>
      <c r="J18" s="2">
        <v>0.52332877315776472</v>
      </c>
      <c r="K18" s="2">
        <v>1.304163835587222</v>
      </c>
      <c r="L18" s="2">
        <v>0.94688488047903996</v>
      </c>
      <c r="M18" s="2">
        <v>115.44695129421818</v>
      </c>
      <c r="N18" s="2">
        <v>0.47263494811675288</v>
      </c>
      <c r="O18" s="2">
        <v>0.4716183608599126</v>
      </c>
      <c r="P18" s="2">
        <v>0.38195672421473442</v>
      </c>
      <c r="Q18" s="2">
        <v>2.6075306605465109</v>
      </c>
      <c r="R18" s="2">
        <v>7.1704109827924434</v>
      </c>
      <c r="S18" s="2">
        <v>0.44961307825751101</v>
      </c>
      <c r="T18" s="2">
        <v>113.02269400562903</v>
      </c>
    </row>
    <row r="19" spans="1:20" x14ac:dyDescent="0.2">
      <c r="A19">
        <v>2014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>
        <v>2015</v>
      </c>
      <c r="B20" s="2">
        <v>48.472450256347656</v>
      </c>
      <c r="C20" s="2">
        <v>4.3216900825500488</v>
      </c>
      <c r="D20" s="2">
        <v>94.941566467285156</v>
      </c>
      <c r="E20" s="2">
        <v>0.73674160242080688</v>
      </c>
      <c r="F20" s="2">
        <v>46.4691162109375</v>
      </c>
      <c r="G20" s="2">
        <v>1.593260645866394</v>
      </c>
      <c r="H20" s="2">
        <v>0.18414931045811112</v>
      </c>
      <c r="I20" s="2">
        <v>0.31209422590494817</v>
      </c>
      <c r="J20" s="2">
        <v>0.51510083520092209</v>
      </c>
      <c r="K20" s="2">
        <v>1.285073576051083</v>
      </c>
      <c r="L20" s="2">
        <v>1.0167686411012511</v>
      </c>
      <c r="M20" s="2">
        <v>133.75308224947003</v>
      </c>
      <c r="N20" s="2">
        <v>0.46909298938923127</v>
      </c>
      <c r="O20" s="2">
        <v>0.46832634627660852</v>
      </c>
      <c r="P20" s="2">
        <v>0.37404124358072721</v>
      </c>
      <c r="Q20" s="2">
        <v>2.5362181123645939</v>
      </c>
      <c r="R20" s="2">
        <v>6.6855639735736077</v>
      </c>
      <c r="S20" s="2">
        <v>0.45017395230516671</v>
      </c>
      <c r="T20" s="2">
        <v>144.80265366422827</v>
      </c>
    </row>
    <row r="23" spans="1:20" s="4" customFormat="1" ht="15.75" x14ac:dyDescent="0.25">
      <c r="A23" s="3"/>
      <c r="B23" s="4" t="s">
        <v>17</v>
      </c>
      <c r="J23" s="4" t="s">
        <v>20</v>
      </c>
    </row>
    <row r="36" spans="1:14" x14ac:dyDescent="0.2">
      <c r="N36" s="2"/>
    </row>
    <row r="44" spans="1:14" s="4" customFormat="1" ht="15.75" x14ac:dyDescent="0.25">
      <c r="A44" s="3"/>
      <c r="B44" s="4" t="s">
        <v>19</v>
      </c>
      <c r="J44" s="4" t="s">
        <v>21</v>
      </c>
    </row>
    <row r="57" spans="14:14" x14ac:dyDescent="0.2">
      <c r="N57" s="2"/>
    </row>
    <row r="76" spans="14:14" x14ac:dyDescent="0.2">
      <c r="N76" s="2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showGridLines="0" zoomScale="85" zoomScaleNormal="85" workbookViewId="0">
      <selection activeCell="B2" sqref="B2:T20"/>
    </sheetView>
  </sheetViews>
  <sheetFormatPr defaultRowHeight="12.75" x14ac:dyDescent="0.2"/>
  <cols>
    <col min="1" max="1" width="5" style="1" bestFit="1" customWidth="1"/>
  </cols>
  <sheetData>
    <row r="1" spans="1:20" x14ac:dyDescent="0.2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13</v>
      </c>
      <c r="I1" t="s">
        <v>14</v>
      </c>
      <c r="J1" t="s">
        <v>15</v>
      </c>
      <c r="K1" t="s">
        <v>5</v>
      </c>
      <c r="L1" t="s">
        <v>22</v>
      </c>
      <c r="M1" t="s">
        <v>6</v>
      </c>
      <c r="N1" t="s">
        <v>18</v>
      </c>
      <c r="O1" t="s">
        <v>7</v>
      </c>
      <c r="P1" t="s">
        <v>16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2">
      <c r="A2">
        <v>1997</v>
      </c>
      <c r="B2" s="2">
        <v>52.269023895263672</v>
      </c>
      <c r="C2" s="2">
        <v>8.6394262313842773</v>
      </c>
      <c r="D2" s="2">
        <v>84.786552429199219</v>
      </c>
      <c r="E2" s="2">
        <v>6.5740237236022949</v>
      </c>
      <c r="F2" s="2">
        <v>32.517524719238281</v>
      </c>
      <c r="G2" s="2">
        <v>1.8926994800567627</v>
      </c>
      <c r="H2" s="2">
        <v>0.30371529400700226</v>
      </c>
      <c r="I2" s="2">
        <v>0.49499268761890569</v>
      </c>
      <c r="J2" s="2">
        <v>0.72944454508006373</v>
      </c>
      <c r="K2" s="2">
        <v>2.2389950030229784</v>
      </c>
      <c r="L2" s="2">
        <v>2.1346519589230084</v>
      </c>
      <c r="M2" s="2">
        <v>77.352042482441902</v>
      </c>
      <c r="N2" s="2">
        <v>0.6046756330471208</v>
      </c>
      <c r="O2" s="2">
        <v>0.60404768007827414</v>
      </c>
      <c r="P2" s="2">
        <v>0.68051249693984417</v>
      </c>
      <c r="Q2" s="2">
        <v>3.7326735806456615</v>
      </c>
      <c r="R2" s="2">
        <v>14.988264730243543</v>
      </c>
      <c r="S2" s="2">
        <v>0.76877858768986584</v>
      </c>
      <c r="T2" s="2">
        <v>84.24909841012871</v>
      </c>
    </row>
    <row r="3" spans="1:20" x14ac:dyDescent="0.2">
      <c r="A3">
        <v>1998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>
        <v>1999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>
        <v>2000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>
        <v>2001</v>
      </c>
      <c r="B6" s="2">
        <v>42.482681274414063</v>
      </c>
      <c r="C6" s="2">
        <v>3.5919356346130371</v>
      </c>
      <c r="D6" s="2">
        <v>95.812408447265625</v>
      </c>
      <c r="E6" s="2">
        <v>0.59565186500549316</v>
      </c>
      <c r="F6" s="2">
        <v>53.329730987548828</v>
      </c>
      <c r="G6" s="2">
        <v>1.5145350694656372</v>
      </c>
      <c r="H6" s="2">
        <v>0.28672086347422798</v>
      </c>
      <c r="I6" s="2">
        <v>0.47299544564149798</v>
      </c>
      <c r="J6" s="2">
        <v>0.71881572911957203</v>
      </c>
      <c r="K6" s="2">
        <v>2.0575725288672402</v>
      </c>
      <c r="L6" s="2">
        <v>2.0564256727018275</v>
      </c>
      <c r="M6" s="2">
        <v>82.988345435679093</v>
      </c>
      <c r="N6" s="2">
        <v>0.58697446671515152</v>
      </c>
      <c r="O6" s="2">
        <v>0.58545967360565498</v>
      </c>
      <c r="P6" s="2">
        <v>0.64023459817617479</v>
      </c>
      <c r="Q6" s="2">
        <v>3.712785729089763</v>
      </c>
      <c r="R6" s="2">
        <v>14.247652150508259</v>
      </c>
      <c r="S6" s="2">
        <v>0.72147508496489365</v>
      </c>
      <c r="T6" s="2">
        <v>84.442750447258717</v>
      </c>
    </row>
    <row r="7" spans="1:20" x14ac:dyDescent="0.2">
      <c r="A7">
        <v>2002</v>
      </c>
      <c r="B7" s="2">
        <v>49.211589813232422</v>
      </c>
      <c r="C7" s="2">
        <v>6.7983059883117676</v>
      </c>
      <c r="D7" s="2">
        <v>90.709678649902344</v>
      </c>
      <c r="E7" s="2">
        <v>2.4920158386230469</v>
      </c>
      <c r="F7" s="2">
        <v>41.498092651367188</v>
      </c>
      <c r="G7" s="2">
        <v>1.7028424739837646</v>
      </c>
      <c r="H7" s="2">
        <v>0.28247225584103403</v>
      </c>
      <c r="I7" s="2">
        <v>0.46749613514714572</v>
      </c>
      <c r="J7" s="2">
        <v>0.71615852512944911</v>
      </c>
      <c r="K7" s="2">
        <v>2.0122169103283092</v>
      </c>
      <c r="L7" s="2">
        <v>2.0368691011465319</v>
      </c>
      <c r="M7" s="2">
        <v>84.397421173988391</v>
      </c>
      <c r="N7" s="2">
        <v>0.58254917513215765</v>
      </c>
      <c r="O7" s="2">
        <v>0.58081267198749986</v>
      </c>
      <c r="P7" s="2">
        <v>0.63016512348525688</v>
      </c>
      <c r="Q7" s="2">
        <v>3.707813766200788</v>
      </c>
      <c r="R7" s="2">
        <v>14.06249900557439</v>
      </c>
      <c r="S7" s="2">
        <v>0.70964920928364905</v>
      </c>
      <c r="T7" s="2">
        <v>84.491163456541216</v>
      </c>
    </row>
    <row r="8" spans="1:20" x14ac:dyDescent="0.2">
      <c r="A8">
        <v>2003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>
        <v>2004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>
        <v>2005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>
        <v>2006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>
        <v>2007</v>
      </c>
      <c r="B12" s="2">
        <v>52.586257934570313</v>
      </c>
      <c r="C12" s="2">
        <v>16.704448699951172</v>
      </c>
      <c r="D12" s="2">
        <v>81.378486633300781</v>
      </c>
      <c r="E12" s="2">
        <v>1.9170601367950439</v>
      </c>
      <c r="F12" s="2">
        <v>28.792232513427734</v>
      </c>
      <c r="G12" s="2">
        <v>1.9174634218215942</v>
      </c>
      <c r="H12" s="2">
        <v>0.26122921767506618</v>
      </c>
      <c r="I12" s="2">
        <v>0.4399995826753858</v>
      </c>
      <c r="J12" s="2">
        <v>0.70287250517883426</v>
      </c>
      <c r="K12" s="2">
        <v>1.785438817633632</v>
      </c>
      <c r="L12" s="2">
        <v>1.9390862433700511</v>
      </c>
      <c r="M12" s="2">
        <v>91.442799865534894</v>
      </c>
      <c r="N12" s="2">
        <v>0.56042271721719572</v>
      </c>
      <c r="O12" s="2">
        <v>0.55757766389672703</v>
      </c>
      <c r="P12" s="2">
        <v>0.57981775003067038</v>
      </c>
      <c r="Q12" s="2">
        <v>3.6829539517559131</v>
      </c>
      <c r="R12" s="2">
        <v>13.13673328090529</v>
      </c>
      <c r="S12" s="2">
        <v>0.65051983087743126</v>
      </c>
      <c r="T12" s="2">
        <v>84.733228502953722</v>
      </c>
    </row>
    <row r="13" spans="1:20" x14ac:dyDescent="0.2">
      <c r="A13">
        <v>2008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>
        <v>2009</v>
      </c>
      <c r="B14" s="2">
        <v>53.26202392578125</v>
      </c>
      <c r="C14" s="2">
        <v>16.74737548828125</v>
      </c>
      <c r="D14" s="2">
        <v>80.838478088378906</v>
      </c>
      <c r="E14" s="2">
        <v>2.4141478538513184</v>
      </c>
      <c r="F14" s="2">
        <v>27.576450347900391</v>
      </c>
      <c r="G14" s="2">
        <v>1.9399921894073486</v>
      </c>
      <c r="H14" s="2">
        <v>0.26128205050795511</v>
      </c>
      <c r="I14" s="2">
        <v>0.43815920418098681</v>
      </c>
      <c r="J14" s="2">
        <v>0.99996889311917136</v>
      </c>
      <c r="K14" s="2">
        <v>1.8553989729058209</v>
      </c>
      <c r="L14" s="2">
        <v>1.9546658333823339</v>
      </c>
      <c r="M14" s="2">
        <v>96.514241376037134</v>
      </c>
      <c r="N14" s="2">
        <v>0.55918039726909274</v>
      </c>
      <c r="O14" s="2">
        <v>0.55698949308633428</v>
      </c>
      <c r="P14" s="2">
        <v>0.57653675068105215</v>
      </c>
      <c r="Q14" s="2">
        <v>3.619438801590849</v>
      </c>
      <c r="R14" s="2">
        <v>12.24640987186938</v>
      </c>
      <c r="S14" s="2">
        <v>0.65582162256096721</v>
      </c>
      <c r="T14" s="2">
        <v>102.15013274263075</v>
      </c>
    </row>
    <row r="15" spans="1:20" x14ac:dyDescent="0.2">
      <c r="A15">
        <v>2010</v>
      </c>
      <c r="B15" s="2">
        <v>52.542388916015625</v>
      </c>
      <c r="C15" s="2">
        <v>13.002226829528809</v>
      </c>
      <c r="D15" s="2">
        <v>84.779045104980469</v>
      </c>
      <c r="E15" s="2">
        <v>2.218731164932251</v>
      </c>
      <c r="F15" s="2">
        <v>32.236656188964844</v>
      </c>
      <c r="G15" s="2">
        <v>1.8520302772521973</v>
      </c>
      <c r="H15" s="2">
        <v>0.25730661511034242</v>
      </c>
      <c r="I15" s="2">
        <v>0.42968359229366121</v>
      </c>
      <c r="J15" s="2">
        <v>0.99937075331866854</v>
      </c>
      <c r="K15" s="2">
        <v>1.820109927600613</v>
      </c>
      <c r="L15" s="2">
        <v>2.0651330899408209</v>
      </c>
      <c r="M15" s="2">
        <v>101.78944838948463</v>
      </c>
      <c r="N15" s="2">
        <v>0.55499444428844957</v>
      </c>
      <c r="O15" s="2">
        <v>0.55337613224527371</v>
      </c>
      <c r="P15" s="2">
        <v>0.56156397092615618</v>
      </c>
      <c r="Q15" s="2">
        <v>3.570731350061036</v>
      </c>
      <c r="R15" s="2">
        <v>12.23689265365778</v>
      </c>
      <c r="S15" s="2">
        <v>0.64822775961992707</v>
      </c>
      <c r="T15" s="2">
        <v>110.77338475758891</v>
      </c>
    </row>
    <row r="16" spans="1:20" x14ac:dyDescent="0.2">
      <c r="A16">
        <v>2011</v>
      </c>
      <c r="B16" s="2">
        <v>58.690185546875</v>
      </c>
      <c r="C16" s="2">
        <v>9.9695758819580078</v>
      </c>
      <c r="D16" s="2">
        <v>87.821983337402344</v>
      </c>
      <c r="E16" s="2">
        <v>2.2084372043609619</v>
      </c>
      <c r="F16" s="2">
        <v>29.131803512573242</v>
      </c>
      <c r="G16" s="2">
        <v>1.8525464534759521</v>
      </c>
      <c r="H16" s="2">
        <v>0.2445665711946359</v>
      </c>
      <c r="I16" s="2">
        <v>0.41401496001336741</v>
      </c>
      <c r="J16" s="2">
        <v>0.99983825106996738</v>
      </c>
      <c r="K16" s="2">
        <v>1.676992646531948</v>
      </c>
      <c r="L16" s="2">
        <v>1.4607505879278531</v>
      </c>
      <c r="M16" s="2">
        <v>104.6940354700471</v>
      </c>
      <c r="N16" s="2">
        <v>0.5417565583778009</v>
      </c>
      <c r="O16" s="2">
        <v>0.54024097225114387</v>
      </c>
      <c r="P16" s="2">
        <v>0.53446101876398322</v>
      </c>
      <c r="Q16" s="2">
        <v>3.438053351779228</v>
      </c>
      <c r="R16" s="2">
        <v>11.34361491292125</v>
      </c>
      <c r="S16" s="2">
        <v>0.60111215418886854</v>
      </c>
      <c r="T16" s="2">
        <v>104.37744813142717</v>
      </c>
    </row>
    <row r="17" spans="1:20" x14ac:dyDescent="0.2">
      <c r="A17">
        <v>2012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>
        <v>2013</v>
      </c>
      <c r="B18" s="2">
        <v>49.300064086914063</v>
      </c>
      <c r="C18" s="2">
        <v>13.740815162658691</v>
      </c>
      <c r="D18" s="2">
        <v>85.383895874023437</v>
      </c>
      <c r="E18" s="2">
        <v>0.87528795003890991</v>
      </c>
      <c r="F18" s="2">
        <v>36.083831787109375</v>
      </c>
      <c r="G18" s="2">
        <v>1.794075608253479</v>
      </c>
      <c r="H18" s="2">
        <v>0.23762196074732381</v>
      </c>
      <c r="I18" s="2">
        <v>0.40778267870925061</v>
      </c>
      <c r="J18" s="2">
        <v>0.99995307712263504</v>
      </c>
      <c r="K18" s="2">
        <v>1.6143617980509191</v>
      </c>
      <c r="L18" s="2">
        <v>1.36315547408283</v>
      </c>
      <c r="M18" s="2">
        <v>108.60288226933672</v>
      </c>
      <c r="N18" s="2">
        <v>0.53487819993255947</v>
      </c>
      <c r="O18" s="2">
        <v>0.53305967263078824</v>
      </c>
      <c r="P18" s="2">
        <v>0.52388161468667549</v>
      </c>
      <c r="Q18" s="2">
        <v>3.475316810534288</v>
      </c>
      <c r="R18" s="2">
        <v>11.37592949622133</v>
      </c>
      <c r="S18" s="2">
        <v>0.57582921464087888</v>
      </c>
      <c r="T18" s="2">
        <v>106.90753222013643</v>
      </c>
    </row>
    <row r="19" spans="1:20" x14ac:dyDescent="0.2">
      <c r="A19">
        <v>2014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>
        <v>2015</v>
      </c>
      <c r="B20" s="2">
        <v>50.418060302734375</v>
      </c>
      <c r="C20" s="2">
        <v>13.404644966125488</v>
      </c>
      <c r="D20" s="2">
        <v>85.589370727539063</v>
      </c>
      <c r="E20" s="2">
        <v>1.005980372428894</v>
      </c>
      <c r="F20" s="2">
        <v>35.171314239501953</v>
      </c>
      <c r="G20" s="2">
        <v>1.8024529218673706</v>
      </c>
      <c r="H20" s="2">
        <v>0.23707553263095019</v>
      </c>
      <c r="I20" s="2">
        <v>0.4061214688382887</v>
      </c>
      <c r="J20" s="2">
        <v>0.65750016434850378</v>
      </c>
      <c r="K20" s="2">
        <v>1.555790452729773</v>
      </c>
      <c r="L20" s="2">
        <v>1.2040463652608919</v>
      </c>
      <c r="M20" s="2">
        <v>112.55916732176026</v>
      </c>
      <c r="N20" s="2">
        <v>0.53497259806746278</v>
      </c>
      <c r="O20" s="2">
        <v>0.53328355611627221</v>
      </c>
      <c r="P20" s="2">
        <v>0.52108047352476738</v>
      </c>
      <c r="Q20" s="2">
        <v>3.4124108507298212</v>
      </c>
      <c r="R20" s="2">
        <v>11.411062695449161</v>
      </c>
      <c r="S20" s="2">
        <v>0.56989913831468086</v>
      </c>
      <c r="T20" s="2">
        <v>106.56708276759757</v>
      </c>
    </row>
    <row r="22" spans="1:20" s="4" customFormat="1" ht="15.75" x14ac:dyDescent="0.25">
      <c r="A22" s="3"/>
      <c r="B22" s="4" t="s">
        <v>17</v>
      </c>
      <c r="J22" s="4" t="s">
        <v>20</v>
      </c>
    </row>
    <row r="35" spans="1:14" x14ac:dyDescent="0.2">
      <c r="N35" s="2"/>
    </row>
    <row r="43" spans="1:14" s="4" customFormat="1" ht="15.75" x14ac:dyDescent="0.25">
      <c r="A43" s="3"/>
      <c r="B43" s="4" t="s">
        <v>19</v>
      </c>
      <c r="J43" s="4" t="s">
        <v>21</v>
      </c>
    </row>
    <row r="56" spans="14:14" x14ac:dyDescent="0.2">
      <c r="N56" s="2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showGridLines="0" zoomScale="85" zoomScaleNormal="85" workbookViewId="0">
      <selection activeCell="B2" sqref="B2:T20"/>
    </sheetView>
  </sheetViews>
  <sheetFormatPr defaultRowHeight="12.75" x14ac:dyDescent="0.2"/>
  <cols>
    <col min="1" max="1" width="5" style="1" bestFit="1" customWidth="1"/>
  </cols>
  <sheetData>
    <row r="1" spans="1:20" x14ac:dyDescent="0.2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13</v>
      </c>
      <c r="I1" t="s">
        <v>14</v>
      </c>
      <c r="J1" t="s">
        <v>15</v>
      </c>
      <c r="K1" t="s">
        <v>5</v>
      </c>
      <c r="L1" t="s">
        <v>22</v>
      </c>
      <c r="M1" t="s">
        <v>6</v>
      </c>
      <c r="N1" t="s">
        <v>18</v>
      </c>
      <c r="O1" t="s">
        <v>7</v>
      </c>
      <c r="P1" t="s">
        <v>16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2">
      <c r="A2">
        <v>1997</v>
      </c>
      <c r="B2" s="2">
        <v>61.967544555664063</v>
      </c>
      <c r="C2" s="2">
        <v>14.40162181854248</v>
      </c>
      <c r="D2" s="2">
        <v>77.281944274902344</v>
      </c>
      <c r="E2" s="2">
        <v>8.3164300918579102</v>
      </c>
      <c r="F2" s="2">
        <v>15.314401626586914</v>
      </c>
      <c r="G2" s="2">
        <v>2.157200813293457</v>
      </c>
      <c r="H2" s="2">
        <v>0.13472155243611894</v>
      </c>
      <c r="I2" s="2">
        <v>0.23112328975436114</v>
      </c>
      <c r="J2" s="2">
        <v>0.39790214997669793</v>
      </c>
      <c r="K2" s="2">
        <v>1.6732678206552478</v>
      </c>
      <c r="L2" s="2">
        <v>-1.4609877838879584</v>
      </c>
      <c r="M2" s="2">
        <v>52.897305170670734</v>
      </c>
      <c r="N2" s="2">
        <v>0.41584628993251549</v>
      </c>
      <c r="O2" s="2">
        <v>0.41364103820633247</v>
      </c>
      <c r="P2" s="2">
        <v>0.25119019172128532</v>
      </c>
      <c r="Q2" s="2">
        <v>0.31823913469315812</v>
      </c>
      <c r="R2" s="2">
        <v>3.9323973542769863</v>
      </c>
      <c r="S2" s="2">
        <v>0.2861303450073116</v>
      </c>
      <c r="T2" s="2">
        <v>100.39299181570391</v>
      </c>
    </row>
    <row r="3" spans="1:20" x14ac:dyDescent="0.2">
      <c r="A3">
        <v>1998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>
        <v>1999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>
        <v>2000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>
        <v>2001</v>
      </c>
      <c r="B6" s="2">
        <v>51.855777740478516</v>
      </c>
      <c r="C6" s="2">
        <v>14.209967613220215</v>
      </c>
      <c r="D6" s="2">
        <v>84.517494201660156</v>
      </c>
      <c r="E6" s="2">
        <v>1.2725344896316528</v>
      </c>
      <c r="F6" s="2">
        <v>32.661716461181641</v>
      </c>
      <c r="G6" s="2">
        <v>1.8409332036972046</v>
      </c>
      <c r="H6" s="2">
        <v>0.15150261549220545</v>
      </c>
      <c r="I6" s="2">
        <v>0.26263215347612068</v>
      </c>
      <c r="J6" s="2">
        <v>0.44655389261206579</v>
      </c>
      <c r="K6" s="2">
        <v>1.5510828018285707</v>
      </c>
      <c r="L6" s="2">
        <v>-0.76172348827213909</v>
      </c>
      <c r="M6" s="2">
        <v>65.51252790808212</v>
      </c>
      <c r="N6" s="2">
        <v>0.4358814918172591</v>
      </c>
      <c r="O6" s="2">
        <v>0.43403096592885149</v>
      </c>
      <c r="P6" s="2">
        <v>0.29874883907745442</v>
      </c>
      <c r="Q6" s="2">
        <v>1.1359230607977224</v>
      </c>
      <c r="R6" s="2">
        <v>5.4844928543159313</v>
      </c>
      <c r="S6" s="2">
        <v>0.33308662643701226</v>
      </c>
      <c r="T6" s="2">
        <v>99.046083782460073</v>
      </c>
    </row>
    <row r="7" spans="1:20" x14ac:dyDescent="0.2">
      <c r="A7">
        <v>2002</v>
      </c>
      <c r="B7" s="2">
        <v>58.888889312744141</v>
      </c>
      <c r="C7" s="2">
        <v>23.666666030883789</v>
      </c>
      <c r="D7" s="2">
        <v>75</v>
      </c>
      <c r="E7" s="2">
        <v>1.3333333730697632</v>
      </c>
      <c r="F7" s="2">
        <v>16.111110687255859</v>
      </c>
      <c r="G7" s="2">
        <v>2.102222204208374</v>
      </c>
      <c r="H7" s="2">
        <v>0.15569788125622708</v>
      </c>
      <c r="I7" s="2">
        <v>0.27050936940656101</v>
      </c>
      <c r="J7" s="2">
        <v>0.45871682827090865</v>
      </c>
      <c r="K7" s="2">
        <v>1.5205365471218997</v>
      </c>
      <c r="L7" s="2">
        <v>-0.58690741436817007</v>
      </c>
      <c r="M7" s="2">
        <v>68.666333592434967</v>
      </c>
      <c r="N7" s="2">
        <v>0.44089029228844545</v>
      </c>
      <c r="O7" s="2">
        <v>0.43912844785948124</v>
      </c>
      <c r="P7" s="2">
        <v>0.3106385009164967</v>
      </c>
      <c r="Q7" s="2">
        <v>1.3403440423238635</v>
      </c>
      <c r="R7" s="2">
        <v>5.8725167293256391</v>
      </c>
      <c r="S7" s="2">
        <v>0.34482569679443742</v>
      </c>
      <c r="T7" s="2">
        <v>98.709356774149114</v>
      </c>
    </row>
    <row r="8" spans="1:20" x14ac:dyDescent="0.2">
      <c r="A8">
        <v>2003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>
        <v>2004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>
        <v>2005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>
        <v>2006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>
        <v>2007</v>
      </c>
      <c r="B12" s="2">
        <v>53.505348205566406</v>
      </c>
      <c r="C12" s="2">
        <v>26.243099212646484</v>
      </c>
      <c r="D12" s="2">
        <v>70.427703857421875</v>
      </c>
      <c r="E12" s="2">
        <v>3.3291990756988525</v>
      </c>
      <c r="F12" s="2">
        <v>16.92234992980957</v>
      </c>
      <c r="G12" s="2">
        <v>2.1597914695739746</v>
      </c>
      <c r="H12" s="2">
        <v>0.17667421007633344</v>
      </c>
      <c r="I12" s="2">
        <v>0.30989544905876087</v>
      </c>
      <c r="J12" s="2">
        <v>0.51953150656511582</v>
      </c>
      <c r="K12" s="2">
        <v>1.3678052735885444</v>
      </c>
      <c r="L12" s="2">
        <v>0.28717295515161823</v>
      </c>
      <c r="M12" s="2">
        <v>84.435362014200109</v>
      </c>
      <c r="N12" s="2">
        <v>0.46593429464437364</v>
      </c>
      <c r="O12" s="2">
        <v>0.46461585751263001</v>
      </c>
      <c r="P12" s="2">
        <v>0.37008681011170808</v>
      </c>
      <c r="Q12" s="2">
        <v>2.3624489499545689</v>
      </c>
      <c r="R12" s="2">
        <v>7.8126361043742918</v>
      </c>
      <c r="S12" s="2">
        <v>0.40352104858155968</v>
      </c>
      <c r="T12" s="2">
        <v>97.025721732594207</v>
      </c>
    </row>
    <row r="13" spans="1:20" x14ac:dyDescent="0.2">
      <c r="A13">
        <v>2008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>
        <v>2009</v>
      </c>
      <c r="B14" s="2">
        <v>52.325584411621094</v>
      </c>
      <c r="C14" s="2">
        <v>25.898519515991211</v>
      </c>
      <c r="D14" s="2">
        <v>69.5560302734375</v>
      </c>
      <c r="E14" s="2">
        <v>4.5454545021057129</v>
      </c>
      <c r="F14" s="2">
        <v>17.230443954467773</v>
      </c>
      <c r="G14" s="2">
        <v>2.1775898933410645</v>
      </c>
      <c r="H14" s="2">
        <v>0.18506474160437669</v>
      </c>
      <c r="I14" s="2">
        <v>0.32564988091963976</v>
      </c>
      <c r="J14" s="2">
        <v>0.54385737788280153</v>
      </c>
      <c r="K14" s="2">
        <v>1.3067127641752023</v>
      </c>
      <c r="L14" s="2">
        <v>0.63680510295949944</v>
      </c>
      <c r="M14" s="2">
        <v>90.742973382905802</v>
      </c>
      <c r="N14" s="2">
        <v>0.47595189558674633</v>
      </c>
      <c r="O14" s="2">
        <v>0.4748108213738913</v>
      </c>
      <c r="P14" s="2">
        <v>0.39386613378979263</v>
      </c>
      <c r="Q14" s="2">
        <v>2.771290913006851</v>
      </c>
      <c r="R14" s="2">
        <v>8.5886838543938211</v>
      </c>
      <c r="S14" s="2">
        <v>0.42699918929641001</v>
      </c>
      <c r="T14" s="2">
        <v>96.352267715972289</v>
      </c>
    </row>
    <row r="15" spans="1:20" x14ac:dyDescent="0.2">
      <c r="A15">
        <v>2010</v>
      </c>
      <c r="B15" s="2">
        <v>53.2091064453125</v>
      </c>
      <c r="C15" s="2">
        <v>24.327121734619141</v>
      </c>
      <c r="D15" s="2">
        <v>73.084884643554688</v>
      </c>
      <c r="E15" s="2">
        <v>2.5879917144775391</v>
      </c>
      <c r="F15" s="2">
        <v>19.875776290893555</v>
      </c>
      <c r="G15" s="2">
        <v>2.0962731838226318</v>
      </c>
      <c r="H15" s="2">
        <v>0.18926000736839921</v>
      </c>
      <c r="I15" s="2">
        <v>0.33352709685008058</v>
      </c>
      <c r="J15" s="2">
        <v>0.55602031354164527</v>
      </c>
      <c r="K15" s="2">
        <v>1.2761665094685339</v>
      </c>
      <c r="L15" s="2">
        <v>0.81162117686347279</v>
      </c>
      <c r="M15" s="2">
        <v>93.89677906725835</v>
      </c>
      <c r="N15" s="2">
        <v>0.48096069605793268</v>
      </c>
      <c r="O15" s="2">
        <v>0.47990830330452072</v>
      </c>
      <c r="P15" s="2">
        <v>0.4057557956288354</v>
      </c>
      <c r="Q15" s="2">
        <v>2.975711894533017</v>
      </c>
      <c r="R15" s="2">
        <v>8.9767077294035236</v>
      </c>
      <c r="S15" s="2">
        <v>0.43873825965383573</v>
      </c>
      <c r="T15" s="2">
        <v>96.015540707661359</v>
      </c>
    </row>
    <row r="16" spans="1:20" x14ac:dyDescent="0.2">
      <c r="A16">
        <v>2011</v>
      </c>
      <c r="B16" s="2">
        <v>50.976360321044922</v>
      </c>
      <c r="C16" s="2">
        <v>22.096609115600586</v>
      </c>
      <c r="D16" s="2">
        <v>75.436798095703125</v>
      </c>
      <c r="E16" s="2">
        <v>2.4665980339050293</v>
      </c>
      <c r="F16" s="2">
        <v>24.460432052612305</v>
      </c>
      <c r="G16" s="2">
        <v>2.0256936550140381</v>
      </c>
      <c r="H16" s="2">
        <v>0.1934552731324207</v>
      </c>
      <c r="I16" s="2">
        <v>0.34140431278052041</v>
      </c>
      <c r="J16" s="2">
        <v>0.56818324920048724</v>
      </c>
      <c r="K16" s="2">
        <v>1.2456202547618631</v>
      </c>
      <c r="L16" s="2">
        <v>0.98643725076742705</v>
      </c>
      <c r="M16" s="2">
        <v>97.050584751611311</v>
      </c>
      <c r="N16" s="2">
        <v>0.48596949652911858</v>
      </c>
      <c r="O16" s="2">
        <v>0.48500578523515059</v>
      </c>
      <c r="P16" s="2">
        <v>0.41764545746787751</v>
      </c>
      <c r="Q16" s="2">
        <v>3.180132876059159</v>
      </c>
      <c r="R16" s="2">
        <v>9.364731604413258</v>
      </c>
      <c r="S16" s="2">
        <v>0.45047733001126061</v>
      </c>
      <c r="T16" s="2">
        <v>95.678813699350385</v>
      </c>
    </row>
    <row r="17" spans="1:20" x14ac:dyDescent="0.2">
      <c r="A17">
        <v>2012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>
        <v>2013</v>
      </c>
      <c r="B18" s="2">
        <v>47.695606231689453</v>
      </c>
      <c r="C18" s="2">
        <v>13.504822731018066</v>
      </c>
      <c r="D18" s="2">
        <v>84.137191772460938</v>
      </c>
      <c r="E18" s="2">
        <v>2.3579850196838379</v>
      </c>
      <c r="F18" s="2">
        <v>36.441585540771484</v>
      </c>
      <c r="G18" s="2">
        <v>1.8177920579910278</v>
      </c>
      <c r="H18" s="2">
        <v>0.19731108957764251</v>
      </c>
      <c r="I18" s="2">
        <v>0.35028575497767062</v>
      </c>
      <c r="J18" s="2">
        <v>0.58528396868947064</v>
      </c>
      <c r="K18" s="2">
        <v>1.248503866213005</v>
      </c>
      <c r="L18" s="2">
        <v>0.77856520430341825</v>
      </c>
      <c r="M18" s="2">
        <v>105.52162863481685</v>
      </c>
      <c r="N18" s="2">
        <v>0.49175686650402822</v>
      </c>
      <c r="O18" s="2">
        <v>0.49144059687502561</v>
      </c>
      <c r="P18" s="2">
        <v>0.43122263579749393</v>
      </c>
      <c r="Q18" s="2">
        <v>3.2249482736487858</v>
      </c>
      <c r="R18" s="2">
        <v>9.7198726200096424</v>
      </c>
      <c r="S18" s="2">
        <v>0.45071652173261417</v>
      </c>
      <c r="T18" s="2">
        <v>110.67835062488575</v>
      </c>
    </row>
    <row r="19" spans="1:20" x14ac:dyDescent="0.2">
      <c r="A19">
        <v>2014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>
        <v>2015</v>
      </c>
      <c r="B20" s="2">
        <v>51.490234375</v>
      </c>
      <c r="C20" s="2">
        <v>16.855087280273438</v>
      </c>
      <c r="D20" s="2">
        <v>81.294967651367188</v>
      </c>
      <c r="E20" s="2">
        <v>1.8499486446380615</v>
      </c>
      <c r="F20" s="2">
        <v>29.804727554321289</v>
      </c>
      <c r="G20" s="2">
        <v>1.9075025320053101</v>
      </c>
      <c r="H20" s="2">
        <v>0.19053948483392461</v>
      </c>
      <c r="I20" s="2">
        <v>0.34080721028025818</v>
      </c>
      <c r="J20" s="2">
        <v>0.57725438604759427</v>
      </c>
      <c r="K20" s="2">
        <v>1.1776161486669809</v>
      </c>
      <c r="L20" s="2">
        <v>0.69091780377409728</v>
      </c>
      <c r="M20" s="2">
        <v>103.53101921492434</v>
      </c>
      <c r="N20" s="2">
        <v>0.4852993894083929</v>
      </c>
      <c r="O20" s="2">
        <v>0.484238797467402</v>
      </c>
      <c r="P20" s="2">
        <v>0.41673923837187932</v>
      </c>
      <c r="Q20" s="2">
        <v>3.139088967837572</v>
      </c>
      <c r="R20" s="2">
        <v>9.6074456882796291</v>
      </c>
      <c r="S20" s="2">
        <v>0.4295387392925587</v>
      </c>
      <c r="T20" s="2">
        <v>97.627305493750811</v>
      </c>
    </row>
    <row r="22" spans="1:20" s="4" customFormat="1" ht="15.75" x14ac:dyDescent="0.25">
      <c r="A22" s="3"/>
      <c r="B22" s="4" t="s">
        <v>17</v>
      </c>
      <c r="J22" s="4" t="s">
        <v>20</v>
      </c>
    </row>
    <row r="35" spans="1:14" x14ac:dyDescent="0.2">
      <c r="N35" s="2"/>
    </row>
    <row r="43" spans="1:14" s="4" customFormat="1" ht="15.75" x14ac:dyDescent="0.25">
      <c r="A43" s="3"/>
      <c r="B43" s="4" t="s">
        <v>19</v>
      </c>
      <c r="J43" s="4" t="s">
        <v>21</v>
      </c>
    </row>
    <row r="56" spans="14:14" x14ac:dyDescent="0.2">
      <c r="N56" s="2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7"/>
  <sheetViews>
    <sheetView showGridLines="0" zoomScale="85" zoomScaleNormal="85" workbookViewId="0">
      <selection activeCell="K55" sqref="K55"/>
    </sheetView>
  </sheetViews>
  <sheetFormatPr defaultRowHeight="12.75" x14ac:dyDescent="0.2"/>
  <cols>
    <col min="1" max="1" width="5" style="1" bestFit="1" customWidth="1"/>
  </cols>
  <sheetData>
    <row r="1" spans="1:20" x14ac:dyDescent="0.2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13</v>
      </c>
      <c r="I1" t="s">
        <v>14</v>
      </c>
      <c r="J1" t="s">
        <v>15</v>
      </c>
      <c r="K1" t="s">
        <v>5</v>
      </c>
      <c r="L1" t="s">
        <v>22</v>
      </c>
      <c r="M1" t="s">
        <v>6</v>
      </c>
      <c r="N1" t="s">
        <v>18</v>
      </c>
      <c r="O1" t="s">
        <v>7</v>
      </c>
      <c r="P1" t="s">
        <v>16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2">
      <c r="A2">
        <v>2007</v>
      </c>
      <c r="B2" s="2">
        <v>46.617034912109375</v>
      </c>
      <c r="C2" s="2">
        <v>20.288158416748047</v>
      </c>
      <c r="D2" s="2">
        <v>74.329780578613281</v>
      </c>
      <c r="E2" s="2">
        <v>5.3820619583129883</v>
      </c>
      <c r="F2" s="2">
        <v>27.712747573852539</v>
      </c>
      <c r="G2" s="2">
        <v>2.0333952903747559</v>
      </c>
      <c r="H2" s="2">
        <v>0.1954758279498906</v>
      </c>
      <c r="I2" s="2">
        <v>0.3388905963662015</v>
      </c>
      <c r="J2" s="2">
        <v>0.56309387360985441</v>
      </c>
      <c r="K2" s="2">
        <v>1.345283889544274</v>
      </c>
      <c r="L2" s="2">
        <v>0.90409946992979284</v>
      </c>
      <c r="M2" s="2">
        <v>98.940244275117607</v>
      </c>
      <c r="N2" s="2">
        <v>0.48685249251277768</v>
      </c>
      <c r="O2" s="2">
        <v>0.48657362517345221</v>
      </c>
      <c r="P2" s="2">
        <v>0.4138359405208582</v>
      </c>
      <c r="Q2" s="2">
        <v>2.989713483865557</v>
      </c>
      <c r="R2" s="2">
        <v>8.7532792136974926</v>
      </c>
      <c r="S2" s="2">
        <v>0.46154591683977181</v>
      </c>
      <c r="T2" s="2">
        <v>107.185160204502</v>
      </c>
    </row>
    <row r="3" spans="1:20" x14ac:dyDescent="0.2">
      <c r="A3">
        <v>2008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>
        <v>2009</v>
      </c>
      <c r="B4" s="2">
        <v>48.830337524414063</v>
      </c>
      <c r="C4" s="2">
        <v>22.886934280395508</v>
      </c>
      <c r="D4" s="2">
        <v>71.554130554199219</v>
      </c>
      <c r="E4" s="2">
        <v>5.558936595916748</v>
      </c>
      <c r="F4" s="2">
        <v>22.723789215087891</v>
      </c>
      <c r="G4" s="2">
        <v>2.1128101348876953</v>
      </c>
      <c r="H4" s="2">
        <v>0.19723114158219571</v>
      </c>
      <c r="I4" s="2">
        <v>0.33866629127321979</v>
      </c>
      <c r="J4" s="2">
        <v>0.53172525967753859</v>
      </c>
      <c r="K4" s="2">
        <v>1.3145271485355621</v>
      </c>
      <c r="L4" s="2">
        <v>1.0200474724037969</v>
      </c>
      <c r="M4" s="2">
        <v>103.48063051887628</v>
      </c>
      <c r="N4" s="2">
        <v>0.48859052607072279</v>
      </c>
      <c r="O4" s="2">
        <v>0.48856211814517819</v>
      </c>
      <c r="P4" s="2">
        <v>0.41349671217440542</v>
      </c>
      <c r="Q4" s="2">
        <v>2.9761752526893992</v>
      </c>
      <c r="R4" s="2">
        <v>8.4754516727565186</v>
      </c>
      <c r="S4" s="2">
        <v>0.47135225862711783</v>
      </c>
      <c r="T4" s="2">
        <v>111.03902077665708</v>
      </c>
    </row>
    <row r="5" spans="1:20" x14ac:dyDescent="0.2">
      <c r="A5">
        <v>2010</v>
      </c>
      <c r="B5" s="2">
        <v>45.375293731689453</v>
      </c>
      <c r="C5" s="2">
        <v>9.1638202667236328</v>
      </c>
      <c r="D5" s="2">
        <v>87.693130493164062</v>
      </c>
      <c r="E5" s="2">
        <v>3.1430482864379883</v>
      </c>
      <c r="F5" s="2">
        <v>42.317840576171875</v>
      </c>
      <c r="G5" s="2">
        <v>1.7313207387924194</v>
      </c>
      <c r="H5" s="2">
        <v>0.19117641613639691</v>
      </c>
      <c r="I5" s="2">
        <v>0.33002425779531208</v>
      </c>
      <c r="J5" s="2">
        <v>0.52277422708712962</v>
      </c>
      <c r="K5" s="2">
        <v>1.2932428612903806</v>
      </c>
      <c r="L5" s="2">
        <v>0.91447965887351756</v>
      </c>
      <c r="M5" s="2">
        <v>102.00742280735585</v>
      </c>
      <c r="N5" s="2">
        <v>0.48127066321474565</v>
      </c>
      <c r="O5" s="2">
        <v>0.48125645925197347</v>
      </c>
      <c r="P5" s="2">
        <v>0.4005969722547853</v>
      </c>
      <c r="Q5" s="2">
        <v>2.9657730236471274</v>
      </c>
      <c r="R5" s="2">
        <v>8.1015789546173664</v>
      </c>
      <c r="S5" s="2">
        <v>0.45319680991922695</v>
      </c>
      <c r="T5" s="2">
        <v>107.65520336788995</v>
      </c>
    </row>
    <row r="6" spans="1:20" x14ac:dyDescent="0.2">
      <c r="A6">
        <v>2011</v>
      </c>
      <c r="B6" s="2">
        <v>38.402614593505859</v>
      </c>
      <c r="C6" s="2">
        <v>5.2663779258728027</v>
      </c>
      <c r="D6" s="2">
        <v>92.418304443359375</v>
      </c>
      <c r="E6" s="2">
        <v>2.3153223991394043</v>
      </c>
      <c r="F6" s="2">
        <v>54.01568603515625</v>
      </c>
      <c r="G6" s="2">
        <v>1.5588133335113525</v>
      </c>
      <c r="H6" s="2">
        <v>0.18512169069059869</v>
      </c>
      <c r="I6" s="2">
        <v>0.32138222431740138</v>
      </c>
      <c r="J6" s="2">
        <v>0.51382319449671909</v>
      </c>
      <c r="K6" s="2">
        <v>1.271958574045198</v>
      </c>
      <c r="L6" s="2">
        <v>0.80891184534320482</v>
      </c>
      <c r="M6" s="2">
        <v>100.53421509583522</v>
      </c>
      <c r="N6" s="2">
        <v>0.47395080035876691</v>
      </c>
      <c r="O6" s="2">
        <v>0.47395080035876702</v>
      </c>
      <c r="P6" s="2">
        <v>0.38769723233516162</v>
      </c>
      <c r="Q6" s="2">
        <v>2.9553707946048551</v>
      </c>
      <c r="R6" s="2">
        <v>7.7277062364782241</v>
      </c>
      <c r="S6" s="2">
        <v>0.43504136121133358</v>
      </c>
      <c r="T6" s="2">
        <v>104.27138595912342</v>
      </c>
    </row>
    <row r="7" spans="1:20" x14ac:dyDescent="0.2">
      <c r="A7">
        <v>2012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2">
      <c r="A8">
        <v>2013</v>
      </c>
      <c r="B8" s="2">
        <v>47.906539916992188</v>
      </c>
      <c r="C8" s="2">
        <v>24.421941757202148</v>
      </c>
      <c r="D8" s="2">
        <v>72.611465454101563</v>
      </c>
      <c r="E8" s="2">
        <v>2.9665975570678711</v>
      </c>
      <c r="F8" s="2">
        <v>24.704917907714844</v>
      </c>
      <c r="G8" s="2">
        <v>2.056502103805542</v>
      </c>
      <c r="H8" s="2">
        <v>0.1822936118580083</v>
      </c>
      <c r="I8" s="2">
        <v>0.3149679371734414</v>
      </c>
      <c r="J8" s="2">
        <v>0.49653699523647582</v>
      </c>
      <c r="K8" s="2">
        <v>1.2564469177877411</v>
      </c>
      <c r="L8" s="2">
        <v>0.78930239955636428</v>
      </c>
      <c r="M8" s="2">
        <v>99.414467055005957</v>
      </c>
      <c r="N8" s="2">
        <v>0.47071565561414352</v>
      </c>
      <c r="O8" s="2">
        <v>0.47071565561414341</v>
      </c>
      <c r="P8" s="2">
        <v>0.37828963476915312</v>
      </c>
      <c r="Q8" s="2">
        <v>2.821287639910063</v>
      </c>
      <c r="R8" s="2">
        <v>7.6833340701093054</v>
      </c>
      <c r="S8" s="2">
        <v>0.42944697210314292</v>
      </c>
      <c r="T8" s="2">
        <v>100.86212944363042</v>
      </c>
    </row>
    <row r="9" spans="1:20" x14ac:dyDescent="0.2">
      <c r="A9">
        <v>2014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>
        <v>2015</v>
      </c>
      <c r="B10" s="2">
        <v>52.008186340332031</v>
      </c>
      <c r="C10" s="2">
        <v>23.605628967285156</v>
      </c>
      <c r="D10" s="2">
        <v>74.406745910644531</v>
      </c>
      <c r="E10" s="2">
        <v>1.9876208305358887</v>
      </c>
      <c r="F10" s="2">
        <v>22.398563385009766</v>
      </c>
      <c r="G10" s="2">
        <v>2.0518231391906738</v>
      </c>
      <c r="H10" s="2">
        <v>0.15973929746305529</v>
      </c>
      <c r="I10" s="2">
        <v>0.28838004876401602</v>
      </c>
      <c r="J10" s="2">
        <v>0.4902718331658748</v>
      </c>
      <c r="K10" s="2">
        <v>1.0538387734965711</v>
      </c>
      <c r="L10" s="2">
        <v>0.55519816051881299</v>
      </c>
      <c r="M10" s="2">
        <v>97.630456221926181</v>
      </c>
      <c r="N10" s="2">
        <v>0.44482582132725462</v>
      </c>
      <c r="O10" s="2">
        <v>0.44478913660013719</v>
      </c>
      <c r="P10" s="2">
        <v>0.34021128643341692</v>
      </c>
      <c r="Q10" s="2">
        <v>2.86168655854279</v>
      </c>
      <c r="R10" s="2">
        <v>7.6500507933024924</v>
      </c>
      <c r="S10" s="2">
        <v>0.35634739204018512</v>
      </c>
      <c r="T10" s="2">
        <v>76.642311008291514</v>
      </c>
    </row>
    <row r="11" spans="1:20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s="4" customFormat="1" ht="15.75" x14ac:dyDescent="0.25">
      <c r="A13" s="3"/>
      <c r="B13" s="4" t="s">
        <v>17</v>
      </c>
      <c r="J13" s="4" t="s">
        <v>20</v>
      </c>
    </row>
    <row r="26" spans="14:14" x14ac:dyDescent="0.2">
      <c r="N26" s="2"/>
    </row>
    <row r="34" spans="1:14" s="4" customFormat="1" ht="15.75" x14ac:dyDescent="0.25">
      <c r="A34" s="3"/>
      <c r="B34" s="4" t="s">
        <v>19</v>
      </c>
      <c r="J34" s="4" t="s">
        <v>21</v>
      </c>
    </row>
    <row r="47" spans="1:14" x14ac:dyDescent="0.2">
      <c r="N47" s="2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"/>
  <sheetViews>
    <sheetView showGridLines="0" zoomScale="85" zoomScaleNormal="85" workbookViewId="0">
      <selection activeCell="B2" sqref="B2:T20"/>
    </sheetView>
  </sheetViews>
  <sheetFormatPr defaultRowHeight="12.75" x14ac:dyDescent="0.2"/>
  <cols>
    <col min="1" max="1" width="5" style="1" bestFit="1" customWidth="1"/>
  </cols>
  <sheetData>
    <row r="1" spans="1:20" x14ac:dyDescent="0.2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13</v>
      </c>
      <c r="I1" t="s">
        <v>14</v>
      </c>
      <c r="J1" t="s">
        <v>15</v>
      </c>
      <c r="K1" t="s">
        <v>5</v>
      </c>
      <c r="L1" t="s">
        <v>22</v>
      </c>
      <c r="M1" t="s">
        <v>6</v>
      </c>
      <c r="N1" t="s">
        <v>18</v>
      </c>
      <c r="O1" t="s">
        <v>7</v>
      </c>
      <c r="P1" t="s">
        <v>16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2">
      <c r="A2">
        <v>1997</v>
      </c>
      <c r="B2" s="2">
        <v>54.946994781494141</v>
      </c>
      <c r="C2" s="2">
        <v>8.0388698577880859</v>
      </c>
      <c r="D2" s="2">
        <v>87.455833435058594</v>
      </c>
      <c r="E2" s="2">
        <v>4.5053005218505859</v>
      </c>
      <c r="F2" s="2">
        <v>32.508834838867188</v>
      </c>
      <c r="G2" s="2">
        <v>1.8454064130783081</v>
      </c>
      <c r="H2" s="2">
        <v>0.25709764082645048</v>
      </c>
      <c r="I2" s="2">
        <v>0.43433269741827907</v>
      </c>
      <c r="J2" s="2">
        <v>0.70099733688730481</v>
      </c>
      <c r="K2" s="2">
        <v>1.473098032188112</v>
      </c>
      <c r="L2" s="2">
        <v>7.3851534058794641</v>
      </c>
      <c r="M2" s="2">
        <v>57.31212275985672</v>
      </c>
      <c r="N2" s="2">
        <v>0.55654869158472264</v>
      </c>
      <c r="O2" s="2">
        <v>0.55030689602036365</v>
      </c>
      <c r="P2" s="2">
        <v>0.56934607331216469</v>
      </c>
      <c r="Q2" s="2">
        <v>3.5790810029686924</v>
      </c>
      <c r="R2" s="2">
        <v>13.664295717678442</v>
      </c>
      <c r="S2" s="2">
        <v>0.666629624933746</v>
      </c>
      <c r="T2" s="2">
        <v>-10.693536455095455</v>
      </c>
    </row>
    <row r="3" spans="1:20" x14ac:dyDescent="0.2">
      <c r="A3">
        <v>1998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>
        <v>1999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>
        <v>2000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>
        <v>2001</v>
      </c>
      <c r="B6" s="2">
        <v>57.433712005615234</v>
      </c>
      <c r="C6" s="2">
        <v>6.5364999771118164</v>
      </c>
      <c r="D6" s="2">
        <v>89.981666564941406</v>
      </c>
      <c r="E6" s="2">
        <v>3.4818277359008789</v>
      </c>
      <c r="F6" s="2">
        <v>32.547958374023437</v>
      </c>
      <c r="G6" s="2">
        <v>1.8095220327377319</v>
      </c>
      <c r="H6" s="2">
        <v>0.25266380658784859</v>
      </c>
      <c r="I6" s="2">
        <v>0.42506175875886587</v>
      </c>
      <c r="J6" s="2">
        <v>0.68051519799871585</v>
      </c>
      <c r="K6" s="2">
        <v>1.5891146456740444</v>
      </c>
      <c r="L6" s="2">
        <v>5.2388031571526881</v>
      </c>
      <c r="M6" s="2">
        <v>79.699560023580489</v>
      </c>
      <c r="N6" s="2">
        <v>0.55124048007759008</v>
      </c>
      <c r="O6" s="2">
        <v>0.5457955326400854</v>
      </c>
      <c r="P6" s="2">
        <v>0.55344479740679109</v>
      </c>
      <c r="Q6" s="2">
        <v>3.456777693953029</v>
      </c>
      <c r="R6" s="2">
        <v>12.732858636638355</v>
      </c>
      <c r="S6" s="2">
        <v>0.64886227631607518</v>
      </c>
      <c r="T6" s="2">
        <v>59.775417825134355</v>
      </c>
    </row>
    <row r="7" spans="1:20" x14ac:dyDescent="0.2">
      <c r="A7">
        <v>2002</v>
      </c>
      <c r="B7" s="2">
        <v>51.988662719726563</v>
      </c>
      <c r="C7" s="2">
        <v>9.8052310943603516</v>
      </c>
      <c r="D7" s="2">
        <v>88.320388793945313</v>
      </c>
      <c r="E7" s="2">
        <v>1.8743762969970703</v>
      </c>
      <c r="F7" s="2">
        <v>36.331733703613281</v>
      </c>
      <c r="G7" s="2">
        <v>1.7722225189208984</v>
      </c>
      <c r="H7" s="2">
        <v>0.2515553480281979</v>
      </c>
      <c r="I7" s="2">
        <v>0.42274402409401252</v>
      </c>
      <c r="J7" s="2">
        <v>0.67539466327656905</v>
      </c>
      <c r="K7" s="2">
        <v>1.618118799045529</v>
      </c>
      <c r="L7" s="2">
        <v>4.7022155949710944</v>
      </c>
      <c r="M7" s="2">
        <v>85.296419339511047</v>
      </c>
      <c r="N7" s="2">
        <v>0.54991342720080683</v>
      </c>
      <c r="O7" s="2">
        <v>0.54466769179501606</v>
      </c>
      <c r="P7" s="2">
        <v>0.54946947843044769</v>
      </c>
      <c r="Q7" s="2">
        <v>3.4262018666991221</v>
      </c>
      <c r="R7" s="2">
        <v>12.499999366378351</v>
      </c>
      <c r="S7" s="2">
        <v>0.6444204391616577</v>
      </c>
      <c r="T7" s="2">
        <v>77.392656395188766</v>
      </c>
    </row>
    <row r="8" spans="1:20" x14ac:dyDescent="0.2">
      <c r="A8">
        <v>2003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>
        <v>2004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>
        <v>2005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>
        <v>2006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>
        <v>2007</v>
      </c>
      <c r="B12" s="2">
        <v>53.429298400878906</v>
      </c>
      <c r="C12" s="2">
        <v>20.74513053894043</v>
      </c>
      <c r="D12" s="2">
        <v>77.392044067382812</v>
      </c>
      <c r="E12" s="2">
        <v>1.8628280162811279</v>
      </c>
      <c r="F12" s="2">
        <v>23.962743759155273</v>
      </c>
      <c r="G12" s="2">
        <v>2.0050804615020752</v>
      </c>
      <c r="H12" s="2">
        <v>0.24601305522994579</v>
      </c>
      <c r="I12" s="2">
        <v>0.41115535076974608</v>
      </c>
      <c r="J12" s="2">
        <v>0.64979198966583374</v>
      </c>
      <c r="K12" s="2">
        <v>1.763139565902947</v>
      </c>
      <c r="L12" s="2">
        <v>2.019277784062655</v>
      </c>
      <c r="M12" s="2">
        <v>113.28071591916466</v>
      </c>
      <c r="N12" s="2">
        <v>0.54327816281689123</v>
      </c>
      <c r="O12" s="2">
        <v>0.5390284875696687</v>
      </c>
      <c r="P12" s="2">
        <v>0.52959288354873035</v>
      </c>
      <c r="Q12" s="2">
        <v>3.2733227304295469</v>
      </c>
      <c r="R12" s="2">
        <v>11.33570301507824</v>
      </c>
      <c r="S12" s="2">
        <v>0.62221125338957051</v>
      </c>
      <c r="T12" s="2">
        <v>165.47884924547606</v>
      </c>
    </row>
    <row r="13" spans="1:20" x14ac:dyDescent="0.2">
      <c r="A13">
        <v>2008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>
        <v>2009</v>
      </c>
      <c r="B14" s="2">
        <v>52.580928802490234</v>
      </c>
      <c r="C14" s="2">
        <v>26.421695709228516</v>
      </c>
      <c r="D14" s="2">
        <v>71.041122436523438</v>
      </c>
      <c r="E14" s="2">
        <v>2.5371828079223633</v>
      </c>
      <c r="F14" s="2">
        <v>18.46019172668457</v>
      </c>
      <c r="G14" s="2">
        <v>2.1303586959838867</v>
      </c>
      <c r="H14" s="2">
        <v>0.2005483271009624</v>
      </c>
      <c r="I14" s="2">
        <v>0.34980181924118908</v>
      </c>
      <c r="J14" s="2">
        <v>0.58621368767983317</v>
      </c>
      <c r="K14" s="2">
        <v>1.3472399227400851</v>
      </c>
      <c r="L14" s="2">
        <v>1.247702055303745</v>
      </c>
      <c r="M14" s="2">
        <v>91.369906469890196</v>
      </c>
      <c r="N14" s="2">
        <v>0.49284986320062418</v>
      </c>
      <c r="O14" s="2">
        <v>0.488622423904919</v>
      </c>
      <c r="P14" s="2">
        <v>0.43047806908785952</v>
      </c>
      <c r="Q14" s="2">
        <v>3.056000169006349</v>
      </c>
      <c r="R14" s="2">
        <v>9.5374998826198141</v>
      </c>
      <c r="S14" s="2">
        <v>0.48130613034687159</v>
      </c>
      <c r="T14" s="2">
        <v>76.49446937830345</v>
      </c>
    </row>
    <row r="15" spans="1:20" x14ac:dyDescent="0.2">
      <c r="A15">
        <v>2010</v>
      </c>
      <c r="B15" s="2">
        <v>48.167537689208984</v>
      </c>
      <c r="C15" s="2">
        <v>32.984291076660156</v>
      </c>
      <c r="D15" s="2">
        <v>65.53228759765625</v>
      </c>
      <c r="E15" s="2">
        <v>1.4834206104278564</v>
      </c>
      <c r="F15" s="2">
        <v>17.36474609375</v>
      </c>
      <c r="G15" s="2">
        <v>2.1858639717102051</v>
      </c>
      <c r="H15" s="2">
        <v>0.2014968755357196</v>
      </c>
      <c r="I15" s="2">
        <v>0.34833655452730572</v>
      </c>
      <c r="J15" s="2">
        <v>0.5892928306733316</v>
      </c>
      <c r="K15" s="2">
        <v>1.405813882628429</v>
      </c>
      <c r="L15" s="2">
        <v>1.3306043858826559</v>
      </c>
      <c r="M15" s="2">
        <v>99.909307777434037</v>
      </c>
      <c r="N15" s="2">
        <v>0.49254530504374122</v>
      </c>
      <c r="O15" s="2">
        <v>0.48901247443985968</v>
      </c>
      <c r="P15" s="2">
        <v>0.42822703825163821</v>
      </c>
      <c r="Q15" s="2">
        <v>3.0296165777299771</v>
      </c>
      <c r="R15" s="2">
        <v>9.0085099195513223</v>
      </c>
      <c r="S15" s="2">
        <v>0.4905337933615983</v>
      </c>
      <c r="T15" s="2">
        <v>99.427897356033753</v>
      </c>
    </row>
    <row r="16" spans="1:20" x14ac:dyDescent="0.2">
      <c r="A16">
        <v>2011</v>
      </c>
      <c r="B16" s="2">
        <v>44.675323486328125</v>
      </c>
      <c r="C16" s="2">
        <v>40.865798950195313</v>
      </c>
      <c r="D16" s="2">
        <v>55.58441162109375</v>
      </c>
      <c r="E16" s="2">
        <v>3.5497837066650391</v>
      </c>
      <c r="F16" s="2">
        <v>10.909090995788574</v>
      </c>
      <c r="G16" s="2">
        <v>2.3705627918243408</v>
      </c>
      <c r="H16" s="2">
        <v>0.1739817340406172</v>
      </c>
      <c r="I16" s="2">
        <v>0.31355523006572711</v>
      </c>
      <c r="J16" s="2">
        <v>0.55047764032950774</v>
      </c>
      <c r="K16" s="2">
        <v>1.211930017822372</v>
      </c>
      <c r="L16" s="2">
        <v>0.83817641099809492</v>
      </c>
      <c r="M16" s="2">
        <v>96.334363908486893</v>
      </c>
      <c r="N16" s="2">
        <v>0.4620917885251733</v>
      </c>
      <c r="O16" s="2">
        <v>0.45800575563501572</v>
      </c>
      <c r="P16" s="2">
        <v>0.37622950867218202</v>
      </c>
      <c r="Q16" s="2">
        <v>3.0032442307062008</v>
      </c>
      <c r="R16" s="2">
        <v>8.645161704805286</v>
      </c>
      <c r="S16" s="2">
        <v>0.39930078008483638</v>
      </c>
      <c r="T16" s="2">
        <v>78.317038651224692</v>
      </c>
    </row>
    <row r="17" spans="1:20" x14ac:dyDescent="0.2">
      <c r="A17">
        <v>2012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>
        <v>2013</v>
      </c>
      <c r="B18" s="2">
        <v>30.396476745605469</v>
      </c>
      <c r="C18" s="2">
        <v>53.480178833007812</v>
      </c>
      <c r="D18" s="2">
        <v>38.678413391113281</v>
      </c>
      <c r="E18" s="2">
        <v>7.8414096832275391</v>
      </c>
      <c r="F18" s="2">
        <v>8.2819375991821289</v>
      </c>
      <c r="G18" s="2">
        <v>2.6088106632232666</v>
      </c>
      <c r="H18" s="2">
        <v>0.18488237377329381</v>
      </c>
      <c r="I18" s="2">
        <v>0.32245535911289719</v>
      </c>
      <c r="J18" s="2">
        <v>0.53491793649880603</v>
      </c>
      <c r="K18" s="2">
        <v>1.311898016127141</v>
      </c>
      <c r="L18" s="2">
        <v>0.98687117080944986</v>
      </c>
      <c r="M18" s="2">
        <v>109.04696664156326</v>
      </c>
      <c r="N18" s="2">
        <v>0.47289024442153882</v>
      </c>
      <c r="O18" s="2">
        <v>0.47050296158534549</v>
      </c>
      <c r="P18" s="2">
        <v>0.38927983779080821</v>
      </c>
      <c r="Q18" s="2">
        <v>2.9249012469118219</v>
      </c>
      <c r="R18" s="2">
        <v>8.1000002681038676</v>
      </c>
      <c r="S18" s="2">
        <v>0.44040585757189332</v>
      </c>
      <c r="T18" s="2">
        <v>111.42513836501711</v>
      </c>
    </row>
    <row r="19" spans="1:20" x14ac:dyDescent="0.2">
      <c r="A19">
        <v>2014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>
        <v>2015</v>
      </c>
      <c r="B20" s="2">
        <v>33.515979766845703</v>
      </c>
      <c r="C20" s="2">
        <v>49.315067291259766</v>
      </c>
      <c r="D20" s="2">
        <v>46.210044860839844</v>
      </c>
      <c r="E20" s="2">
        <v>4.4748859405517578</v>
      </c>
      <c r="F20" s="2">
        <v>12.694064140319824</v>
      </c>
      <c r="G20" s="2">
        <v>2.4557077884674072</v>
      </c>
      <c r="H20" s="2">
        <v>0.1710256321257087</v>
      </c>
      <c r="I20" s="2">
        <v>0.30123708214976153</v>
      </c>
      <c r="J20" s="2">
        <v>0.51357289778355475</v>
      </c>
      <c r="K20" s="2">
        <v>1.1877524535023889</v>
      </c>
      <c r="L20" s="2">
        <v>0.92312403013857636</v>
      </c>
      <c r="M20" s="2">
        <v>104.76230188188802</v>
      </c>
      <c r="N20" s="2">
        <v>0.45379403936154422</v>
      </c>
      <c r="O20" s="2">
        <v>0.45169598970988761</v>
      </c>
      <c r="P20" s="2">
        <v>0.35844376759925412</v>
      </c>
      <c r="Q20" s="2">
        <v>2.7675871714441209</v>
      </c>
      <c r="R20" s="2">
        <v>7.4950233418135737</v>
      </c>
      <c r="S20" s="2">
        <v>0.40423715645278391</v>
      </c>
      <c r="T20" s="2">
        <v>91.46396898667895</v>
      </c>
    </row>
    <row r="23" spans="1:20" s="4" customFormat="1" ht="15.75" x14ac:dyDescent="0.25">
      <c r="A23" s="3"/>
      <c r="B23" s="4" t="s">
        <v>17</v>
      </c>
      <c r="J23" s="4" t="s">
        <v>20</v>
      </c>
    </row>
    <row r="36" spans="1:14" x14ac:dyDescent="0.2">
      <c r="N36" s="2"/>
    </row>
    <row r="44" spans="1:14" s="4" customFormat="1" ht="15.75" x14ac:dyDescent="0.25">
      <c r="A44" s="3"/>
      <c r="B44" s="4" t="s">
        <v>19</v>
      </c>
      <c r="J44" s="4" t="s">
        <v>21</v>
      </c>
    </row>
    <row r="57" spans="14:14" x14ac:dyDescent="0.2">
      <c r="N57" s="2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"/>
  <sheetViews>
    <sheetView showGridLines="0" zoomScale="85" zoomScaleNormal="85" workbookViewId="0">
      <selection activeCell="B2" sqref="B2:T20"/>
    </sheetView>
  </sheetViews>
  <sheetFormatPr defaultRowHeight="12.75" x14ac:dyDescent="0.2"/>
  <cols>
    <col min="1" max="1" width="5" style="1" bestFit="1" customWidth="1"/>
  </cols>
  <sheetData>
    <row r="1" spans="1:20" x14ac:dyDescent="0.2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13</v>
      </c>
      <c r="I1" t="s">
        <v>14</v>
      </c>
      <c r="J1" t="s">
        <v>15</v>
      </c>
      <c r="K1" t="s">
        <v>5</v>
      </c>
      <c r="L1" t="s">
        <v>22</v>
      </c>
      <c r="M1" t="s">
        <v>6</v>
      </c>
      <c r="N1" t="s">
        <v>18</v>
      </c>
      <c r="O1" t="s">
        <v>7</v>
      </c>
      <c r="P1" t="s">
        <v>16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2">
      <c r="A2">
        <v>1997</v>
      </c>
      <c r="B2" s="2">
        <v>38.213134765625</v>
      </c>
      <c r="C2" s="2">
        <v>26.372444152832031</v>
      </c>
      <c r="D2" s="2">
        <v>62.970935821533203</v>
      </c>
      <c r="E2" s="2">
        <v>10.656620025634766</v>
      </c>
      <c r="F2" s="2">
        <v>24.757804870605469</v>
      </c>
      <c r="G2" s="2">
        <v>2.2292788028717041</v>
      </c>
      <c r="H2" s="2">
        <v>0.25890624736145273</v>
      </c>
      <c r="I2" s="2">
        <v>0.4356580715389704</v>
      </c>
      <c r="J2" s="2">
        <v>0.6887646513127379</v>
      </c>
      <c r="K2" s="2">
        <v>1.8722185410224981</v>
      </c>
      <c r="L2" s="2">
        <v>1.1836953076406758</v>
      </c>
      <c r="M2" s="2">
        <v>134.43354231914236</v>
      </c>
      <c r="N2" s="2">
        <v>0.55829132398372217</v>
      </c>
      <c r="O2" s="2">
        <v>0.55743617040643301</v>
      </c>
      <c r="P2" s="2">
        <v>0.57117532466320142</v>
      </c>
      <c r="Q2" s="2">
        <v>3.3902367850965689</v>
      </c>
      <c r="R2" s="2">
        <v>11.494765742422999</v>
      </c>
      <c r="S2" s="2">
        <v>0.62972271219269693</v>
      </c>
      <c r="T2" s="2">
        <v>187.26406335367028</v>
      </c>
    </row>
    <row r="3" spans="1:20" x14ac:dyDescent="0.2">
      <c r="A3">
        <v>1998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>
        <v>1999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>
        <v>2000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>
        <v>2001</v>
      </c>
      <c r="B6" s="2">
        <v>54.286235809326172</v>
      </c>
      <c r="C6" s="2">
        <v>14.095081329345703</v>
      </c>
      <c r="D6" s="2">
        <v>85.035964965820313</v>
      </c>
      <c r="E6" s="2">
        <v>0.86894816160202026</v>
      </c>
      <c r="F6" s="2">
        <v>30.749734878540039</v>
      </c>
      <c r="G6" s="2">
        <v>1.850832462310791</v>
      </c>
      <c r="H6" s="2">
        <v>0.25266398924514338</v>
      </c>
      <c r="I6" s="2">
        <v>0.4222663652511004</v>
      </c>
      <c r="J6" s="2">
        <v>0.67929771849760867</v>
      </c>
      <c r="K6" s="2">
        <v>1.7843375982671581</v>
      </c>
      <c r="L6" s="2">
        <v>1.715810594587408</v>
      </c>
      <c r="M6" s="2">
        <v>122.16782626849847</v>
      </c>
      <c r="N6" s="2">
        <v>0.54836390951989789</v>
      </c>
      <c r="O6" s="2">
        <v>0.54752959268445744</v>
      </c>
      <c r="P6" s="2">
        <v>0.54864235606371192</v>
      </c>
      <c r="Q6" s="2">
        <v>3.3124998148220879</v>
      </c>
      <c r="R6" s="2">
        <v>10.82616595037813</v>
      </c>
      <c r="S6" s="2">
        <v>0.63210966658018197</v>
      </c>
      <c r="T6" s="2">
        <v>154.67136052237203</v>
      </c>
    </row>
    <row r="7" spans="1:20" x14ac:dyDescent="0.2">
      <c r="A7">
        <v>2002</v>
      </c>
      <c r="B7" s="2">
        <v>53.320346832275391</v>
      </c>
      <c r="C7" s="2">
        <v>11.833656311035156</v>
      </c>
      <c r="D7" s="2">
        <v>87.138099670410156</v>
      </c>
      <c r="E7" s="2">
        <v>1.0282454490661621</v>
      </c>
      <c r="F7" s="2">
        <v>33.817752838134766</v>
      </c>
      <c r="G7" s="2">
        <v>1.8007239103317261</v>
      </c>
      <c r="H7" s="2">
        <v>0.25110342471606595</v>
      </c>
      <c r="I7" s="2">
        <v>0.4189184386791327</v>
      </c>
      <c r="J7" s="2">
        <v>0.67693098529382656</v>
      </c>
      <c r="K7" s="2">
        <v>1.762367362578324</v>
      </c>
      <c r="L7" s="2">
        <v>1.8488394163240969</v>
      </c>
      <c r="M7" s="2">
        <v>119.10139725583758</v>
      </c>
      <c r="N7" s="2">
        <v>0.54588205590394168</v>
      </c>
      <c r="O7" s="2">
        <v>0.54505294825396344</v>
      </c>
      <c r="P7" s="2">
        <v>0.54300911391383977</v>
      </c>
      <c r="Q7" s="2">
        <v>3.2930655722534681</v>
      </c>
      <c r="R7" s="2">
        <v>10.659016002366911</v>
      </c>
      <c r="S7" s="2">
        <v>0.63270640517705323</v>
      </c>
      <c r="T7" s="2">
        <v>146.52318481454677</v>
      </c>
    </row>
    <row r="8" spans="1:20" x14ac:dyDescent="0.2">
      <c r="A8">
        <v>2003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>
        <v>2004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>
        <v>2005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>
        <v>2006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>
        <v>2007</v>
      </c>
      <c r="B12" s="2">
        <v>47.240493774414063</v>
      </c>
      <c r="C12" s="2">
        <v>16.112588882446289</v>
      </c>
      <c r="D12" s="2">
        <v>75.56201171875</v>
      </c>
      <c r="E12" s="2">
        <v>8.3254003524780273</v>
      </c>
      <c r="F12" s="2">
        <v>28.32151985168457</v>
      </c>
      <c r="G12" s="2">
        <v>2.0444185733795166</v>
      </c>
      <c r="H12" s="2">
        <v>0.24330060207067827</v>
      </c>
      <c r="I12" s="2">
        <v>0.40217880581929766</v>
      </c>
      <c r="J12" s="2">
        <v>0.66509731927491789</v>
      </c>
      <c r="K12" s="2">
        <v>1.6525161841341358</v>
      </c>
      <c r="L12" s="2">
        <v>2.5139835250075748</v>
      </c>
      <c r="M12" s="2">
        <v>103.76925219253462</v>
      </c>
      <c r="N12" s="2">
        <v>0.53347278782416474</v>
      </c>
      <c r="O12" s="2">
        <v>0.53266972610149121</v>
      </c>
      <c r="P12" s="2">
        <v>0.51484290316448167</v>
      </c>
      <c r="Q12" s="2">
        <v>3.1958943594103602</v>
      </c>
      <c r="R12" s="2">
        <v>9.8232662623110514</v>
      </c>
      <c r="S12" s="2">
        <v>0.6356900981614102</v>
      </c>
      <c r="T12" s="2">
        <v>105.78230627542507</v>
      </c>
    </row>
    <row r="13" spans="1:20" x14ac:dyDescent="0.2">
      <c r="A13">
        <v>2008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>
        <v>2009</v>
      </c>
      <c r="B14" s="2">
        <v>57.538013458251953</v>
      </c>
      <c r="C14" s="2">
        <v>12.874695777893066</v>
      </c>
      <c r="D14" s="2">
        <v>85.217269897460938</v>
      </c>
      <c r="E14" s="2">
        <v>1.9080294370651245</v>
      </c>
      <c r="F14" s="2">
        <v>27.679262161254883</v>
      </c>
      <c r="G14" s="2">
        <v>1.8901149034500122</v>
      </c>
      <c r="H14" s="2">
        <v>0.24017947301252374</v>
      </c>
      <c r="I14" s="2">
        <v>0.39548295267536382</v>
      </c>
      <c r="J14" s="2">
        <v>0.66036385286735477</v>
      </c>
      <c r="K14" s="2">
        <v>1.6085757127564548</v>
      </c>
      <c r="L14" s="2">
        <v>2.7800411684809774</v>
      </c>
      <c r="M14" s="2">
        <v>97.636394167212529</v>
      </c>
      <c r="N14" s="2">
        <v>0.52850908059225432</v>
      </c>
      <c r="O14" s="2">
        <v>0.52771643724050143</v>
      </c>
      <c r="P14" s="2">
        <v>0.50357641886473914</v>
      </c>
      <c r="Q14" s="2">
        <v>3.1570258742731241</v>
      </c>
      <c r="R14" s="2">
        <v>9.4889663662886505</v>
      </c>
      <c r="S14" s="2">
        <v>0.63688357535515316</v>
      </c>
      <c r="T14" s="2">
        <v>89.485954859776029</v>
      </c>
    </row>
    <row r="15" spans="1:20" x14ac:dyDescent="0.2">
      <c r="A15">
        <v>2010</v>
      </c>
      <c r="B15" s="2">
        <v>57.351833343505859</v>
      </c>
      <c r="C15" s="2">
        <v>14.990310668945312</v>
      </c>
      <c r="D15" s="2">
        <v>82.779655456542969</v>
      </c>
      <c r="E15" s="2">
        <v>2.2300317287445068</v>
      </c>
      <c r="F15" s="2">
        <v>25.427827835083008</v>
      </c>
      <c r="G15" s="2">
        <v>1.9402254819869995</v>
      </c>
      <c r="H15" s="2">
        <v>0.23861890848344602</v>
      </c>
      <c r="I15" s="2">
        <v>0.39213502610339646</v>
      </c>
      <c r="J15" s="2">
        <v>0.65799711966357322</v>
      </c>
      <c r="K15" s="2">
        <v>1.5866054770676215</v>
      </c>
      <c r="L15" s="2">
        <v>2.9130699902176502</v>
      </c>
      <c r="M15" s="2">
        <v>94.569965154551937</v>
      </c>
      <c r="N15" s="2">
        <v>0.52602722697629911</v>
      </c>
      <c r="O15" s="2">
        <v>0.52523979281000699</v>
      </c>
      <c r="P15" s="2">
        <v>0.49794317671486787</v>
      </c>
      <c r="Q15" s="2">
        <v>3.1375916317045025</v>
      </c>
      <c r="R15" s="2">
        <v>9.3218164182774785</v>
      </c>
      <c r="S15" s="2">
        <v>0.63748031395202442</v>
      </c>
      <c r="T15" s="2">
        <v>81.337779151952418</v>
      </c>
    </row>
    <row r="16" spans="1:20" x14ac:dyDescent="0.2">
      <c r="A16">
        <v>2011</v>
      </c>
      <c r="B16" s="2">
        <v>58.176399230957031</v>
      </c>
      <c r="C16" s="2">
        <v>14.980159759521484</v>
      </c>
      <c r="D16" s="2">
        <v>83.177474975585937</v>
      </c>
      <c r="E16" s="2">
        <v>1.8423693180084229</v>
      </c>
      <c r="F16" s="2">
        <v>25.001071929931641</v>
      </c>
      <c r="G16" s="2">
        <v>1.9366382360458374</v>
      </c>
      <c r="H16" s="2">
        <v>0.23705834395436859</v>
      </c>
      <c r="I16" s="2">
        <v>0.38878709953142981</v>
      </c>
      <c r="J16" s="2">
        <v>0.6556303864597911</v>
      </c>
      <c r="K16" s="2">
        <v>1.5646352413787801</v>
      </c>
      <c r="L16" s="2">
        <v>3.0460988119543448</v>
      </c>
      <c r="M16" s="2">
        <v>91.503536141891757</v>
      </c>
      <c r="N16" s="2">
        <v>0.52354537336034379</v>
      </c>
      <c r="O16" s="2">
        <v>0.52276314837951288</v>
      </c>
      <c r="P16" s="2">
        <v>0.49230993456499711</v>
      </c>
      <c r="Q16" s="2">
        <v>3.11815738913588</v>
      </c>
      <c r="R16" s="2">
        <v>9.1546664702663048</v>
      </c>
      <c r="S16" s="2">
        <v>0.63807705254889591</v>
      </c>
      <c r="T16" s="2">
        <v>73.189603444128466</v>
      </c>
    </row>
    <row r="17" spans="1:20" x14ac:dyDescent="0.2">
      <c r="A17">
        <v>2012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>
        <v>2013</v>
      </c>
      <c r="B18" s="2">
        <v>47.392059326171875</v>
      </c>
      <c r="C18" s="2">
        <v>20.530227661132812</v>
      </c>
      <c r="D18" s="2">
        <v>76.253883361816406</v>
      </c>
      <c r="E18" s="2">
        <v>3.2158870697021484</v>
      </c>
      <c r="F18" s="2">
        <v>28.861825942993164</v>
      </c>
      <c r="G18" s="2">
        <v>1.9810017347335815</v>
      </c>
      <c r="H18" s="2">
        <v>0.21939366710028807</v>
      </c>
      <c r="I18" s="2">
        <v>0.36481996058223132</v>
      </c>
      <c r="J18" s="2">
        <v>0.62226188420238771</v>
      </c>
      <c r="K18" s="2">
        <v>1.5481314315677572</v>
      </c>
      <c r="L18" s="2">
        <v>2.3607366170415389</v>
      </c>
      <c r="M18" s="2">
        <v>88.91608261707006</v>
      </c>
      <c r="N18" s="2">
        <v>0.50505770768608471</v>
      </c>
      <c r="O18" s="2">
        <v>0.50453003927224316</v>
      </c>
      <c r="P18" s="2">
        <v>0.45455918403343532</v>
      </c>
      <c r="Q18" s="2">
        <v>3.046925857697218</v>
      </c>
      <c r="R18" s="2">
        <v>8.8179712771490699</v>
      </c>
      <c r="S18" s="2">
        <v>0.57368195199569527</v>
      </c>
      <c r="T18" s="2">
        <v>72.664322263083591</v>
      </c>
    </row>
    <row r="19" spans="1:20" x14ac:dyDescent="0.2">
      <c r="A19">
        <v>2014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>
        <v>2015</v>
      </c>
      <c r="B20" s="2">
        <v>48.586154937744141</v>
      </c>
      <c r="C20" s="2">
        <v>18.523801803588867</v>
      </c>
      <c r="D20" s="2">
        <v>78.605422973632813</v>
      </c>
      <c r="E20" s="2">
        <v>2.8707730770111084</v>
      </c>
      <c r="F20" s="2">
        <v>30.019271850585938</v>
      </c>
      <c r="G20" s="2">
        <v>1.9424607753753662</v>
      </c>
      <c r="H20" s="2">
        <v>0.20172899024620849</v>
      </c>
      <c r="I20" s="2">
        <v>0.34085282163302971</v>
      </c>
      <c r="J20" s="2">
        <v>0.58889338194498886</v>
      </c>
      <c r="K20" s="2">
        <v>1.5316276217567359</v>
      </c>
      <c r="L20" s="2">
        <v>1.6753744221287259</v>
      </c>
      <c r="M20" s="2">
        <v>86.32862909224886</v>
      </c>
      <c r="N20" s="2">
        <v>0.48657004201183202</v>
      </c>
      <c r="O20" s="2">
        <v>0.48629693016497411</v>
      </c>
      <c r="P20" s="2">
        <v>0.41680843350185992</v>
      </c>
      <c r="Q20" s="2">
        <v>2.9756943262585889</v>
      </c>
      <c r="R20" s="2">
        <v>8.4812760840317587</v>
      </c>
      <c r="S20" s="2">
        <v>0.50928685144251129</v>
      </c>
      <c r="T20" s="2">
        <v>72.13904108203873</v>
      </c>
    </row>
    <row r="23" spans="1:20" s="4" customFormat="1" ht="15.75" x14ac:dyDescent="0.25">
      <c r="A23" s="3"/>
      <c r="B23" s="4" t="s">
        <v>17</v>
      </c>
      <c r="J23" s="4" t="s">
        <v>20</v>
      </c>
    </row>
    <row r="36" spans="1:14" x14ac:dyDescent="0.2">
      <c r="N36" s="2"/>
    </row>
    <row r="44" spans="1:14" s="4" customFormat="1" ht="15.75" x14ac:dyDescent="0.25">
      <c r="A44" s="3"/>
      <c r="B44" s="4" t="s">
        <v>19</v>
      </c>
      <c r="J44" s="4" t="s">
        <v>21</v>
      </c>
    </row>
    <row r="57" spans="14:14" x14ac:dyDescent="0.2">
      <c r="N57" s="2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showGridLines="0" zoomScale="85" zoomScaleNormal="85" workbookViewId="0">
      <selection activeCell="B2" sqref="B2:T20"/>
    </sheetView>
  </sheetViews>
  <sheetFormatPr defaultRowHeight="12.75" x14ac:dyDescent="0.2"/>
  <cols>
    <col min="1" max="1" width="5" style="1" bestFit="1" customWidth="1"/>
  </cols>
  <sheetData>
    <row r="1" spans="1:20" x14ac:dyDescent="0.2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13</v>
      </c>
      <c r="I1" t="s">
        <v>14</v>
      </c>
      <c r="J1" t="s">
        <v>15</v>
      </c>
      <c r="K1" t="s">
        <v>5</v>
      </c>
      <c r="L1" t="s">
        <v>22</v>
      </c>
      <c r="M1" t="s">
        <v>6</v>
      </c>
      <c r="N1" t="s">
        <v>18</v>
      </c>
      <c r="O1" t="s">
        <v>7</v>
      </c>
      <c r="P1" t="s">
        <v>16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2">
      <c r="A2">
        <v>1997</v>
      </c>
      <c r="B2" s="2">
        <v>59.958721160888672</v>
      </c>
      <c r="C2" s="2">
        <v>15.170279502868652</v>
      </c>
      <c r="D2" s="2">
        <v>75.644996643066406</v>
      </c>
      <c r="E2" s="2">
        <v>9.1847267150878906</v>
      </c>
      <c r="F2" s="2">
        <v>15.686275482177734</v>
      </c>
      <c r="G2" s="2">
        <v>2.1785345077514648</v>
      </c>
      <c r="H2" s="2">
        <v>0.23376317775951139</v>
      </c>
      <c r="I2" s="2">
        <v>0.39559405432166128</v>
      </c>
      <c r="J2" s="2">
        <v>0.6178978088266972</v>
      </c>
      <c r="K2" s="2">
        <v>1.6532899405256669</v>
      </c>
      <c r="L2" s="2">
        <v>1.5579022684520369</v>
      </c>
      <c r="M2" s="2">
        <v>79.979733938691538</v>
      </c>
      <c r="N2" s="2">
        <v>0.52733999945523791</v>
      </c>
      <c r="O2" s="2">
        <v>0.52699772627025165</v>
      </c>
      <c r="P2" s="2">
        <v>0.50350921130842285</v>
      </c>
      <c r="Q2" s="2">
        <v>3.4002942175360609</v>
      </c>
      <c r="R2" s="2">
        <v>10.99139901645154</v>
      </c>
      <c r="S2" s="2">
        <v>0.57795335133955894</v>
      </c>
      <c r="T2" s="2">
        <v>67.25139552843838</v>
      </c>
    </row>
    <row r="3" spans="1:20" x14ac:dyDescent="0.2">
      <c r="A3">
        <v>1998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>
        <v>1999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>
        <v>2000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>
        <v>2001</v>
      </c>
      <c r="B6" s="2">
        <v>63.453304290771484</v>
      </c>
      <c r="C6" s="2">
        <v>6.6625514030456543</v>
      </c>
      <c r="D6" s="2">
        <v>91.7239990234375</v>
      </c>
      <c r="E6" s="2">
        <v>1.6134504079818726</v>
      </c>
      <c r="F6" s="2">
        <v>28.27069091796875</v>
      </c>
      <c r="G6" s="2">
        <v>1.8161876201629639</v>
      </c>
      <c r="H6" s="2">
        <v>0.2431853388233004</v>
      </c>
      <c r="I6" s="2">
        <v>0.43073851882525233</v>
      </c>
      <c r="J6" s="2">
        <v>0.72883405016565583</v>
      </c>
      <c r="K6" s="2">
        <v>1.5638342922149311</v>
      </c>
      <c r="L6" s="2">
        <v>1.2153169507735491</v>
      </c>
      <c r="M6" s="2">
        <v>102.38912267386202</v>
      </c>
      <c r="N6" s="2">
        <v>0.54079770235175129</v>
      </c>
      <c r="O6" s="2">
        <v>0.53880853954072316</v>
      </c>
      <c r="P6" s="2">
        <v>0.56341540529172462</v>
      </c>
      <c r="Q6" s="2">
        <v>3.9034793638428882</v>
      </c>
      <c r="R6" s="2">
        <v>14.63281991100383</v>
      </c>
      <c r="S6" s="2">
        <v>0.56673465915653121</v>
      </c>
      <c r="T6" s="2">
        <v>94.336768300279843</v>
      </c>
    </row>
    <row r="7" spans="1:20" x14ac:dyDescent="0.2">
      <c r="A7">
        <v>2002</v>
      </c>
      <c r="B7" s="2">
        <v>62.497020721435547</v>
      </c>
      <c r="C7" s="2">
        <v>16.967967987060547</v>
      </c>
      <c r="D7" s="2">
        <v>81.613975524902344</v>
      </c>
      <c r="E7" s="2">
        <v>1.4180562496185303</v>
      </c>
      <c r="F7" s="2">
        <v>19.116954803466797</v>
      </c>
      <c r="G7" s="2">
        <v>2.006871223449707</v>
      </c>
      <c r="H7" s="2">
        <v>0.27992107266428679</v>
      </c>
      <c r="I7" s="2">
        <v>0.49081708610207858</v>
      </c>
      <c r="J7" s="2">
        <v>0.88496158407377545</v>
      </c>
      <c r="K7" s="2">
        <v>1.7502594318381279</v>
      </c>
      <c r="L7" s="2">
        <v>1.478898840509834</v>
      </c>
      <c r="M7" s="2">
        <v>91.603285928990076</v>
      </c>
      <c r="N7" s="2">
        <v>0.58779692770849279</v>
      </c>
      <c r="O7" s="2">
        <v>0.57680094834885687</v>
      </c>
      <c r="P7" s="2">
        <v>0.67494796765796339</v>
      </c>
      <c r="Q7" s="2">
        <v>4.9896393134899268</v>
      </c>
      <c r="R7" s="2">
        <v>23.818565323797241</v>
      </c>
      <c r="S7" s="2">
        <v>0.65899162529030786</v>
      </c>
      <c r="T7" s="2">
        <v>82.534562612883548</v>
      </c>
    </row>
    <row r="8" spans="1:20" x14ac:dyDescent="0.2">
      <c r="A8">
        <v>2003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>
        <v>2004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>
        <v>2005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>
        <v>2006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>
        <v>2007</v>
      </c>
      <c r="B12" s="2">
        <v>50.442062377929687</v>
      </c>
      <c r="C12" s="2">
        <v>17.468364715576172</v>
      </c>
      <c r="D12" s="2">
        <v>78.8526611328125</v>
      </c>
      <c r="E12" s="2">
        <v>3.67897629737854</v>
      </c>
      <c r="F12" s="2">
        <v>28.410593032836914</v>
      </c>
      <c r="G12" s="2">
        <v>1.9641572237014771</v>
      </c>
      <c r="H12" s="2">
        <v>0.26185098766436088</v>
      </c>
      <c r="I12" s="2">
        <v>0.44497180212308468</v>
      </c>
      <c r="J12" s="2">
        <v>0.71261024714542154</v>
      </c>
      <c r="K12" s="2">
        <v>1.804734566526077</v>
      </c>
      <c r="L12" s="2">
        <v>1.620935467210181</v>
      </c>
      <c r="M12" s="2">
        <v>114.28531698802631</v>
      </c>
      <c r="N12" s="2">
        <v>0.56160790768639413</v>
      </c>
      <c r="O12" s="2">
        <v>0.56004091358663577</v>
      </c>
      <c r="P12" s="2">
        <v>0.5887363595408619</v>
      </c>
      <c r="Q12" s="2">
        <v>3.9300251778899038</v>
      </c>
      <c r="R12" s="2">
        <v>14.42176877816391</v>
      </c>
      <c r="S12" s="2">
        <v>0.63860097727559206</v>
      </c>
      <c r="T12" s="2">
        <v>144.88681439310878</v>
      </c>
    </row>
    <row r="13" spans="1:20" x14ac:dyDescent="0.2">
      <c r="A13">
        <v>2008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>
        <v>2009</v>
      </c>
      <c r="B14" s="2">
        <v>50.151588439941406</v>
      </c>
      <c r="C14" s="2">
        <v>16.96281623840332</v>
      </c>
      <c r="D14" s="2">
        <v>79.390815734863281</v>
      </c>
      <c r="E14" s="2">
        <v>3.646367073059082</v>
      </c>
      <c r="F14" s="2">
        <v>29.239231109619141</v>
      </c>
      <c r="G14" s="2">
        <v>1.9501632452011108</v>
      </c>
      <c r="H14" s="2">
        <v>0.22065215931737331</v>
      </c>
      <c r="I14" s="2">
        <v>0.38812093752790711</v>
      </c>
      <c r="J14" s="2">
        <v>0.64186529271113746</v>
      </c>
      <c r="K14" s="2">
        <v>1.46317757791221</v>
      </c>
      <c r="L14" s="2">
        <v>1.122626449291922</v>
      </c>
      <c r="M14" s="2">
        <v>107.2922649124271</v>
      </c>
      <c r="N14" s="2">
        <v>0.51563250870601107</v>
      </c>
      <c r="O14" s="2">
        <v>0.51558979531219684</v>
      </c>
      <c r="P14" s="2">
        <v>0.49122062633689267</v>
      </c>
      <c r="Q14" s="2">
        <v>3.6422991008596841</v>
      </c>
      <c r="R14" s="2">
        <v>11.99311920035443</v>
      </c>
      <c r="S14" s="2">
        <v>0.51578009157932925</v>
      </c>
      <c r="T14" s="2">
        <v>99.033722071779053</v>
      </c>
    </row>
    <row r="15" spans="1:20" x14ac:dyDescent="0.2">
      <c r="A15">
        <v>2010</v>
      </c>
      <c r="B15" s="2">
        <v>43.303958892822266</v>
      </c>
      <c r="C15" s="2">
        <v>18.23968505859375</v>
      </c>
      <c r="D15" s="2">
        <v>78.822349548339844</v>
      </c>
      <c r="E15" s="2">
        <v>2.9379618167877197</v>
      </c>
      <c r="F15" s="2">
        <v>35.518394470214844</v>
      </c>
      <c r="G15" s="2">
        <v>1.8859721422195435</v>
      </c>
      <c r="H15" s="2">
        <v>0.23594789690578399</v>
      </c>
      <c r="I15" s="2">
        <v>0.40914310928041858</v>
      </c>
      <c r="J15" s="2">
        <v>0.65106291080920342</v>
      </c>
      <c r="K15" s="2">
        <v>1.513053496796817</v>
      </c>
      <c r="L15" s="2">
        <v>1.1439373935170321</v>
      </c>
      <c r="M15" s="2">
        <v>109.84196259631418</v>
      </c>
      <c r="N15" s="2">
        <v>0.53391564896492083</v>
      </c>
      <c r="O15" s="2">
        <v>0.5337198165186452</v>
      </c>
      <c r="P15" s="2">
        <v>0.52618143858114375</v>
      </c>
      <c r="Q15" s="2">
        <v>3.7394923929795012</v>
      </c>
      <c r="R15" s="2">
        <v>12.61546712069142</v>
      </c>
      <c r="S15" s="2">
        <v>0.55673115976489351</v>
      </c>
      <c r="T15" s="2">
        <v>103.5808107715231</v>
      </c>
    </row>
    <row r="16" spans="1:20" x14ac:dyDescent="0.2">
      <c r="A16">
        <v>2011</v>
      </c>
      <c r="B16" s="2">
        <v>51.226776123046875</v>
      </c>
      <c r="C16" s="2">
        <v>8.9712743759155273</v>
      </c>
      <c r="D16" s="2">
        <v>87.641960144042969</v>
      </c>
      <c r="E16" s="2">
        <v>3.3867642879486084</v>
      </c>
      <c r="F16" s="2">
        <v>36.415187835693359</v>
      </c>
      <c r="G16" s="2">
        <v>1.7932960987091064</v>
      </c>
      <c r="H16" s="2">
        <v>0.28200915815898048</v>
      </c>
      <c r="I16" s="2">
        <v>0.46780181749552868</v>
      </c>
      <c r="J16" s="2">
        <v>0.75726644818291056</v>
      </c>
      <c r="K16" s="2">
        <v>1.767540039583676</v>
      </c>
      <c r="L16" s="2">
        <v>3.7079116437299389</v>
      </c>
      <c r="M16" s="2">
        <v>112.39980999767513</v>
      </c>
      <c r="N16" s="2">
        <v>0.57398717673074107</v>
      </c>
      <c r="O16" s="2">
        <v>0.57159843902866081</v>
      </c>
      <c r="P16" s="2">
        <v>0.63073933550543093</v>
      </c>
      <c r="Q16" s="2">
        <v>3.7916666877795171</v>
      </c>
      <c r="R16" s="2">
        <v>14.491666112790959</v>
      </c>
      <c r="S16" s="2">
        <v>0.74693378172512914</v>
      </c>
      <c r="T16" s="2">
        <v>129.04715487331094</v>
      </c>
    </row>
    <row r="17" spans="1:20" x14ac:dyDescent="0.2">
      <c r="A17">
        <v>2012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>
        <v>2013</v>
      </c>
      <c r="B18" s="2">
        <v>50.264286041259766</v>
      </c>
      <c r="C18" s="2">
        <v>10.611508369445801</v>
      </c>
      <c r="D18" s="2">
        <v>87.051811218261719</v>
      </c>
      <c r="E18" s="2">
        <v>2.3366782665252686</v>
      </c>
      <c r="F18" s="2">
        <v>36.787528991699219</v>
      </c>
      <c r="G18" s="2">
        <v>1.7849733829498291</v>
      </c>
      <c r="H18" s="2">
        <v>0.24287963647084851</v>
      </c>
      <c r="I18" s="2">
        <v>0.41482754379583892</v>
      </c>
      <c r="J18" s="2">
        <v>0.68085518556591085</v>
      </c>
      <c r="K18" s="2">
        <v>1.9420347424723281</v>
      </c>
      <c r="L18" s="2">
        <v>1.875372015423993</v>
      </c>
      <c r="M18" s="2">
        <v>92.714625155890531</v>
      </c>
      <c r="N18" s="2">
        <v>0.53671625443949811</v>
      </c>
      <c r="O18" s="2">
        <v>0.53470401369238829</v>
      </c>
      <c r="P18" s="2">
        <v>0.53584867826413474</v>
      </c>
      <c r="Q18" s="2">
        <v>3.6969477162722031</v>
      </c>
      <c r="R18" s="2">
        <v>12.62052386898238</v>
      </c>
      <c r="S18" s="2">
        <v>0.60423572987043395</v>
      </c>
      <c r="T18" s="2">
        <v>121.12796543319399</v>
      </c>
    </row>
    <row r="19" spans="1:20" x14ac:dyDescent="0.2">
      <c r="A19">
        <v>2014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>
        <v>2015</v>
      </c>
      <c r="B20" s="2">
        <v>49.472824096679688</v>
      </c>
      <c r="C20" s="2">
        <v>17.91459846496582</v>
      </c>
      <c r="D20" s="2">
        <v>79.836334228515625</v>
      </c>
      <c r="E20" s="2">
        <v>2.2490649223327637</v>
      </c>
      <c r="F20" s="2">
        <v>30.36351203918457</v>
      </c>
      <c r="G20" s="2">
        <v>1.9204921722412109</v>
      </c>
      <c r="H20" s="2">
        <v>0.20881719376403751</v>
      </c>
      <c r="I20" s="2">
        <v>0.37265711060983242</v>
      </c>
      <c r="J20" s="2">
        <v>0.63870339317552394</v>
      </c>
      <c r="K20" s="2">
        <v>1.313586735022348</v>
      </c>
      <c r="L20" s="2">
        <v>0.85521876989812062</v>
      </c>
      <c r="M20" s="2">
        <v>89.493874884259654</v>
      </c>
      <c r="N20" s="2">
        <v>0.50636896725997549</v>
      </c>
      <c r="O20" s="2">
        <v>0.50363747829891625</v>
      </c>
      <c r="P20" s="2">
        <v>0.46626201479924467</v>
      </c>
      <c r="Q20" s="2">
        <v>3.5445810524818659</v>
      </c>
      <c r="R20" s="2">
        <v>11.310568248391149</v>
      </c>
      <c r="S20" s="2">
        <v>0.47623502186144467</v>
      </c>
      <c r="T20" s="2">
        <v>58.200789873202694</v>
      </c>
    </row>
    <row r="22" spans="1:20" s="4" customFormat="1" ht="15.75" x14ac:dyDescent="0.25">
      <c r="A22" s="3"/>
      <c r="B22" s="4" t="s">
        <v>17</v>
      </c>
      <c r="J22" s="4" t="s">
        <v>20</v>
      </c>
    </row>
    <row r="35" spans="1:14" x14ac:dyDescent="0.2">
      <c r="N35" s="2"/>
    </row>
    <row r="43" spans="1:14" s="4" customFormat="1" ht="15.75" x14ac:dyDescent="0.25">
      <c r="A43" s="3"/>
      <c r="B43" s="4" t="s">
        <v>19</v>
      </c>
      <c r="J43" s="4" t="s">
        <v>21</v>
      </c>
    </row>
    <row r="56" spans="14:14" x14ac:dyDescent="0.2">
      <c r="N56" s="2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"/>
  <sheetViews>
    <sheetView showGridLines="0" zoomScale="85" zoomScaleNormal="85" workbookViewId="0">
      <selection activeCell="B2" sqref="B2"/>
    </sheetView>
  </sheetViews>
  <sheetFormatPr defaultRowHeight="12.75" x14ac:dyDescent="0.2"/>
  <cols>
    <col min="1" max="1" width="5" style="1" bestFit="1" customWidth="1"/>
  </cols>
  <sheetData>
    <row r="1" spans="1:20" x14ac:dyDescent="0.2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13</v>
      </c>
      <c r="I1" t="s">
        <v>14</v>
      </c>
      <c r="J1" t="s">
        <v>15</v>
      </c>
      <c r="K1" t="s">
        <v>5</v>
      </c>
      <c r="L1" t="s">
        <v>22</v>
      </c>
      <c r="M1" t="s">
        <v>6</v>
      </c>
      <c r="N1" t="s">
        <v>18</v>
      </c>
      <c r="O1" t="s">
        <v>7</v>
      </c>
      <c r="P1" t="s">
        <v>16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2">
      <c r="A2">
        <v>1997</v>
      </c>
      <c r="B2" s="2">
        <v>39.182914733886719</v>
      </c>
      <c r="C2" s="2">
        <v>23.212627410888672</v>
      </c>
      <c r="D2" s="2">
        <v>71.216339111328125</v>
      </c>
      <c r="E2" s="2">
        <v>5.5710306167602539</v>
      </c>
      <c r="F2" s="2">
        <v>32.033424377441406</v>
      </c>
      <c r="G2" s="2">
        <v>2.0232126712799072</v>
      </c>
      <c r="H2" s="2">
        <v>0.23772215290477761</v>
      </c>
      <c r="I2" s="2">
        <v>0.40578677486760267</v>
      </c>
      <c r="J2" s="2">
        <v>0.65594853160635336</v>
      </c>
      <c r="K2" s="2">
        <v>1.694534752947674</v>
      </c>
      <c r="L2" s="2">
        <v>1.5251777517256671</v>
      </c>
      <c r="M2" s="2">
        <v>85.741529661857768</v>
      </c>
      <c r="N2" s="2">
        <v>0.53401189668356597</v>
      </c>
      <c r="O2" s="2">
        <v>0.53135877292935951</v>
      </c>
      <c r="P2" s="2">
        <v>0.52051705916265001</v>
      </c>
      <c r="Q2" s="2">
        <v>3.4523737623708972</v>
      </c>
      <c r="R2" s="2">
        <v>12.323343770645639</v>
      </c>
      <c r="S2" s="2">
        <v>0.58270519244138386</v>
      </c>
      <c r="T2" s="2">
        <v>87.968546298565229</v>
      </c>
    </row>
    <row r="3" spans="1:20" x14ac:dyDescent="0.2">
      <c r="A3">
        <v>1998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>
        <v>1999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>
        <v>2000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>
        <v>2001</v>
      </c>
      <c r="B6" s="2">
        <v>52.9310302734375</v>
      </c>
      <c r="C6" s="2">
        <v>16.438844680786133</v>
      </c>
      <c r="D6" s="2">
        <v>82.6256103515625</v>
      </c>
      <c r="E6" s="2">
        <v>0.93554621934890747</v>
      </c>
      <c r="F6" s="2">
        <v>29.694578170776367</v>
      </c>
      <c r="G6" s="2">
        <v>1.8861535787582397</v>
      </c>
      <c r="H6" s="2">
        <v>0.24110359569700371</v>
      </c>
      <c r="I6" s="2">
        <v>0.40887758790143292</v>
      </c>
      <c r="J6" s="2">
        <v>0.64942502279984082</v>
      </c>
      <c r="K6" s="2">
        <v>1.6532071901404919</v>
      </c>
      <c r="L6" s="2">
        <v>1.3535018426512679</v>
      </c>
      <c r="M6" s="2">
        <v>104.03165582420306</v>
      </c>
      <c r="N6" s="2">
        <v>0.53942997576802032</v>
      </c>
      <c r="O6" s="2">
        <v>0.53619656135215599</v>
      </c>
      <c r="P6" s="2">
        <v>0.52573215595354095</v>
      </c>
      <c r="Q6" s="2">
        <v>3.2634003325194612</v>
      </c>
      <c r="R6" s="2">
        <v>11.380065336245959</v>
      </c>
      <c r="S6" s="2">
        <v>0.58899470292673362</v>
      </c>
      <c r="T6" s="2">
        <v>121.04789876376472</v>
      </c>
    </row>
    <row r="7" spans="1:20" x14ac:dyDescent="0.2">
      <c r="A7">
        <v>2002</v>
      </c>
      <c r="B7" s="2">
        <v>44.352191925048828</v>
      </c>
      <c r="C7" s="2">
        <v>4.5328083038330078</v>
      </c>
      <c r="D7" s="2">
        <v>92.273696899414063</v>
      </c>
      <c r="E7" s="2">
        <v>3.1934897899627686</v>
      </c>
      <c r="F7" s="2">
        <v>47.9215087890625</v>
      </c>
      <c r="G7" s="2">
        <v>1.6299828290939331</v>
      </c>
      <c r="H7" s="2">
        <v>0.2160273012781401</v>
      </c>
      <c r="I7" s="2">
        <v>0.37369045120967748</v>
      </c>
      <c r="J7" s="2">
        <v>0.61626377541301514</v>
      </c>
      <c r="K7" s="2">
        <v>1.3671066881697</v>
      </c>
      <c r="L7" s="2">
        <v>1.3239171301864201</v>
      </c>
      <c r="M7" s="2">
        <v>98.05679648667585</v>
      </c>
      <c r="N7" s="2">
        <v>0.51246680674182821</v>
      </c>
      <c r="O7" s="2">
        <v>0.51030390818829208</v>
      </c>
      <c r="P7" s="2">
        <v>0.46791054321472808</v>
      </c>
      <c r="Q7" s="2">
        <v>3.0917237648741782</v>
      </c>
      <c r="R7" s="2">
        <v>10.129575360743081</v>
      </c>
      <c r="S7" s="2">
        <v>0.51297787387787741</v>
      </c>
      <c r="T7" s="2">
        <v>81.19366393398937</v>
      </c>
    </row>
    <row r="8" spans="1:20" x14ac:dyDescent="0.2">
      <c r="A8">
        <v>2003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>
        <v>2004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>
        <v>2005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>
        <v>2006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>
        <v>2007</v>
      </c>
      <c r="B12" s="2">
        <v>50.514579772949219</v>
      </c>
      <c r="C12" s="2">
        <v>20.154373168945313</v>
      </c>
      <c r="D12" s="2">
        <v>74.957122802734375</v>
      </c>
      <c r="E12" s="2">
        <v>4.8885078430175781</v>
      </c>
      <c r="F12" s="2">
        <v>24.442539215087891</v>
      </c>
      <c r="G12" s="2">
        <v>2.0548884868621826</v>
      </c>
      <c r="H12" s="2">
        <v>0.2053480639461796</v>
      </c>
      <c r="I12" s="2">
        <v>0.35311351323127171</v>
      </c>
      <c r="J12" s="2">
        <v>0.57698251297883829</v>
      </c>
      <c r="K12" s="2">
        <v>1.4627378580434689</v>
      </c>
      <c r="L12" s="2">
        <v>1.10027802752875</v>
      </c>
      <c r="M12" s="2">
        <v>107.76916433870969</v>
      </c>
      <c r="N12" s="2">
        <v>0.49783226110721052</v>
      </c>
      <c r="O12" s="2">
        <v>0.49539184200420511</v>
      </c>
      <c r="P12" s="2">
        <v>0.43558444536237062</v>
      </c>
      <c r="Q12" s="2">
        <v>2.9682284864579378</v>
      </c>
      <c r="R12" s="2">
        <v>8.9032895058197283</v>
      </c>
      <c r="S12" s="2">
        <v>0.49512084300892067</v>
      </c>
      <c r="T12" s="2">
        <v>119.13628250479557</v>
      </c>
    </row>
    <row r="13" spans="1:20" x14ac:dyDescent="0.2">
      <c r="A13">
        <v>2008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>
        <v>2009</v>
      </c>
      <c r="B14" s="2">
        <v>52.233676910400391</v>
      </c>
      <c r="C14" s="2">
        <v>13.402061462402344</v>
      </c>
      <c r="D14" s="2">
        <v>84.3642578125</v>
      </c>
      <c r="E14" s="2">
        <v>2.2336769104003906</v>
      </c>
      <c r="F14" s="2">
        <v>32.130584716796875</v>
      </c>
      <c r="G14" s="2">
        <v>1.8573882579803467</v>
      </c>
      <c r="H14" s="2">
        <v>0.21433269871069771</v>
      </c>
      <c r="I14" s="2">
        <v>0.36563201327175737</v>
      </c>
      <c r="J14" s="2">
        <v>0.59675334389351742</v>
      </c>
      <c r="K14" s="2">
        <v>1.4541658742564969</v>
      </c>
      <c r="L14" s="2">
        <v>3.28444405737755</v>
      </c>
      <c r="M14" s="2">
        <v>107.37224338463722</v>
      </c>
      <c r="N14" s="2">
        <v>0.50525709745015845</v>
      </c>
      <c r="O14" s="2">
        <v>0.50246550173874793</v>
      </c>
      <c r="P14" s="2">
        <v>0.45512607221688411</v>
      </c>
      <c r="Q14" s="2">
        <v>3.080466107803117</v>
      </c>
      <c r="R14" s="2">
        <v>9.6656756218635671</v>
      </c>
      <c r="S14" s="2">
        <v>0.54124544963996035</v>
      </c>
      <c r="T14" s="2">
        <v>113.61068122720866</v>
      </c>
    </row>
    <row r="15" spans="1:20" x14ac:dyDescent="0.2">
      <c r="A15">
        <v>2010</v>
      </c>
      <c r="B15" s="2">
        <v>53.859203338623047</v>
      </c>
      <c r="C15" s="2">
        <v>13.994911193847656</v>
      </c>
      <c r="D15" s="2">
        <v>84.563186645507813</v>
      </c>
      <c r="E15" s="2">
        <v>1.4418998956680298</v>
      </c>
      <c r="F15" s="2">
        <v>30.703985214233398</v>
      </c>
      <c r="G15" s="2">
        <v>1.8617472648620605</v>
      </c>
      <c r="H15" s="2">
        <v>0.18605143180630981</v>
      </c>
      <c r="I15" s="2">
        <v>0.32702417550238161</v>
      </c>
      <c r="J15" s="2">
        <v>0.56096533618785682</v>
      </c>
      <c r="K15" s="2">
        <v>1.3023580234816341</v>
      </c>
      <c r="L15" s="2">
        <v>0.948321513043066</v>
      </c>
      <c r="M15" s="2">
        <v>92.990557813825859</v>
      </c>
      <c r="N15" s="2">
        <v>0.47549319192110262</v>
      </c>
      <c r="O15" s="2">
        <v>0.47181946678595682</v>
      </c>
      <c r="P15" s="2">
        <v>0.39604587197748581</v>
      </c>
      <c r="Q15" s="2">
        <v>2.8731050569454379</v>
      </c>
      <c r="R15" s="2">
        <v>8.3070331808856128</v>
      </c>
      <c r="S15" s="2">
        <v>0.43868091226021988</v>
      </c>
      <c r="T15" s="2">
        <v>77.518700887095576</v>
      </c>
    </row>
    <row r="16" spans="1:20" x14ac:dyDescent="0.2">
      <c r="A16">
        <v>2011</v>
      </c>
      <c r="B16" s="2">
        <v>61.373390197753906</v>
      </c>
      <c r="C16" s="2">
        <v>13.390557289123535</v>
      </c>
      <c r="D16" s="2">
        <v>84.721031188964844</v>
      </c>
      <c r="E16" s="2">
        <v>1.8884119987487793</v>
      </c>
      <c r="F16" s="2">
        <v>23.347640991210937</v>
      </c>
      <c r="G16" s="2">
        <v>1.9381973743438721</v>
      </c>
      <c r="H16" s="2">
        <v>0.201422064466066</v>
      </c>
      <c r="I16" s="2">
        <v>0.34631607827512861</v>
      </c>
      <c r="J16" s="2">
        <v>0.56028395520200491</v>
      </c>
      <c r="K16" s="2">
        <v>1.348920046342899</v>
      </c>
      <c r="L16" s="2">
        <v>1.141712287700726</v>
      </c>
      <c r="M16" s="2">
        <v>104.50823337370008</v>
      </c>
      <c r="N16" s="2">
        <v>0.49355237835165738</v>
      </c>
      <c r="O16" s="2">
        <v>0.49092132693066171</v>
      </c>
      <c r="P16" s="2">
        <v>0.42513134446689832</v>
      </c>
      <c r="Q16" s="2">
        <v>2.946140723195382</v>
      </c>
      <c r="R16" s="2">
        <v>8.5020707007745848</v>
      </c>
      <c r="S16" s="2">
        <v>0.48581604049461458</v>
      </c>
      <c r="T16" s="2">
        <v>97.021803364811973</v>
      </c>
    </row>
    <row r="17" spans="1:20" x14ac:dyDescent="0.2">
      <c r="A17">
        <v>2012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>
        <v>2013</v>
      </c>
      <c r="B18" s="2">
        <v>45.518455505371094</v>
      </c>
      <c r="C18" s="2">
        <v>17.135324478149414</v>
      </c>
      <c r="D18" s="2">
        <v>79.964851379394531</v>
      </c>
      <c r="E18" s="2">
        <v>2.8998243808746338</v>
      </c>
      <c r="F18" s="2">
        <v>34.446395874023438</v>
      </c>
      <c r="G18" s="2">
        <v>1.8848857879638672</v>
      </c>
      <c r="H18" s="2">
        <v>0.20237599929376071</v>
      </c>
      <c r="I18" s="2">
        <v>0.34445443553597577</v>
      </c>
      <c r="J18" s="2">
        <v>0.55414206601775629</v>
      </c>
      <c r="K18" s="2">
        <v>1.3995472713574983</v>
      </c>
      <c r="L18" s="2">
        <v>1.4422165017413704</v>
      </c>
      <c r="M18" s="2">
        <v>102.01903934369875</v>
      </c>
      <c r="N18" s="2">
        <v>0.49247812603522823</v>
      </c>
      <c r="O18" s="2">
        <v>0.48996486585431609</v>
      </c>
      <c r="P18" s="2">
        <v>0.42229149954298295</v>
      </c>
      <c r="Q18" s="2">
        <v>2.8571089054655516</v>
      </c>
      <c r="R18" s="2">
        <v>8.2592080429341479</v>
      </c>
      <c r="S18" s="2">
        <v>0.4985173666291125</v>
      </c>
      <c r="T18" s="2">
        <v>99.76212696946186</v>
      </c>
    </row>
    <row r="19" spans="1:20" x14ac:dyDescent="0.2">
      <c r="A19">
        <v>2014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>
        <v>2015</v>
      </c>
      <c r="B20" s="2">
        <v>47.781570434570313</v>
      </c>
      <c r="C20" s="2">
        <v>15.614334106445313</v>
      </c>
      <c r="D20" s="2">
        <v>82.423210144042969</v>
      </c>
      <c r="E20" s="2">
        <v>1.9624574184417725</v>
      </c>
      <c r="F20" s="2">
        <v>34.641639709472656</v>
      </c>
      <c r="G20" s="2">
        <v>1.8489761352539063</v>
      </c>
      <c r="H20" s="2">
        <v>0.20332993412145531</v>
      </c>
      <c r="I20" s="2">
        <v>0.34259279279682292</v>
      </c>
      <c r="J20" s="2">
        <v>0.54800017683350777</v>
      </c>
      <c r="K20" s="2">
        <v>1.4501744963721119</v>
      </c>
      <c r="L20" s="2">
        <v>1.742720715781948</v>
      </c>
      <c r="M20" s="2">
        <v>99.529845313698246</v>
      </c>
      <c r="N20" s="2">
        <v>0.49140387371879901</v>
      </c>
      <c r="O20" s="2">
        <v>0.48900840477797092</v>
      </c>
      <c r="P20" s="2">
        <v>0.4194516546190673</v>
      </c>
      <c r="Q20" s="2">
        <v>2.7680770877357221</v>
      </c>
      <c r="R20" s="2">
        <v>8.0163453850937199</v>
      </c>
      <c r="S20" s="2">
        <v>0.51121869276361187</v>
      </c>
      <c r="T20" s="2">
        <v>102.50245057411114</v>
      </c>
    </row>
    <row r="23" spans="1:20" s="4" customFormat="1" ht="15.75" x14ac:dyDescent="0.25">
      <c r="A23" s="3"/>
      <c r="B23" s="4" t="s">
        <v>17</v>
      </c>
      <c r="J23" s="4" t="s">
        <v>20</v>
      </c>
    </row>
    <row r="36" spans="1:14" x14ac:dyDescent="0.2">
      <c r="N36" s="2"/>
    </row>
    <row r="44" spans="1:14" s="4" customFormat="1" ht="15.75" x14ac:dyDescent="0.25">
      <c r="A44" s="3"/>
      <c r="B44" s="4" t="s">
        <v>19</v>
      </c>
      <c r="J44" s="4" t="s">
        <v>21</v>
      </c>
    </row>
    <row r="57" spans="14:14" x14ac:dyDescent="0.2">
      <c r="N57" s="2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8"/>
  <sheetViews>
    <sheetView showGridLines="0" topLeftCell="A2" zoomScale="85" zoomScaleNormal="85" workbookViewId="0">
      <selection activeCell="B2" sqref="B2:T20"/>
    </sheetView>
  </sheetViews>
  <sheetFormatPr defaultRowHeight="12.75" x14ac:dyDescent="0.2"/>
  <cols>
    <col min="1" max="1" width="5" style="1" bestFit="1" customWidth="1"/>
  </cols>
  <sheetData>
    <row r="1" spans="1:20" x14ac:dyDescent="0.2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13</v>
      </c>
      <c r="I1" t="s">
        <v>14</v>
      </c>
      <c r="J1" t="s">
        <v>15</v>
      </c>
      <c r="K1" t="s">
        <v>5</v>
      </c>
      <c r="L1" t="s">
        <v>22</v>
      </c>
      <c r="M1" t="s">
        <v>6</v>
      </c>
      <c r="N1" t="s">
        <v>18</v>
      </c>
      <c r="O1" t="s">
        <v>7</v>
      </c>
      <c r="P1" t="s">
        <v>16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2">
      <c r="A2">
        <v>1997</v>
      </c>
      <c r="B2" s="2">
        <v>43.248729705810547</v>
      </c>
      <c r="C2" s="2">
        <v>24.771574020385742</v>
      </c>
      <c r="D2" s="2">
        <v>62.538070678710937</v>
      </c>
      <c r="E2" s="2">
        <v>12.69035530090332</v>
      </c>
      <c r="F2" s="2">
        <v>19.289340972900391</v>
      </c>
      <c r="G2" s="2">
        <v>2.3086295127868652</v>
      </c>
      <c r="H2" s="2">
        <v>0.2536355747924377</v>
      </c>
      <c r="I2" s="2">
        <v>0.42545076036475171</v>
      </c>
      <c r="J2" s="2">
        <v>0.70440462796665693</v>
      </c>
      <c r="K2" s="2">
        <v>2.0364541723947331</v>
      </c>
      <c r="L2" s="2">
        <v>2.0616723640241719</v>
      </c>
      <c r="M2" s="2">
        <v>85.31037040479336</v>
      </c>
      <c r="N2" s="2">
        <v>0.54432836393155859</v>
      </c>
      <c r="O2" s="2">
        <v>0.54222775294013714</v>
      </c>
      <c r="P2" s="2">
        <v>0.5541694766886327</v>
      </c>
      <c r="Q2" s="2">
        <v>3.3294639420461141</v>
      </c>
      <c r="R2" s="2">
        <v>11.763750103375671</v>
      </c>
      <c r="S2" s="2">
        <v>0.64982714305871148</v>
      </c>
      <c r="T2" s="2">
        <v>107.23582388667158</v>
      </c>
    </row>
    <row r="3" spans="1:20" x14ac:dyDescent="0.2">
      <c r="A3">
        <v>1998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>
        <v>1999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>
        <v>2000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>
        <v>2001</v>
      </c>
      <c r="B6" s="2">
        <v>54.705272674560547</v>
      </c>
      <c r="C6" s="2">
        <v>13.340227127075195</v>
      </c>
      <c r="D6" s="2">
        <v>84.591522216796875</v>
      </c>
      <c r="E6" s="2">
        <v>2.0682523250579834</v>
      </c>
      <c r="F6" s="2">
        <v>29.886245727539063</v>
      </c>
      <c r="G6" s="2">
        <v>1.87590491771698</v>
      </c>
      <c r="H6" s="2">
        <v>0.2444137601712886</v>
      </c>
      <c r="I6" s="2">
        <v>0.39681158928123739</v>
      </c>
      <c r="J6" s="2">
        <v>0.61152256843222608</v>
      </c>
      <c r="K6" s="2">
        <v>1.6370175676003691</v>
      </c>
      <c r="L6" s="2">
        <v>2.5599297992376382</v>
      </c>
      <c r="M6" s="2">
        <v>94.112141387302557</v>
      </c>
      <c r="N6" s="2">
        <v>0.53141591830044632</v>
      </c>
      <c r="O6" s="2">
        <v>0.53114069965790378</v>
      </c>
      <c r="P6" s="2">
        <v>0.50552567547226734</v>
      </c>
      <c r="Q6" s="2">
        <v>3.0725662390082178</v>
      </c>
      <c r="R6" s="2">
        <v>9.1016044521515695</v>
      </c>
      <c r="S6" s="2">
        <v>0.65434710525078299</v>
      </c>
      <c r="T6" s="2">
        <v>87.887936463119118</v>
      </c>
    </row>
    <row r="7" spans="1:20" x14ac:dyDescent="0.2">
      <c r="A7">
        <v>2002</v>
      </c>
      <c r="B7" s="2">
        <v>54.355018615722656</v>
      </c>
      <c r="C7" s="2">
        <v>19.514884948730469</v>
      </c>
      <c r="D7" s="2">
        <v>78.390296936035156</v>
      </c>
      <c r="E7" s="2">
        <v>2.094818115234375</v>
      </c>
      <c r="F7" s="2">
        <v>24.035280227661133</v>
      </c>
      <c r="G7" s="2">
        <v>1.996692419052124</v>
      </c>
      <c r="H7" s="2">
        <v>0.23760144241965087</v>
      </c>
      <c r="I7" s="2">
        <v>0.38682100856611967</v>
      </c>
      <c r="J7" s="2">
        <v>0.59575754485982912</v>
      </c>
      <c r="K7" s="2">
        <v>1.6252763854692205</v>
      </c>
      <c r="L7" s="2">
        <v>2.371576993197948</v>
      </c>
      <c r="M7" s="2">
        <v>95.497331588820998</v>
      </c>
      <c r="N7" s="2">
        <v>0.52431356438195742</v>
      </c>
      <c r="O7" s="2">
        <v>0.5240088525623019</v>
      </c>
      <c r="P7" s="2">
        <v>0.48973495821283564</v>
      </c>
      <c r="Q7" s="2">
        <v>3.0374458897127852</v>
      </c>
      <c r="R7" s="2">
        <v>8.8100271405695594</v>
      </c>
      <c r="S7" s="2">
        <v>0.63184253622590347</v>
      </c>
      <c r="T7" s="2">
        <v>92.034618651594428</v>
      </c>
    </row>
    <row r="8" spans="1:20" x14ac:dyDescent="0.2">
      <c r="A8">
        <v>2003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>
        <v>2004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>
        <v>2005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>
        <v>2006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>
        <v>2007</v>
      </c>
      <c r="B12" s="2">
        <v>46.386928558349609</v>
      </c>
      <c r="C12" s="2">
        <v>24.637144088745117</v>
      </c>
      <c r="D12" s="2">
        <v>69.577056884765625</v>
      </c>
      <c r="E12" s="2">
        <v>5.7857999801635742</v>
      </c>
      <c r="F12" s="2">
        <v>23.190126419067383</v>
      </c>
      <c r="G12" s="2">
        <v>2.1301863193511963</v>
      </c>
      <c r="H12" s="2">
        <v>0.2035398536614606</v>
      </c>
      <c r="I12" s="2">
        <v>0.33686810499051562</v>
      </c>
      <c r="J12" s="2">
        <v>0.51693242699786235</v>
      </c>
      <c r="K12" s="2">
        <v>1.566570474813485</v>
      </c>
      <c r="L12" s="2">
        <v>1.429812962999369</v>
      </c>
      <c r="M12" s="2">
        <v>102.42328259641201</v>
      </c>
      <c r="N12" s="2">
        <v>0.48880179478951841</v>
      </c>
      <c r="O12" s="2">
        <v>0.48834961708428648</v>
      </c>
      <c r="P12" s="2">
        <v>0.41078137191566311</v>
      </c>
      <c r="Q12" s="2">
        <v>2.8618441432355062</v>
      </c>
      <c r="R12" s="2">
        <v>7.3521405826594393</v>
      </c>
      <c r="S12" s="2">
        <v>0.51931969110150666</v>
      </c>
      <c r="T12" s="2">
        <v>112.76802959396494</v>
      </c>
    </row>
    <row r="13" spans="1:20" x14ac:dyDescent="0.2">
      <c r="A13">
        <v>2008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>
        <v>2009</v>
      </c>
      <c r="B14" s="2">
        <v>54.959075927734375</v>
      </c>
      <c r="C14" s="2">
        <v>16.544610977172852</v>
      </c>
      <c r="D14" s="2">
        <v>80.711898803710938</v>
      </c>
      <c r="E14" s="2">
        <v>2.743485689163208</v>
      </c>
      <c r="F14" s="2">
        <v>25.752824783325195</v>
      </c>
      <c r="G14" s="2">
        <v>1.9627875089645386</v>
      </c>
      <c r="H14" s="2">
        <v>0.16191388370725929</v>
      </c>
      <c r="I14" s="2">
        <v>0.28569459070166597</v>
      </c>
      <c r="J14" s="2">
        <v>0.47648494059112101</v>
      </c>
      <c r="K14" s="2">
        <v>1.167329755741884</v>
      </c>
      <c r="L14" s="2">
        <v>0.68110186951921892</v>
      </c>
      <c r="M14" s="2">
        <v>90.489716935921265</v>
      </c>
      <c r="N14" s="2">
        <v>0.44170884190897391</v>
      </c>
      <c r="O14" s="2">
        <v>0.4416119690193232</v>
      </c>
      <c r="P14" s="2">
        <v>0.33644466398359818</v>
      </c>
      <c r="Q14" s="2">
        <v>2.6857454233414839</v>
      </c>
      <c r="R14" s="2">
        <v>7.1085864573072524</v>
      </c>
      <c r="S14" s="2">
        <v>0.37614614544148511</v>
      </c>
      <c r="T14" s="2">
        <v>59.766020570274826</v>
      </c>
    </row>
    <row r="15" spans="1:20" x14ac:dyDescent="0.2">
      <c r="A15">
        <v>2010</v>
      </c>
      <c r="B15" s="2">
        <v>59.333122253417969</v>
      </c>
      <c r="C15" s="2">
        <v>21.450290679931641</v>
      </c>
      <c r="D15" s="2">
        <v>73.796493530273437</v>
      </c>
      <c r="E15" s="2">
        <v>4.7532148361206055</v>
      </c>
      <c r="F15" s="2">
        <v>14.463371276855469</v>
      </c>
      <c r="G15" s="2">
        <v>2.164933443069458</v>
      </c>
      <c r="H15" s="2">
        <v>0.16583989714280012</v>
      </c>
      <c r="I15" s="2">
        <v>0.29020500158993201</v>
      </c>
      <c r="J15" s="2">
        <v>0.47937881229212653</v>
      </c>
      <c r="K15" s="2">
        <v>1.1891311934872348</v>
      </c>
      <c r="L15" s="2">
        <v>0.79002858793282371</v>
      </c>
      <c r="M15" s="2">
        <v>96.685515290833791</v>
      </c>
      <c r="N15" s="2">
        <v>0.44569799884111116</v>
      </c>
      <c r="O15" s="2">
        <v>0.44561072901877985</v>
      </c>
      <c r="P15" s="2">
        <v>0.34288178982651552</v>
      </c>
      <c r="Q15" s="2">
        <v>2.6911956120002554</v>
      </c>
      <c r="R15" s="2">
        <v>7.05085855068873</v>
      </c>
      <c r="S15" s="2">
        <v>0.39097367427470076</v>
      </c>
      <c r="T15" s="2">
        <v>71.86205173658891</v>
      </c>
    </row>
    <row r="16" spans="1:20" x14ac:dyDescent="0.2">
      <c r="A16">
        <v>2011</v>
      </c>
      <c r="B16" s="2">
        <v>62.039302825927734</v>
      </c>
      <c r="C16" s="2">
        <v>23.048921585083008</v>
      </c>
      <c r="D16" s="2">
        <v>72.703132629394531</v>
      </c>
      <c r="E16" s="2">
        <v>4.2479524612426758</v>
      </c>
      <c r="F16" s="2">
        <v>10.663821220397949</v>
      </c>
      <c r="G16" s="2">
        <v>2.2088100910186768</v>
      </c>
      <c r="H16" s="2">
        <v>0.16976591057834067</v>
      </c>
      <c r="I16" s="2">
        <v>0.29471541247819566</v>
      </c>
      <c r="J16" s="2">
        <v>0.48227268399313328</v>
      </c>
      <c r="K16" s="2">
        <v>1.2109326312325948</v>
      </c>
      <c r="L16" s="2">
        <v>0.89895530634640863</v>
      </c>
      <c r="M16" s="2">
        <v>102.88131364574474</v>
      </c>
      <c r="N16" s="2">
        <v>0.44968715577324847</v>
      </c>
      <c r="O16" s="2">
        <v>0.4496094890182345</v>
      </c>
      <c r="P16" s="2">
        <v>0.34931891566943207</v>
      </c>
      <c r="Q16" s="2">
        <v>2.6966458006590273</v>
      </c>
      <c r="R16" s="2">
        <v>6.9931306440702059</v>
      </c>
      <c r="S16" s="2">
        <v>0.40580120310792012</v>
      </c>
      <c r="T16" s="2">
        <v>83.958082902903698</v>
      </c>
    </row>
    <row r="17" spans="1:20" x14ac:dyDescent="0.2">
      <c r="A17">
        <v>2012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>
        <v>2013</v>
      </c>
      <c r="B18" s="2">
        <v>45.532375335693359</v>
      </c>
      <c r="C18" s="2">
        <v>39.511920928955078</v>
      </c>
      <c r="D18" s="2">
        <v>54.949699401855469</v>
      </c>
      <c r="E18" s="2">
        <v>5.5383739471435547</v>
      </c>
      <c r="F18" s="2">
        <v>9.417327880859375</v>
      </c>
      <c r="G18" s="2">
        <v>2.4117133617401123</v>
      </c>
      <c r="H18" s="2">
        <v>0.17761793744942267</v>
      </c>
      <c r="I18" s="2">
        <v>0.30373623425472651</v>
      </c>
      <c r="J18" s="2">
        <v>0.48806042739514588</v>
      </c>
      <c r="K18" s="2">
        <v>1.2545355067233004</v>
      </c>
      <c r="L18" s="2">
        <v>1.1168087431736069</v>
      </c>
      <c r="M18" s="2">
        <v>115.27291035556664</v>
      </c>
      <c r="N18" s="2">
        <v>0.45766546963752308</v>
      </c>
      <c r="O18" s="2">
        <v>0.45760700901714735</v>
      </c>
      <c r="P18" s="2">
        <v>0.36219316735526341</v>
      </c>
      <c r="Q18" s="2">
        <v>2.707546177976571</v>
      </c>
      <c r="R18" s="2">
        <v>6.8776748308331435</v>
      </c>
      <c r="S18" s="2">
        <v>0.43545626077435173</v>
      </c>
      <c r="T18" s="2">
        <v>108.15014523553327</v>
      </c>
    </row>
    <row r="19" spans="1:20" x14ac:dyDescent="0.2">
      <c r="A19">
        <v>2014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>
        <v>2015</v>
      </c>
      <c r="B20" s="2">
        <v>46.344520568847656</v>
      </c>
      <c r="C20" s="2">
        <v>36.130050659179687</v>
      </c>
      <c r="D20" s="2">
        <v>57.824073791503906</v>
      </c>
      <c r="E20" s="2">
        <v>6.045875072479248</v>
      </c>
      <c r="F20" s="2">
        <v>11.479554176330566</v>
      </c>
      <c r="G20" s="2">
        <v>2.367422342300415</v>
      </c>
      <c r="H20" s="2">
        <v>0.185469964320505</v>
      </c>
      <c r="I20" s="2">
        <v>0.3127570560312547</v>
      </c>
      <c r="J20" s="2">
        <v>0.49384817079715893</v>
      </c>
      <c r="K20" s="2">
        <v>1.2981383822140129</v>
      </c>
      <c r="L20" s="2">
        <v>1.334662180000789</v>
      </c>
      <c r="M20" s="2">
        <v>127.66450706539025</v>
      </c>
      <c r="N20" s="2">
        <v>0.46564378350179791</v>
      </c>
      <c r="O20" s="2">
        <v>0.46560452901605759</v>
      </c>
      <c r="P20" s="2">
        <v>0.3750674190410962</v>
      </c>
      <c r="Q20" s="2">
        <v>2.7184465552941171</v>
      </c>
      <c r="R20" s="2">
        <v>6.7622190175960828</v>
      </c>
      <c r="S20" s="2">
        <v>0.46511131844078712</v>
      </c>
      <c r="T20" s="2">
        <v>132.3422075681645</v>
      </c>
    </row>
    <row r="24" spans="1:20" s="4" customFormat="1" ht="15.75" x14ac:dyDescent="0.25">
      <c r="A24" s="3"/>
      <c r="B24" s="4" t="s">
        <v>17</v>
      </c>
      <c r="J24" s="4" t="s">
        <v>20</v>
      </c>
    </row>
    <row r="37" spans="1:14" x14ac:dyDescent="0.2">
      <c r="N37" s="2"/>
    </row>
    <row r="45" spans="1:14" s="4" customFormat="1" ht="15.75" x14ac:dyDescent="0.25">
      <c r="A45" s="3"/>
      <c r="B45" s="4" t="s">
        <v>19</v>
      </c>
      <c r="J45" s="4" t="s">
        <v>21</v>
      </c>
    </row>
    <row r="58" spans="14:14" x14ac:dyDescent="0.2">
      <c r="N58" s="2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"/>
  <sheetViews>
    <sheetView showGridLines="0" zoomScale="85" zoomScaleNormal="85" workbookViewId="0">
      <selection activeCell="B2" sqref="B2:T20"/>
    </sheetView>
  </sheetViews>
  <sheetFormatPr defaultRowHeight="12.75" x14ac:dyDescent="0.2"/>
  <cols>
    <col min="1" max="1" width="5" style="1" bestFit="1" customWidth="1"/>
  </cols>
  <sheetData>
    <row r="1" spans="1:20" x14ac:dyDescent="0.2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13</v>
      </c>
      <c r="I1" t="s">
        <v>14</v>
      </c>
      <c r="J1" t="s">
        <v>15</v>
      </c>
      <c r="K1" t="s">
        <v>5</v>
      </c>
      <c r="L1" t="s">
        <v>22</v>
      </c>
      <c r="M1" t="s">
        <v>6</v>
      </c>
      <c r="N1" t="s">
        <v>18</v>
      </c>
      <c r="O1" t="s">
        <v>7</v>
      </c>
      <c r="P1" t="s">
        <v>16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2">
      <c r="A2">
        <v>1997</v>
      </c>
      <c r="B2" s="2">
        <v>58.458457946777344</v>
      </c>
      <c r="C2" s="2">
        <v>18.518518447875977</v>
      </c>
      <c r="D2" s="2">
        <v>79.079078674316406</v>
      </c>
      <c r="E2" s="2">
        <v>2.402402400970459</v>
      </c>
      <c r="F2" s="2">
        <v>20.620620727539063</v>
      </c>
      <c r="G2" s="2">
        <v>2.0270271301269531</v>
      </c>
      <c r="H2" s="2">
        <v>0.20217295513324096</v>
      </c>
      <c r="I2" s="2">
        <v>0.3171052836636612</v>
      </c>
      <c r="J2" s="2">
        <v>0.34347692937733143</v>
      </c>
      <c r="K2" s="2">
        <v>-0.28822207918841514</v>
      </c>
      <c r="L2" s="2">
        <v>-1.495578516008095</v>
      </c>
      <c r="M2" s="2">
        <v>66.598144286692786</v>
      </c>
      <c r="N2" s="2">
        <v>0.53465136013366932</v>
      </c>
      <c r="O2" s="2">
        <v>0.5359537437413473</v>
      </c>
      <c r="P2" s="2">
        <v>0.37513179379450534</v>
      </c>
      <c r="Q2" s="2">
        <v>4.0556945358698044</v>
      </c>
      <c r="R2" s="2">
        <v>-0.37926814816432852</v>
      </c>
      <c r="S2" s="2">
        <v>0.42490337591673111</v>
      </c>
      <c r="T2" s="2">
        <v>-183.51784772989049</v>
      </c>
    </row>
    <row r="3" spans="1:20" x14ac:dyDescent="0.2">
      <c r="A3">
        <v>1998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>
        <v>1999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>
        <v>2000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>
        <v>2001</v>
      </c>
      <c r="B6" s="2">
        <v>40.848213195800781</v>
      </c>
      <c r="C6" s="2">
        <v>4.6875</v>
      </c>
      <c r="D6" s="2">
        <v>94.866073608398438</v>
      </c>
      <c r="E6" s="2">
        <v>0.44642859697341919</v>
      </c>
      <c r="F6" s="2">
        <v>54.017860412597656</v>
      </c>
      <c r="G6" s="2">
        <v>1.515625</v>
      </c>
      <c r="H6" s="2">
        <v>0.20899235289016893</v>
      </c>
      <c r="I6" s="2">
        <v>0.33989302662280529</v>
      </c>
      <c r="J6" s="2">
        <v>0.43067338813944644</v>
      </c>
      <c r="K6" s="2">
        <v>0.27434778587775099</v>
      </c>
      <c r="L6" s="2">
        <v>-0.67084752024237559</v>
      </c>
      <c r="M6" s="2">
        <v>74.819115371953103</v>
      </c>
      <c r="N6" s="2">
        <v>0.52987184164880174</v>
      </c>
      <c r="O6" s="2">
        <v>0.53066999696799932</v>
      </c>
      <c r="P6" s="2">
        <v>0.41238623269950736</v>
      </c>
      <c r="Q6" s="2">
        <v>3.847875250232363</v>
      </c>
      <c r="R6" s="2">
        <v>3.5004961121683209</v>
      </c>
      <c r="S6" s="2">
        <v>0.45728164316659203</v>
      </c>
      <c r="T6" s="2">
        <v>-95.426860274696082</v>
      </c>
    </row>
    <row r="7" spans="1:20" x14ac:dyDescent="0.2">
      <c r="A7">
        <v>2002</v>
      </c>
      <c r="B7" s="2">
        <v>45.030658721923828</v>
      </c>
      <c r="C7" s="2">
        <v>6.3583941459655762</v>
      </c>
      <c r="D7" s="2">
        <v>91.795623779296875</v>
      </c>
      <c r="E7" s="2">
        <v>1.8459852933883667</v>
      </c>
      <c r="F7" s="2">
        <v>46.764961242675781</v>
      </c>
      <c r="G7" s="2">
        <v>1.6328539848327637</v>
      </c>
      <c r="H7" s="2">
        <v>0.21069720232940092</v>
      </c>
      <c r="I7" s="2">
        <v>0.34558996236259176</v>
      </c>
      <c r="J7" s="2">
        <v>0.45247250282997697</v>
      </c>
      <c r="K7" s="2">
        <v>0.4149902521442641</v>
      </c>
      <c r="L7" s="2">
        <v>-0.46466477130093153</v>
      </c>
      <c r="M7" s="2">
        <v>76.874358143267727</v>
      </c>
      <c r="N7" s="2">
        <v>0.52867696202758463</v>
      </c>
      <c r="O7" s="2">
        <v>0.52934906027466244</v>
      </c>
      <c r="P7" s="2">
        <v>0.42169984242575609</v>
      </c>
      <c r="Q7" s="2">
        <v>3.7959204288230097</v>
      </c>
      <c r="R7" s="2">
        <v>4.4704371772513696</v>
      </c>
      <c r="S7" s="2">
        <v>0.46537620997905904</v>
      </c>
      <c r="T7" s="2">
        <v>-73.404113410899299</v>
      </c>
    </row>
    <row r="8" spans="1:20" x14ac:dyDescent="0.2">
      <c r="A8">
        <v>2003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>
        <v>2004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>
        <v>2005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>
        <v>2006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>
        <v>2007</v>
      </c>
      <c r="B12" s="2">
        <v>49.321426391601563</v>
      </c>
      <c r="C12" s="2">
        <v>11.647137641906738</v>
      </c>
      <c r="D12" s="2">
        <v>81.7132568359375</v>
      </c>
      <c r="E12" s="2">
        <v>6.6396055221557617</v>
      </c>
      <c r="F12" s="2">
        <v>32.391826629638672</v>
      </c>
      <c r="G12" s="2">
        <v>1.9253451824188232</v>
      </c>
      <c r="H12" s="2">
        <v>0.21922144952556089</v>
      </c>
      <c r="I12" s="2">
        <v>0.3740746410615241</v>
      </c>
      <c r="J12" s="2">
        <v>0.56146807628262252</v>
      </c>
      <c r="K12" s="2">
        <v>1.1182025834769433</v>
      </c>
      <c r="L12" s="2">
        <v>0.56624897340617508</v>
      </c>
      <c r="M12" s="2">
        <v>87.150571999842668</v>
      </c>
      <c r="N12" s="2">
        <v>0.52270256392149994</v>
      </c>
      <c r="O12" s="2">
        <v>0.52274437680797714</v>
      </c>
      <c r="P12" s="2">
        <v>0.46826789105701039</v>
      </c>
      <c r="Q12" s="2">
        <v>3.536146321776215</v>
      </c>
      <c r="R12" s="2">
        <v>9.320142502667295</v>
      </c>
      <c r="S12" s="2">
        <v>0.50584904404138697</v>
      </c>
      <c r="T12" s="2">
        <v>36.709620908091892</v>
      </c>
    </row>
    <row r="13" spans="1:20" x14ac:dyDescent="0.2">
      <c r="A13">
        <v>2008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>
        <v>2009</v>
      </c>
      <c r="B14" s="2">
        <v>54.899894714355469</v>
      </c>
      <c r="C14" s="2">
        <v>22.866174697875977</v>
      </c>
      <c r="D14" s="2">
        <v>73.024238586425781</v>
      </c>
      <c r="E14" s="2">
        <v>4.1095890998840332</v>
      </c>
      <c r="F14" s="2">
        <v>18.12434196472168</v>
      </c>
      <c r="G14" s="2">
        <v>2.1296100616455078</v>
      </c>
      <c r="H14" s="2">
        <v>0.22263114840402501</v>
      </c>
      <c r="I14" s="2">
        <v>0.38546851254109782</v>
      </c>
      <c r="J14" s="2">
        <v>0.60506630566368624</v>
      </c>
      <c r="K14" s="2">
        <v>1.3994875160100471</v>
      </c>
      <c r="L14" s="2">
        <v>0.9786144712890299</v>
      </c>
      <c r="M14" s="2">
        <v>91.261057542472642</v>
      </c>
      <c r="N14" s="2">
        <v>0.52031280467906671</v>
      </c>
      <c r="O14" s="2">
        <v>0.5201025034213036</v>
      </c>
      <c r="P14" s="2">
        <v>0.4868951105095129</v>
      </c>
      <c r="Q14" s="2">
        <v>3.432236678957489</v>
      </c>
      <c r="R14" s="2">
        <v>11.260024632833581</v>
      </c>
      <c r="S14" s="2">
        <v>0.52203817766631733</v>
      </c>
      <c r="T14" s="2">
        <v>80.755114635685274</v>
      </c>
    </row>
    <row r="15" spans="1:20" x14ac:dyDescent="0.2">
      <c r="A15">
        <v>2010</v>
      </c>
      <c r="B15" s="2">
        <v>48.387096405029297</v>
      </c>
      <c r="C15" s="2">
        <v>26.534858703613281</v>
      </c>
      <c r="D15" s="2">
        <v>66.70135498046875</v>
      </c>
      <c r="E15" s="2">
        <v>6.7637877464294434</v>
      </c>
      <c r="F15" s="2">
        <v>18.31425666809082</v>
      </c>
      <c r="G15" s="2">
        <v>2.2174818515777588</v>
      </c>
      <c r="H15" s="2">
        <v>0.224335997843257</v>
      </c>
      <c r="I15" s="2">
        <v>0.39116544828088412</v>
      </c>
      <c r="J15" s="2">
        <v>0.62686542035421522</v>
      </c>
      <c r="K15" s="2">
        <v>1.5401299822765819</v>
      </c>
      <c r="L15" s="2">
        <v>1.184797220230456</v>
      </c>
      <c r="M15" s="2">
        <v>93.316300313787579</v>
      </c>
      <c r="N15" s="2">
        <v>0.51911792505784982</v>
      </c>
      <c r="O15" s="2">
        <v>0.5187815667279666</v>
      </c>
      <c r="P15" s="2">
        <v>0.49620872023576368</v>
      </c>
      <c r="Q15" s="2">
        <v>3.3802818575481308</v>
      </c>
      <c r="R15" s="2">
        <v>12.229965697916761</v>
      </c>
      <c r="S15" s="2">
        <v>0.53013274447878289</v>
      </c>
      <c r="T15" s="2">
        <v>102.77786149948346</v>
      </c>
    </row>
    <row r="16" spans="1:20" x14ac:dyDescent="0.2">
      <c r="A16">
        <v>2011</v>
      </c>
      <c r="B16" s="2">
        <v>50.520832061767578</v>
      </c>
      <c r="C16" s="2">
        <v>27.1875</v>
      </c>
      <c r="D16" s="2">
        <v>66.145828247070312</v>
      </c>
      <c r="E16" s="2">
        <v>6.6666669845581055</v>
      </c>
      <c r="F16" s="2">
        <v>15.625</v>
      </c>
      <c r="G16" s="2">
        <v>2.2489583492279053</v>
      </c>
      <c r="H16" s="2">
        <v>0.22295240828148019</v>
      </c>
      <c r="I16" s="2">
        <v>0.39193987369954592</v>
      </c>
      <c r="J16" s="2">
        <v>0.6352957425950434</v>
      </c>
      <c r="K16" s="2">
        <v>1.4203415950368581</v>
      </c>
      <c r="L16" s="2">
        <v>1.0070759393552791</v>
      </c>
      <c r="M16" s="2">
        <v>101.93178924399766</v>
      </c>
      <c r="N16" s="2">
        <v>0.51830705018315149</v>
      </c>
      <c r="O16" s="2">
        <v>0.51779970738158798</v>
      </c>
      <c r="P16" s="2">
        <v>0.49748150996391027</v>
      </c>
      <c r="Q16" s="2">
        <v>3.4503464812536122</v>
      </c>
      <c r="R16" s="2">
        <v>12.11808479543013</v>
      </c>
      <c r="S16" s="2">
        <v>0.51880371542919912</v>
      </c>
      <c r="T16" s="2">
        <v>104.69361110027702</v>
      </c>
    </row>
    <row r="17" spans="1:20" x14ac:dyDescent="0.2">
      <c r="A17">
        <v>2012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>
        <v>2013</v>
      </c>
      <c r="B18" s="2">
        <v>41.543342590332031</v>
      </c>
      <c r="C18" s="2">
        <v>29.704015731811523</v>
      </c>
      <c r="D18" s="2">
        <v>63.213531494140625</v>
      </c>
      <c r="E18" s="2">
        <v>7.0824527740478516</v>
      </c>
      <c r="F18" s="2">
        <v>21.670190811157227</v>
      </c>
      <c r="G18" s="2">
        <v>2.221987247467041</v>
      </c>
      <c r="H18" s="2">
        <v>0.21971787164080661</v>
      </c>
      <c r="I18" s="2">
        <v>0.3860683660800987</v>
      </c>
      <c r="J18" s="2">
        <v>0.61756938707965681</v>
      </c>
      <c r="K18" s="2">
        <v>1.3402264912047761</v>
      </c>
      <c r="L18" s="2">
        <v>0.94878091557132993</v>
      </c>
      <c r="M18" s="2">
        <v>107.54075216939709</v>
      </c>
      <c r="N18" s="2">
        <v>0.51664858868705832</v>
      </c>
      <c r="O18" s="2">
        <v>0.51633022395428585</v>
      </c>
      <c r="P18" s="2">
        <v>0.48787170244165751</v>
      </c>
      <c r="Q18" s="2">
        <v>3.4726573285301212</v>
      </c>
      <c r="R18" s="2">
        <v>11.90476228342459</v>
      </c>
      <c r="S18" s="2">
        <v>0.50752426728552313</v>
      </c>
      <c r="T18" s="2">
        <v>104.34852505328107</v>
      </c>
    </row>
    <row r="19" spans="1:20" x14ac:dyDescent="0.2">
      <c r="A19">
        <v>2014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>
        <v>2015</v>
      </c>
      <c r="B20" s="2">
        <v>43.110649108886719</v>
      </c>
      <c r="C20" s="2">
        <v>34.759918212890625</v>
      </c>
      <c r="D20" s="2">
        <v>62.108558654785156</v>
      </c>
      <c r="E20" s="2">
        <v>3.1315240859985352</v>
      </c>
      <c r="F20" s="2">
        <v>18.99791145324707</v>
      </c>
      <c r="G20" s="2">
        <v>2.2202506065368652</v>
      </c>
      <c r="H20" s="2">
        <v>0.2137230957276417</v>
      </c>
      <c r="I20" s="2">
        <v>0.38047032061985531</v>
      </c>
      <c r="J20" s="2">
        <v>0.63183344607250225</v>
      </c>
      <c r="K20" s="2">
        <v>1.353803556837315</v>
      </c>
      <c r="L20" s="2">
        <v>0.9148422419074459</v>
      </c>
      <c r="M20" s="2">
        <v>105.95009631050061</v>
      </c>
      <c r="N20" s="2">
        <v>0.50696801627148236</v>
      </c>
      <c r="O20" s="2">
        <v>0.50643532348270603</v>
      </c>
      <c r="P20" s="2">
        <v>0.47879467045657648</v>
      </c>
      <c r="Q20" s="2">
        <v>3.308823536795372</v>
      </c>
      <c r="R20" s="2">
        <v>11.9489561862373</v>
      </c>
      <c r="S20" s="2">
        <v>0.49138443313455232</v>
      </c>
      <c r="T20" s="2">
        <v>107.42488768327331</v>
      </c>
    </row>
    <row r="23" spans="1:20" s="4" customFormat="1" ht="15.75" x14ac:dyDescent="0.25">
      <c r="A23" s="3"/>
      <c r="B23" s="4" t="s">
        <v>17</v>
      </c>
      <c r="J23" s="4" t="s">
        <v>20</v>
      </c>
    </row>
    <row r="36" spans="1:14" x14ac:dyDescent="0.2">
      <c r="N36" s="2"/>
    </row>
    <row r="44" spans="1:14" s="4" customFormat="1" ht="15.75" x14ac:dyDescent="0.25">
      <c r="A44" s="3"/>
      <c r="B44" s="4" t="s">
        <v>19</v>
      </c>
      <c r="J44" s="4" t="s">
        <v>21</v>
      </c>
    </row>
    <row r="57" spans="14:14" x14ac:dyDescent="0.2">
      <c r="N57" s="2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showGridLines="0" zoomScale="85" zoomScaleNormal="85" workbookViewId="0">
      <selection activeCell="B2" sqref="B2:T20"/>
    </sheetView>
  </sheetViews>
  <sheetFormatPr defaultRowHeight="12.75" x14ac:dyDescent="0.2"/>
  <cols>
    <col min="1" max="1" width="5" style="1" bestFit="1" customWidth="1"/>
  </cols>
  <sheetData>
    <row r="1" spans="1:20" x14ac:dyDescent="0.2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13</v>
      </c>
      <c r="I1" t="s">
        <v>14</v>
      </c>
      <c r="J1" t="s">
        <v>15</v>
      </c>
      <c r="K1" t="s">
        <v>5</v>
      </c>
      <c r="L1" t="s">
        <v>22</v>
      </c>
      <c r="M1" t="s">
        <v>6</v>
      </c>
      <c r="N1" t="s">
        <v>18</v>
      </c>
      <c r="O1" t="s">
        <v>7</v>
      </c>
      <c r="P1" t="s">
        <v>16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2">
      <c r="A2">
        <v>1997</v>
      </c>
      <c r="B2" s="2">
        <v>57.002937316894531</v>
      </c>
      <c r="C2" s="2">
        <v>12.242898941040039</v>
      </c>
      <c r="D2" s="2">
        <v>85.798240661621094</v>
      </c>
      <c r="E2" s="2">
        <v>1.9588638544082642</v>
      </c>
      <c r="F2" s="2">
        <v>28.795299530029297</v>
      </c>
      <c r="G2" s="2">
        <v>1.8736532926559448</v>
      </c>
      <c r="H2" s="2">
        <v>0.36881792856879869</v>
      </c>
      <c r="I2" s="2">
        <v>0.60876046969549691</v>
      </c>
      <c r="J2" s="2">
        <v>0.86984555550201037</v>
      </c>
      <c r="K2" s="2">
        <v>2.6677768371603463</v>
      </c>
      <c r="L2" s="2">
        <v>2.7222661435901045</v>
      </c>
      <c r="M2" s="2">
        <v>98.068123545794947</v>
      </c>
      <c r="N2" s="2">
        <v>0.68330958953507803</v>
      </c>
      <c r="O2" s="2">
        <v>0.68341846734777789</v>
      </c>
      <c r="P2" s="2">
        <v>0.83761256529764694</v>
      </c>
      <c r="Q2" s="2">
        <v>5.1575257022618075</v>
      </c>
      <c r="R2" s="2">
        <v>21.204884540252124</v>
      </c>
      <c r="S2" s="2">
        <v>0.93452451959122129</v>
      </c>
      <c r="T2" s="2">
        <v>233.93019066504348</v>
      </c>
    </row>
    <row r="3" spans="1:20" x14ac:dyDescent="0.2">
      <c r="A3">
        <v>1998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>
        <v>1999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>
        <v>2000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>
        <v>2001</v>
      </c>
      <c r="B6" s="2">
        <v>57.750762939453125</v>
      </c>
      <c r="C6" s="2">
        <v>4.0526847839355469</v>
      </c>
      <c r="D6" s="2">
        <v>94.630195617675781</v>
      </c>
      <c r="E6" s="2">
        <v>1.3171225786209106</v>
      </c>
      <c r="F6" s="2">
        <v>36.879432678222656</v>
      </c>
      <c r="G6" s="2">
        <v>1.6980749368667603</v>
      </c>
      <c r="H6" s="2">
        <v>0.30921497727497282</v>
      </c>
      <c r="I6" s="2">
        <v>0.51941960300013079</v>
      </c>
      <c r="J6" s="2">
        <v>0.76964598037054088</v>
      </c>
      <c r="K6" s="2">
        <v>2.1955008166700907</v>
      </c>
      <c r="L6" s="2">
        <v>2.0756211072602468</v>
      </c>
      <c r="M6" s="2">
        <v>97.778812555275806</v>
      </c>
      <c r="N6" s="2">
        <v>0.61539677375793644</v>
      </c>
      <c r="O6" s="2">
        <v>0.61545630012853536</v>
      </c>
      <c r="P6" s="2">
        <v>0.69728639474135434</v>
      </c>
      <c r="Q6" s="2">
        <v>4.5362416173325641</v>
      </c>
      <c r="R6" s="2">
        <v>17.47091917230955</v>
      </c>
      <c r="S6" s="2">
        <v>0.76713682173391362</v>
      </c>
      <c r="T6" s="2">
        <v>188.22883555416411</v>
      </c>
    </row>
    <row r="7" spans="1:20" x14ac:dyDescent="0.2">
      <c r="A7">
        <v>2002</v>
      </c>
      <c r="B7" s="2">
        <v>56.904708862304687</v>
      </c>
      <c r="C7" s="2">
        <v>9.9268589019775391</v>
      </c>
      <c r="D7" s="2">
        <v>86.060920715332031</v>
      </c>
      <c r="E7" s="2">
        <v>4.0122175216674805</v>
      </c>
      <c r="F7" s="2">
        <v>29.156211853027344</v>
      </c>
      <c r="G7" s="2">
        <v>1.8879508972167969</v>
      </c>
      <c r="H7" s="2">
        <v>0.29431423945151636</v>
      </c>
      <c r="I7" s="2">
        <v>0.49708438632628571</v>
      </c>
      <c r="J7" s="2">
        <v>0.74459608658767706</v>
      </c>
      <c r="K7" s="2">
        <v>2.077431811547541</v>
      </c>
      <c r="L7" s="2">
        <v>1.9139598481777398</v>
      </c>
      <c r="M7" s="2">
        <v>97.706484807646035</v>
      </c>
      <c r="N7" s="2">
        <v>0.59841856981365282</v>
      </c>
      <c r="O7" s="2">
        <v>0.5984657583237265</v>
      </c>
      <c r="P7" s="2">
        <v>0.66220485210227764</v>
      </c>
      <c r="Q7" s="2">
        <v>4.3809205961002817</v>
      </c>
      <c r="R7" s="2">
        <v>16.53742783032385</v>
      </c>
      <c r="S7" s="2">
        <v>0.72528989726959026</v>
      </c>
      <c r="T7" s="2">
        <v>176.80349677644699</v>
      </c>
    </row>
    <row r="8" spans="1:20" x14ac:dyDescent="0.2">
      <c r="A8">
        <v>2003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>
        <v>2004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>
        <v>2005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>
        <v>2006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>
        <v>2007</v>
      </c>
      <c r="B12" s="2">
        <v>65.397926330566406</v>
      </c>
      <c r="C12" s="2">
        <v>8.04498291015625</v>
      </c>
      <c r="D12" s="2">
        <v>91.262977600097656</v>
      </c>
      <c r="E12" s="2">
        <v>0.69204151630401611</v>
      </c>
      <c r="F12" s="2">
        <v>25.86505126953125</v>
      </c>
      <c r="G12" s="2">
        <v>1.8356401920318604</v>
      </c>
      <c r="H12" s="2">
        <v>0.21981055033423491</v>
      </c>
      <c r="I12" s="2">
        <v>0.38540830295707601</v>
      </c>
      <c r="J12" s="2">
        <v>0.6193466176733442</v>
      </c>
      <c r="K12" s="2">
        <v>1.487086785934707</v>
      </c>
      <c r="L12" s="2">
        <v>1.1056535527654081</v>
      </c>
      <c r="M12" s="2">
        <v>97.344846069497123</v>
      </c>
      <c r="N12" s="2">
        <v>0.51352755009223783</v>
      </c>
      <c r="O12" s="2">
        <v>0.51351304929967567</v>
      </c>
      <c r="P12" s="2">
        <v>0.48679713890691401</v>
      </c>
      <c r="Q12" s="2">
        <v>3.6043154899387582</v>
      </c>
      <c r="R12" s="2">
        <v>11.869971120395601</v>
      </c>
      <c r="S12" s="2">
        <v>0.51605527494796688</v>
      </c>
      <c r="T12" s="2">
        <v>119.67680288785132</v>
      </c>
    </row>
    <row r="13" spans="1:20" x14ac:dyDescent="0.2">
      <c r="A13">
        <v>2008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>
        <v>2009</v>
      </c>
      <c r="B14" s="2">
        <v>67.522125244140625</v>
      </c>
      <c r="C14" s="2">
        <v>10.619468688964844</v>
      </c>
      <c r="D14" s="2">
        <v>88.849555969238281</v>
      </c>
      <c r="E14" s="2">
        <v>0.53097343444824219</v>
      </c>
      <c r="F14" s="2">
        <v>21.327432632446289</v>
      </c>
      <c r="G14" s="2">
        <v>1.903539776802063</v>
      </c>
      <c r="H14" s="2">
        <v>0.19000907468732259</v>
      </c>
      <c r="I14" s="2">
        <v>0.34073786960939051</v>
      </c>
      <c r="J14" s="2">
        <v>0.5692468301076119</v>
      </c>
      <c r="K14" s="2">
        <v>1.250948775689577</v>
      </c>
      <c r="L14" s="2">
        <v>0.78233103460047693</v>
      </c>
      <c r="M14" s="2">
        <v>97.200190574237553</v>
      </c>
      <c r="N14" s="2">
        <v>0.47957114220366931</v>
      </c>
      <c r="O14" s="2">
        <v>0.47953196569005541</v>
      </c>
      <c r="P14" s="2">
        <v>0.4166340536287656</v>
      </c>
      <c r="Q14" s="2">
        <v>3.2936734474741489</v>
      </c>
      <c r="R14" s="2">
        <v>10.00298843642431</v>
      </c>
      <c r="S14" s="2">
        <v>0.43236142601931699</v>
      </c>
      <c r="T14" s="2">
        <v>96.826125332412857</v>
      </c>
    </row>
    <row r="15" spans="1:20" x14ac:dyDescent="0.2">
      <c r="A15">
        <v>2010</v>
      </c>
      <c r="B15" s="2">
        <v>65.566459655761719</v>
      </c>
      <c r="C15" s="2">
        <v>13.559322357177734</v>
      </c>
      <c r="D15" s="2">
        <v>85.548614501953125</v>
      </c>
      <c r="E15" s="2">
        <v>0.89206063747406006</v>
      </c>
      <c r="F15" s="2">
        <v>19.982158660888672</v>
      </c>
      <c r="G15" s="2">
        <v>1.9536128044128418</v>
      </c>
      <c r="H15" s="2">
        <v>0.17713960873612969</v>
      </c>
      <c r="I15" s="2">
        <v>0.31896359313894862</v>
      </c>
      <c r="J15" s="2">
        <v>0.53898260469679293</v>
      </c>
      <c r="K15" s="2">
        <v>1.205861772654768</v>
      </c>
      <c r="L15" s="2">
        <v>0.7270429016717439</v>
      </c>
      <c r="M15" s="2">
        <v>97.233661019150148</v>
      </c>
      <c r="N15" s="2">
        <v>0.46206255591321438</v>
      </c>
      <c r="O15" s="2">
        <v>0.46206255591321449</v>
      </c>
      <c r="P15" s="2">
        <v>0.38413951337893798</v>
      </c>
      <c r="Q15" s="2">
        <v>3.0672369328723441</v>
      </c>
      <c r="R15" s="2">
        <v>9.0227725278963646</v>
      </c>
      <c r="S15" s="2">
        <v>0.40258746631619152</v>
      </c>
      <c r="T15" s="2">
        <v>96.970843193108365</v>
      </c>
    </row>
    <row r="16" spans="1:20" x14ac:dyDescent="0.2">
      <c r="A16">
        <v>2011</v>
      </c>
      <c r="B16" s="2">
        <v>62.347824096679688</v>
      </c>
      <c r="C16" s="2">
        <v>13.043478012084961</v>
      </c>
      <c r="D16" s="2">
        <v>85.826087951660156</v>
      </c>
      <c r="E16" s="2">
        <v>1.1304347515106201</v>
      </c>
      <c r="F16" s="2">
        <v>23.478260040283203</v>
      </c>
      <c r="G16" s="2">
        <v>1.9182608127593994</v>
      </c>
      <c r="H16" s="2">
        <v>0.17183522809456461</v>
      </c>
      <c r="I16" s="2">
        <v>0.31187038898013109</v>
      </c>
      <c r="J16" s="2">
        <v>0.53562495415633304</v>
      </c>
      <c r="K16" s="2">
        <v>1.154167616439338</v>
      </c>
      <c r="L16" s="2">
        <v>0.66604465985027217</v>
      </c>
      <c r="M16" s="2">
        <v>99.568324659392374</v>
      </c>
      <c r="N16" s="2">
        <v>0.45476774095444311</v>
      </c>
      <c r="O16" s="2">
        <v>0.45476774095444272</v>
      </c>
      <c r="P16" s="2">
        <v>0.37377807068137459</v>
      </c>
      <c r="Q16" s="2">
        <v>3.052067833105836</v>
      </c>
      <c r="R16" s="2">
        <v>8.7899554753724978</v>
      </c>
      <c r="S16" s="2">
        <v>0.38695008720302621</v>
      </c>
      <c r="T16" s="2">
        <v>96.164606979015957</v>
      </c>
    </row>
    <row r="17" spans="1:20" x14ac:dyDescent="0.2">
      <c r="A17">
        <v>2012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>
        <v>2013</v>
      </c>
      <c r="B18" s="2">
        <v>63.294540405273438</v>
      </c>
      <c r="C18" s="2">
        <v>16.83079719543457</v>
      </c>
      <c r="D18" s="2">
        <v>82.00537109375</v>
      </c>
      <c r="E18" s="2">
        <v>1.1638317108154297</v>
      </c>
      <c r="F18" s="2">
        <v>18.710832595825195</v>
      </c>
      <c r="G18" s="2">
        <v>2.0044763088226318</v>
      </c>
      <c r="H18" s="2">
        <v>0.16519081755418111</v>
      </c>
      <c r="I18" s="2">
        <v>0.3027397656227348</v>
      </c>
      <c r="J18" s="2">
        <v>0.53283249646416608</v>
      </c>
      <c r="K18" s="2">
        <v>1.0909250440216309</v>
      </c>
      <c r="L18" s="2">
        <v>0.59505069415140355</v>
      </c>
      <c r="M18" s="2">
        <v>104.45785063654662</v>
      </c>
      <c r="N18" s="2">
        <v>0.44726810919559151</v>
      </c>
      <c r="O18" s="2">
        <v>0.4472666373184872</v>
      </c>
      <c r="P18" s="2">
        <v>0.36059657437896031</v>
      </c>
      <c r="Q18" s="2">
        <v>2.9835365261685252</v>
      </c>
      <c r="R18" s="2">
        <v>8.6440842580511834</v>
      </c>
      <c r="S18" s="2">
        <v>0.36678427563885102</v>
      </c>
      <c r="T18" s="2">
        <v>97.758240994191908</v>
      </c>
    </row>
    <row r="19" spans="1:20" x14ac:dyDescent="0.2">
      <c r="A19">
        <v>2014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>
        <v>2015</v>
      </c>
      <c r="B20" s="2">
        <v>61.235450744628906</v>
      </c>
      <c r="C20" s="2">
        <v>17.009847640991211</v>
      </c>
      <c r="D20" s="2">
        <v>82.273948669433594</v>
      </c>
      <c r="E20" s="2">
        <v>0.71620410680770874</v>
      </c>
      <c r="F20" s="2">
        <v>21.038496017456055</v>
      </c>
      <c r="G20" s="2">
        <v>1.9740376472473145</v>
      </c>
      <c r="H20" s="2">
        <v>0.16065040221396981</v>
      </c>
      <c r="I20" s="2">
        <v>0.29511106609734478</v>
      </c>
      <c r="J20" s="2">
        <v>0.51684097345386038</v>
      </c>
      <c r="K20" s="2">
        <v>1.0503916595119831</v>
      </c>
      <c r="L20" s="2">
        <v>0.58433777244330032</v>
      </c>
      <c r="M20" s="2">
        <v>104.19514377160969</v>
      </c>
      <c r="N20" s="2">
        <v>0.44136618251696141</v>
      </c>
      <c r="O20" s="2">
        <v>0.441359613854373</v>
      </c>
      <c r="P20" s="2">
        <v>0.34971502914419728</v>
      </c>
      <c r="Q20" s="2">
        <v>2.9298408186568241</v>
      </c>
      <c r="R20" s="2">
        <v>8.3129080503434736</v>
      </c>
      <c r="S20" s="2">
        <v>0.35573860750443131</v>
      </c>
      <c r="T20" s="2">
        <v>92.603349707457738</v>
      </c>
    </row>
    <row r="22" spans="1:20" s="4" customFormat="1" ht="15.75" x14ac:dyDescent="0.25">
      <c r="A22" s="3"/>
      <c r="B22" s="4" t="s">
        <v>17</v>
      </c>
      <c r="J22" s="4" t="s">
        <v>20</v>
      </c>
    </row>
    <row r="35" spans="1:14" x14ac:dyDescent="0.2">
      <c r="N35" s="2"/>
    </row>
    <row r="43" spans="1:14" s="4" customFormat="1" ht="15.75" x14ac:dyDescent="0.25">
      <c r="A43" s="3"/>
      <c r="B43" s="4" t="s">
        <v>19</v>
      </c>
      <c r="J43" s="4" t="s">
        <v>21</v>
      </c>
    </row>
    <row r="56" spans="14:14" x14ac:dyDescent="0.2">
      <c r="N56" s="2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showGridLines="0" zoomScale="85" zoomScaleNormal="85" workbookViewId="0">
      <selection activeCell="T20" sqref="B2:T20"/>
    </sheetView>
  </sheetViews>
  <sheetFormatPr defaultRowHeight="12.75" x14ac:dyDescent="0.2"/>
  <cols>
    <col min="1" max="1" width="5" style="1" bestFit="1" customWidth="1"/>
  </cols>
  <sheetData>
    <row r="1" spans="1:20" x14ac:dyDescent="0.2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13</v>
      </c>
      <c r="I1" t="s">
        <v>14</v>
      </c>
      <c r="J1" t="s">
        <v>15</v>
      </c>
      <c r="K1" t="s">
        <v>5</v>
      </c>
      <c r="L1" t="s">
        <v>22</v>
      </c>
      <c r="M1" t="s">
        <v>6</v>
      </c>
      <c r="N1" t="s">
        <v>18</v>
      </c>
      <c r="O1" t="s">
        <v>7</v>
      </c>
      <c r="P1" t="s">
        <v>16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2">
      <c r="A2">
        <v>1997</v>
      </c>
      <c r="B2" s="2">
        <v>52.356208801269531</v>
      </c>
      <c r="C2" s="2">
        <v>6.9909029006958008</v>
      </c>
      <c r="D2" s="2">
        <v>88.026817321777344</v>
      </c>
      <c r="E2" s="2">
        <v>4.9822821617126465</v>
      </c>
      <c r="F2" s="2">
        <v>35.670608520507813</v>
      </c>
      <c r="G2" s="2">
        <v>1.8128485679626465</v>
      </c>
      <c r="H2" s="2">
        <v>0.2518308304052797</v>
      </c>
      <c r="I2" s="2">
        <v>0.44664065460939339</v>
      </c>
      <c r="J2" s="2">
        <v>0.72530793449759501</v>
      </c>
      <c r="K2" s="2">
        <v>1.53978470065252</v>
      </c>
      <c r="L2" s="2">
        <v>1.1833863042531609</v>
      </c>
      <c r="M2" s="2">
        <v>106.58260823275425</v>
      </c>
      <c r="N2" s="2">
        <v>0.5489243180116955</v>
      </c>
      <c r="O2" s="2">
        <v>0.54838190965991296</v>
      </c>
      <c r="P2" s="2">
        <v>0.59174767766253999</v>
      </c>
      <c r="Q2" s="2">
        <v>4.2392675861098823</v>
      </c>
      <c r="R2" s="2">
        <v>16.525811043868181</v>
      </c>
      <c r="S2" s="2">
        <v>0.58171101572963457</v>
      </c>
      <c r="T2" s="2">
        <v>82.350084901596077</v>
      </c>
    </row>
    <row r="3" spans="1:20" x14ac:dyDescent="0.2">
      <c r="A3">
        <v>1998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>
        <v>1999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>
        <v>2000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>
        <v>2001</v>
      </c>
      <c r="B6" s="2">
        <v>39.769950866699219</v>
      </c>
      <c r="C6" s="2">
        <v>4.4560995101928711</v>
      </c>
      <c r="D6" s="2">
        <v>94.464698791503906</v>
      </c>
      <c r="E6" s="2">
        <v>1.079204797744751</v>
      </c>
      <c r="F6" s="2">
        <v>54.694747924804688</v>
      </c>
      <c r="G6" s="2">
        <v>1.5191975831985474</v>
      </c>
      <c r="H6" s="2">
        <v>0.25583188747971342</v>
      </c>
      <c r="I6" s="2">
        <v>0.4317404337087124</v>
      </c>
      <c r="J6" s="2">
        <v>0.73075492054633173</v>
      </c>
      <c r="K6" s="2">
        <v>1.9871755773835089</v>
      </c>
      <c r="L6" s="2">
        <v>2.3530573075386219</v>
      </c>
      <c r="M6" s="2">
        <v>96.718616514067008</v>
      </c>
      <c r="N6" s="2">
        <v>0.54830040279525527</v>
      </c>
      <c r="O6" s="2">
        <v>0.54742936937716191</v>
      </c>
      <c r="P6" s="2">
        <v>0.56517698173860409</v>
      </c>
      <c r="Q6" s="2">
        <v>3.6346602194033761</v>
      </c>
      <c r="R6" s="2">
        <v>12.73065224989468</v>
      </c>
      <c r="S6" s="2">
        <v>0.65110370246888905</v>
      </c>
      <c r="T6" s="2">
        <v>113.33760963832276</v>
      </c>
    </row>
    <row r="7" spans="1:20" x14ac:dyDescent="0.2">
      <c r="A7">
        <v>2002</v>
      </c>
      <c r="B7" s="2">
        <v>52.241451263427734</v>
      </c>
      <c r="C7" s="2">
        <v>7.0043468475341797</v>
      </c>
      <c r="D7" s="2">
        <v>92.275169372558594</v>
      </c>
      <c r="E7" s="2">
        <v>0.72047805786132813</v>
      </c>
      <c r="F7" s="2">
        <v>40.033729553222656</v>
      </c>
      <c r="G7" s="2">
        <v>1.6841157674789429</v>
      </c>
      <c r="H7" s="2">
        <v>0.29379022924807519</v>
      </c>
      <c r="I7" s="2">
        <v>0.4615246692938168</v>
      </c>
      <c r="J7" s="2">
        <v>0.69193743051417222</v>
      </c>
      <c r="K7" s="2">
        <v>1.942322474408275</v>
      </c>
      <c r="L7" s="2">
        <v>8.4604460801839139</v>
      </c>
      <c r="M7" s="2">
        <v>77.393099215624616</v>
      </c>
      <c r="N7" s="2">
        <v>0.5733553719844815</v>
      </c>
      <c r="O7" s="2">
        <v>0.57295854535258606</v>
      </c>
      <c r="P7" s="2">
        <v>0.61901359456560501</v>
      </c>
      <c r="Q7" s="2">
        <v>3.6527773438902451</v>
      </c>
      <c r="R7" s="2">
        <v>13.09453904216311</v>
      </c>
      <c r="S7" s="2">
        <v>0.88323200079572628</v>
      </c>
      <c r="T7" s="2">
        <v>63.290473935909205</v>
      </c>
    </row>
    <row r="8" spans="1:20" x14ac:dyDescent="0.2">
      <c r="A8">
        <v>2003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>
        <v>2004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>
        <v>2005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>
        <v>2006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>
        <v>2007</v>
      </c>
      <c r="B12" s="2">
        <v>39.078422546386719</v>
      </c>
      <c r="C12" s="2">
        <v>5.516171932220459</v>
      </c>
      <c r="D12" s="2">
        <v>93.774917602539062</v>
      </c>
      <c r="E12" s="2">
        <v>0.70890557765960693</v>
      </c>
      <c r="F12" s="2">
        <v>54.696498870849609</v>
      </c>
      <c r="G12" s="2">
        <v>1.5223748683929443</v>
      </c>
      <c r="H12" s="2">
        <v>0.23939995904539499</v>
      </c>
      <c r="I12" s="2">
        <v>0.39368598923129883</v>
      </c>
      <c r="J12" s="2">
        <v>0.62272830805033297</v>
      </c>
      <c r="K12" s="2">
        <v>1.6035085809266849</v>
      </c>
      <c r="L12" s="2">
        <v>5.2345532592048887</v>
      </c>
      <c r="M12" s="2">
        <v>79.889210629366374</v>
      </c>
      <c r="N12" s="2">
        <v>0.52089498528484224</v>
      </c>
      <c r="O12" s="2">
        <v>0.52078688672082674</v>
      </c>
      <c r="P12" s="2">
        <v>0.50035725753104499</v>
      </c>
      <c r="Q12" s="2">
        <v>3.1286549423272541</v>
      </c>
      <c r="R12" s="2">
        <v>10.62336677098029</v>
      </c>
      <c r="S12" s="2">
        <v>0.66465194791461168</v>
      </c>
      <c r="T12" s="2">
        <v>55.633496863038964</v>
      </c>
    </row>
    <row r="13" spans="1:20" x14ac:dyDescent="0.2">
      <c r="A13">
        <v>2008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>
        <v>2009</v>
      </c>
      <c r="B14" s="2">
        <v>52.416030883789063</v>
      </c>
      <c r="C14" s="2">
        <v>15.297942161560059</v>
      </c>
      <c r="D14" s="2">
        <v>82.6435546875</v>
      </c>
      <c r="E14" s="2">
        <v>2.0585048198699951</v>
      </c>
      <c r="F14" s="2">
        <v>30.227518081665039</v>
      </c>
      <c r="G14" s="2">
        <v>1.8918743133544922</v>
      </c>
      <c r="H14" s="2">
        <v>0.20884859128596731</v>
      </c>
      <c r="I14" s="2">
        <v>0.363020179543523</v>
      </c>
      <c r="J14" s="2">
        <v>0.59565934549010002</v>
      </c>
      <c r="K14" s="2">
        <v>1.577925742847246</v>
      </c>
      <c r="L14" s="2">
        <v>1.242892073073814</v>
      </c>
      <c r="M14" s="2">
        <v>86.356052024264415</v>
      </c>
      <c r="N14" s="2">
        <v>0.49665879136834662</v>
      </c>
      <c r="O14" s="2">
        <v>0.49609139038699968</v>
      </c>
      <c r="P14" s="2">
        <v>0.45101730294400028</v>
      </c>
      <c r="Q14" s="2">
        <v>3.272720835307612</v>
      </c>
      <c r="R14" s="2">
        <v>9.407423680109364</v>
      </c>
      <c r="S14" s="2">
        <v>0.50480421880499893</v>
      </c>
      <c r="T14" s="2">
        <v>69.370193196177723</v>
      </c>
    </row>
    <row r="15" spans="1:20" x14ac:dyDescent="0.2">
      <c r="A15">
        <v>2010</v>
      </c>
      <c r="B15" s="2">
        <v>48.397014617919922</v>
      </c>
      <c r="C15" s="2">
        <v>15.985946655273437</v>
      </c>
      <c r="D15" s="2">
        <v>79.688186645507812</v>
      </c>
      <c r="E15" s="2">
        <v>4.3258676528930664</v>
      </c>
      <c r="F15" s="2">
        <v>31.291172027587891</v>
      </c>
      <c r="G15" s="2">
        <v>1.9334651231765747</v>
      </c>
      <c r="H15" s="2">
        <v>0.23579785953640001</v>
      </c>
      <c r="I15" s="2">
        <v>0.3909318956264568</v>
      </c>
      <c r="J15" s="2">
        <v>0.62118792305076176</v>
      </c>
      <c r="K15" s="2">
        <v>1.72127051714867</v>
      </c>
      <c r="L15" s="2">
        <v>3.5899282878893399</v>
      </c>
      <c r="M15" s="2">
        <v>96.136276235508618</v>
      </c>
      <c r="N15" s="2">
        <v>0.51834697076635761</v>
      </c>
      <c r="O15" s="2">
        <v>0.51812841699575474</v>
      </c>
      <c r="P15" s="2">
        <v>0.49582518768312728</v>
      </c>
      <c r="Q15" s="2">
        <v>3.1391394271866511</v>
      </c>
      <c r="R15" s="2">
        <v>10.452367098022039</v>
      </c>
      <c r="S15" s="2">
        <v>0.63636356682119999</v>
      </c>
      <c r="T15" s="2">
        <v>93.78548539135528</v>
      </c>
    </row>
    <row r="16" spans="1:20" x14ac:dyDescent="0.2">
      <c r="A16">
        <v>2011</v>
      </c>
      <c r="B16" s="2">
        <v>55.64990234375</v>
      </c>
      <c r="C16" s="2">
        <v>20.748966217041016</v>
      </c>
      <c r="D16" s="2">
        <v>77.24798583984375</v>
      </c>
      <c r="E16" s="2">
        <v>2.0030481815338135</v>
      </c>
      <c r="F16" s="2">
        <v>21.59808349609375</v>
      </c>
      <c r="G16" s="2">
        <v>2.0315697193145752</v>
      </c>
      <c r="H16" s="2">
        <v>0.2363264191851886</v>
      </c>
      <c r="I16" s="2">
        <v>0.40282687270083672</v>
      </c>
      <c r="J16" s="2">
        <v>0.67899753337963564</v>
      </c>
      <c r="K16" s="2">
        <v>1.726850914152352</v>
      </c>
      <c r="L16" s="2">
        <v>1.6479332975968231</v>
      </c>
      <c r="M16" s="2">
        <v>112.46835884492783</v>
      </c>
      <c r="N16" s="2">
        <v>0.52601081983698361</v>
      </c>
      <c r="O16" s="2">
        <v>0.52574527367844037</v>
      </c>
      <c r="P16" s="2">
        <v>0.5155482121540611</v>
      </c>
      <c r="Q16" s="2">
        <v>3.3230751044478621</v>
      </c>
      <c r="R16" s="2">
        <v>11.155275463204781</v>
      </c>
      <c r="S16" s="2">
        <v>0.58870169924474591</v>
      </c>
      <c r="T16" s="2">
        <v>125.47501421004077</v>
      </c>
    </row>
    <row r="17" spans="1:20" x14ac:dyDescent="0.2">
      <c r="A17">
        <v>2012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>
        <v>2013</v>
      </c>
      <c r="B18" s="2">
        <v>47.077713012695312</v>
      </c>
      <c r="C18" s="2">
        <v>8.8417892456054687</v>
      </c>
      <c r="D18" s="2">
        <v>90.216224670410156</v>
      </c>
      <c r="E18" s="2">
        <v>0.94198238849639893</v>
      </c>
      <c r="F18" s="2">
        <v>43.138511657714844</v>
      </c>
      <c r="G18" s="2">
        <v>1.6758724451065063</v>
      </c>
      <c r="H18" s="2">
        <v>0.19481354211573579</v>
      </c>
      <c r="I18" s="2">
        <v>0.3401499473995806</v>
      </c>
      <c r="J18" s="2">
        <v>0.57301200970688271</v>
      </c>
      <c r="K18" s="2">
        <v>1.3708846918522</v>
      </c>
      <c r="L18" s="2">
        <v>1.0582949799914709</v>
      </c>
      <c r="M18" s="2">
        <v>113.27165872839171</v>
      </c>
      <c r="N18" s="2">
        <v>0.4829666149680012</v>
      </c>
      <c r="O18" s="2">
        <v>0.4823034438037761</v>
      </c>
      <c r="P18" s="2">
        <v>0.41574266280359118</v>
      </c>
      <c r="Q18" s="2">
        <v>3.0456070150602228</v>
      </c>
      <c r="R18" s="2">
        <v>8.495059159130653</v>
      </c>
      <c r="S18" s="2">
        <v>0.46435332574237048</v>
      </c>
      <c r="T18" s="2">
        <v>95.310610380591996</v>
      </c>
    </row>
    <row r="19" spans="1:20" x14ac:dyDescent="0.2">
      <c r="A19">
        <v>2014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>
        <v>2015</v>
      </c>
      <c r="B20" s="2">
        <v>52.214103698730469</v>
      </c>
      <c r="C20" s="2">
        <v>13.730549812316895</v>
      </c>
      <c r="D20" s="2">
        <v>85.678321838378906</v>
      </c>
      <c r="E20" s="2">
        <v>0.59112703800201416</v>
      </c>
      <c r="F20" s="2">
        <v>33.464218139648438</v>
      </c>
      <c r="G20" s="2">
        <v>1.8144859075546265</v>
      </c>
      <c r="H20" s="2">
        <v>0.23279309234373879</v>
      </c>
      <c r="I20" s="2">
        <v>0.38319817075834101</v>
      </c>
      <c r="J20" s="2">
        <v>0.60001218681675494</v>
      </c>
      <c r="K20" s="2">
        <v>1.843335926126302</v>
      </c>
      <c r="L20" s="2">
        <v>2.4975349549285721</v>
      </c>
      <c r="M20" s="2">
        <v>131.18411717664634</v>
      </c>
      <c r="N20" s="2">
        <v>0.51671718340495154</v>
      </c>
      <c r="O20" s="2">
        <v>0.51662342727831678</v>
      </c>
      <c r="P20" s="2">
        <v>0.48320749104085858</v>
      </c>
      <c r="Q20" s="2">
        <v>3.0251756711653348</v>
      </c>
      <c r="R20" s="2">
        <v>9.2527307036889344</v>
      </c>
      <c r="S20" s="2">
        <v>0.61810934973892429</v>
      </c>
      <c r="T20" s="2">
        <v>201.44704396007995</v>
      </c>
    </row>
    <row r="22" spans="1:20" s="4" customFormat="1" ht="15.75" x14ac:dyDescent="0.25">
      <c r="A22" s="3"/>
      <c r="B22" s="4" t="s">
        <v>17</v>
      </c>
      <c r="J22" s="4" t="s">
        <v>20</v>
      </c>
    </row>
    <row r="35" spans="1:14" x14ac:dyDescent="0.2">
      <c r="N35" s="2"/>
    </row>
    <row r="43" spans="1:14" s="4" customFormat="1" ht="15.75" x14ac:dyDescent="0.25">
      <c r="A43" s="3"/>
      <c r="B43" s="4" t="s">
        <v>19</v>
      </c>
      <c r="J43" s="4" t="s">
        <v>21</v>
      </c>
    </row>
    <row r="56" spans="14:14" x14ac:dyDescent="0.2">
      <c r="N56" s="2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showGridLines="0" zoomScale="85" zoomScaleNormal="85" workbookViewId="0">
      <selection activeCell="B2" sqref="B2:T20"/>
    </sheetView>
  </sheetViews>
  <sheetFormatPr defaultRowHeight="12.75" x14ac:dyDescent="0.2"/>
  <cols>
    <col min="1" max="1" width="5" style="1" bestFit="1" customWidth="1"/>
  </cols>
  <sheetData>
    <row r="1" spans="1:20" x14ac:dyDescent="0.2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13</v>
      </c>
      <c r="I1" t="s">
        <v>14</v>
      </c>
      <c r="J1" t="s">
        <v>15</v>
      </c>
      <c r="K1" t="s">
        <v>5</v>
      </c>
      <c r="L1" t="s">
        <v>22</v>
      </c>
      <c r="M1" t="s">
        <v>6</v>
      </c>
      <c r="N1" t="s">
        <v>18</v>
      </c>
      <c r="O1" t="s">
        <v>7</v>
      </c>
      <c r="P1" t="s">
        <v>16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2">
      <c r="A2">
        <v>1997</v>
      </c>
      <c r="B2" s="2">
        <v>44.343437194824219</v>
      </c>
      <c r="C2" s="2">
        <v>30.40403938293457</v>
      </c>
      <c r="D2" s="2">
        <v>60.909091949462891</v>
      </c>
      <c r="E2" s="2">
        <v>8.6868686676025391</v>
      </c>
      <c r="F2" s="2">
        <v>16.565656661987305</v>
      </c>
      <c r="G2" s="2">
        <v>2.3121211528778076</v>
      </c>
      <c r="H2" s="2">
        <v>0.24533682082414751</v>
      </c>
      <c r="I2" s="2">
        <v>0.44862726277587139</v>
      </c>
      <c r="J2" s="2">
        <v>0.7986734137791679</v>
      </c>
      <c r="K2" s="2">
        <v>1.7411400127636349</v>
      </c>
      <c r="L2" s="2">
        <v>1.4694581690852899</v>
      </c>
      <c r="M2" s="2">
        <v>102.08406187511572</v>
      </c>
      <c r="N2" s="2">
        <v>0.54515711359921093</v>
      </c>
      <c r="O2" s="2">
        <v>0.53446440071263934</v>
      </c>
      <c r="P2" s="2">
        <v>0.59534422444366142</v>
      </c>
      <c r="Q2" s="2">
        <v>4.0313925229735341</v>
      </c>
      <c r="R2" s="2">
        <v>21.166854336218439</v>
      </c>
      <c r="S2" s="2">
        <v>0.56802661223089634</v>
      </c>
      <c r="T2" s="2">
        <v>141.54012005656534</v>
      </c>
    </row>
    <row r="3" spans="1:20" x14ac:dyDescent="0.2">
      <c r="A3">
        <v>1998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>
        <v>1999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>
        <v>2000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>
        <v>2001</v>
      </c>
      <c r="B6" s="2">
        <v>49.069736480712891</v>
      </c>
      <c r="C6" s="2">
        <v>14.78888988494873</v>
      </c>
      <c r="D6" s="2">
        <v>83.627105712890625</v>
      </c>
      <c r="E6" s="2">
        <v>1.5840040445327759</v>
      </c>
      <c r="F6" s="2">
        <v>34.557373046875</v>
      </c>
      <c r="G6" s="2">
        <v>1.8339952230453491</v>
      </c>
      <c r="H6" s="2">
        <v>0.21812580774134219</v>
      </c>
      <c r="I6" s="2">
        <v>0.39362775895823793</v>
      </c>
      <c r="J6" s="2">
        <v>0.69741367776864194</v>
      </c>
      <c r="K6" s="2">
        <v>1.4560372085483679</v>
      </c>
      <c r="L6" s="2">
        <v>1.0555963850343031</v>
      </c>
      <c r="M6" s="2">
        <v>111.71875270282831</v>
      </c>
      <c r="N6" s="2">
        <v>0.51144625799940435</v>
      </c>
      <c r="O6" s="2">
        <v>0.51006285577702593</v>
      </c>
      <c r="P6" s="2">
        <v>0.50026122234801096</v>
      </c>
      <c r="Q6" s="2">
        <v>3.4963793062609492</v>
      </c>
      <c r="R6" s="2">
        <v>12.948421436365431</v>
      </c>
      <c r="S6" s="2">
        <v>0.50111697348271955</v>
      </c>
      <c r="T6" s="2">
        <v>130.1618033685823</v>
      </c>
    </row>
    <row r="7" spans="1:20" x14ac:dyDescent="0.2">
      <c r="A7">
        <v>2002</v>
      </c>
      <c r="B7" s="2">
        <v>59.146827697753906</v>
      </c>
      <c r="C7" s="2">
        <v>15.489606857299805</v>
      </c>
      <c r="D7" s="2">
        <v>81.354698181152344</v>
      </c>
      <c r="E7" s="2">
        <v>3.1556997299194336</v>
      </c>
      <c r="F7" s="2">
        <v>22.207868576049805</v>
      </c>
      <c r="G7" s="2">
        <v>1.9959313869476318</v>
      </c>
      <c r="H7" s="2">
        <v>0.2248888367254748</v>
      </c>
      <c r="I7" s="2">
        <v>0.40021813050638472</v>
      </c>
      <c r="J7" s="2">
        <v>0.70856525861625008</v>
      </c>
      <c r="K7" s="2">
        <v>1.6762695542543029</v>
      </c>
      <c r="L7" s="2">
        <v>1.4026121717366791</v>
      </c>
      <c r="M7" s="2">
        <v>114.27861344758841</v>
      </c>
      <c r="N7" s="2">
        <v>0.51535317848816031</v>
      </c>
      <c r="O7" s="2">
        <v>0.51476548617872231</v>
      </c>
      <c r="P7" s="2">
        <v>0.51118924071066751</v>
      </c>
      <c r="Q7" s="2">
        <v>3.5329275317947251</v>
      </c>
      <c r="R7" s="2">
        <v>12.9392832506611</v>
      </c>
      <c r="S7" s="2">
        <v>0.53339470067688532</v>
      </c>
      <c r="T7" s="2">
        <v>177.22812682924337</v>
      </c>
    </row>
    <row r="8" spans="1:20" x14ac:dyDescent="0.2">
      <c r="A8">
        <v>2003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>
        <v>2004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>
        <v>2005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>
        <v>2006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>
        <v>2007</v>
      </c>
      <c r="B12" s="2">
        <v>46.386566162109375</v>
      </c>
      <c r="C12" s="2">
        <v>20.592893600463867</v>
      </c>
      <c r="D12" s="2">
        <v>72.958442687988281</v>
      </c>
      <c r="E12" s="2">
        <v>6.4486660957336426</v>
      </c>
      <c r="F12" s="2">
        <v>26.571872711181641</v>
      </c>
      <c r="G12" s="2">
        <v>2.0691835880279541</v>
      </c>
      <c r="H12" s="2">
        <v>0.17148764442313599</v>
      </c>
      <c r="I12" s="2">
        <v>0.29658654683624142</v>
      </c>
      <c r="J12" s="2">
        <v>0.47865105407702979</v>
      </c>
      <c r="K12" s="2">
        <v>1.2228810587491341</v>
      </c>
      <c r="L12" s="2">
        <v>0.94581167365763685</v>
      </c>
      <c r="M12" s="2">
        <v>101.91666797473589</v>
      </c>
      <c r="N12" s="2">
        <v>0.4523826855391177</v>
      </c>
      <c r="O12" s="2">
        <v>0.45231602440893171</v>
      </c>
      <c r="P12" s="2">
        <v>0.35181043321704608</v>
      </c>
      <c r="Q12" s="2">
        <v>2.699055123955886</v>
      </c>
      <c r="R12" s="2">
        <v>7.0602188299149562</v>
      </c>
      <c r="S12" s="2">
        <v>0.41186046163475792</v>
      </c>
      <c r="T12" s="2">
        <v>97.16475760589222</v>
      </c>
    </row>
    <row r="13" spans="1:20" x14ac:dyDescent="0.2">
      <c r="A13">
        <v>2008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>
        <v>2009</v>
      </c>
      <c r="B14" s="2">
        <v>48.043369293212891</v>
      </c>
      <c r="C14" s="2">
        <v>22.533107757568359</v>
      </c>
      <c r="D14" s="2">
        <v>73.908576965332031</v>
      </c>
      <c r="E14" s="2">
        <v>3.5583124160766602</v>
      </c>
      <c r="F14" s="2">
        <v>25.865209579467773</v>
      </c>
      <c r="G14" s="2">
        <v>2.0378451347351074</v>
      </c>
      <c r="H14" s="2">
        <v>0.17479770233663161</v>
      </c>
      <c r="I14" s="2">
        <v>0.30636154860712511</v>
      </c>
      <c r="J14" s="2">
        <v>0.50448450446969706</v>
      </c>
      <c r="K14" s="2">
        <v>1.2324675938291629</v>
      </c>
      <c r="L14" s="2">
        <v>0.75947895405080768</v>
      </c>
      <c r="M14" s="2">
        <v>98.113760006577763</v>
      </c>
      <c r="N14" s="2">
        <v>0.45928238427736717</v>
      </c>
      <c r="O14" s="2">
        <v>0.45928238427736662</v>
      </c>
      <c r="P14" s="2">
        <v>0.36580441763478488</v>
      </c>
      <c r="Q14" s="2">
        <v>2.753593200746677</v>
      </c>
      <c r="R14" s="2">
        <v>7.6683233104298694</v>
      </c>
      <c r="S14" s="2">
        <v>0.40816919514576472</v>
      </c>
      <c r="T14" s="2">
        <v>88.712563633103002</v>
      </c>
    </row>
    <row r="15" spans="1:20" x14ac:dyDescent="0.2">
      <c r="A15">
        <v>2010</v>
      </c>
      <c r="B15" s="2">
        <v>61.556499481201172</v>
      </c>
      <c r="C15" s="2">
        <v>16.302248001098633</v>
      </c>
      <c r="D15" s="2">
        <v>82.044471740722656</v>
      </c>
      <c r="E15" s="2">
        <v>1.6532838344573975</v>
      </c>
      <c r="F15" s="2">
        <v>20.487968444824219</v>
      </c>
      <c r="G15" s="2">
        <v>1.9912084341049194</v>
      </c>
      <c r="H15" s="2">
        <v>0.1620055865680429</v>
      </c>
      <c r="I15" s="2">
        <v>0.29645916685764578</v>
      </c>
      <c r="J15" s="2">
        <v>0.5195823059571838</v>
      </c>
      <c r="K15" s="2">
        <v>1.0437782111281799</v>
      </c>
      <c r="L15" s="2">
        <v>0.54439126670229443</v>
      </c>
      <c r="M15" s="2">
        <v>91.613264475577054</v>
      </c>
      <c r="N15" s="2">
        <v>0.44525523069730572</v>
      </c>
      <c r="O15" s="2">
        <v>0.44507530254856092</v>
      </c>
      <c r="P15" s="2">
        <v>0.35162936126579281</v>
      </c>
      <c r="Q15" s="2">
        <v>2.863651283465968</v>
      </c>
      <c r="R15" s="2">
        <v>8.044478759566184</v>
      </c>
      <c r="S15" s="2">
        <v>0.35829556074911478</v>
      </c>
      <c r="T15" s="2">
        <v>59.074496576446847</v>
      </c>
    </row>
    <row r="16" spans="1:20" x14ac:dyDescent="0.2">
      <c r="A16">
        <v>2011</v>
      </c>
      <c r="B16" s="2">
        <v>54.414958953857422</v>
      </c>
      <c r="C16" s="2">
        <v>15.183305740356445</v>
      </c>
      <c r="D16" s="2">
        <v>81.58642578125</v>
      </c>
      <c r="E16" s="2">
        <v>3.2302663326263428</v>
      </c>
      <c r="F16" s="2">
        <v>27.171468734741211</v>
      </c>
      <c r="G16" s="2">
        <v>1.9447237253189087</v>
      </c>
      <c r="H16" s="2">
        <v>0.14789396869723881</v>
      </c>
      <c r="I16" s="2">
        <v>0.26416371110915898</v>
      </c>
      <c r="J16" s="2">
        <v>0.43906465066771372</v>
      </c>
      <c r="K16" s="2">
        <v>1.0593628373089889</v>
      </c>
      <c r="L16" s="2">
        <v>0.57916230546637104</v>
      </c>
      <c r="M16" s="2">
        <v>86.382501476320073</v>
      </c>
      <c r="N16" s="2">
        <v>0.42429788596475349</v>
      </c>
      <c r="O16" s="2">
        <v>0.42424006867579928</v>
      </c>
      <c r="P16" s="2">
        <v>0.30674761856754212</v>
      </c>
      <c r="Q16" s="2">
        <v>2.6069268787994981</v>
      </c>
      <c r="R16" s="2">
        <v>6.6893308712424684</v>
      </c>
      <c r="S16" s="2">
        <v>0.33743857903365548</v>
      </c>
      <c r="T16" s="2">
        <v>59.545850267446077</v>
      </c>
    </row>
    <row r="17" spans="1:20" x14ac:dyDescent="0.2">
      <c r="A17">
        <v>2012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>
        <v>2013</v>
      </c>
      <c r="B18" s="2">
        <v>58.877140045166016</v>
      </c>
      <c r="C18" s="2">
        <v>26.956632614135742</v>
      </c>
      <c r="D18" s="2">
        <v>69.912879943847656</v>
      </c>
      <c r="E18" s="2">
        <v>3.1304857730865479</v>
      </c>
      <c r="F18" s="2">
        <v>11.035743713378906</v>
      </c>
      <c r="G18" s="2">
        <v>2.2218186855316162</v>
      </c>
      <c r="H18" s="2">
        <v>0.1620037024924561</v>
      </c>
      <c r="I18" s="2">
        <v>0.27769328691172213</v>
      </c>
      <c r="J18" s="2">
        <v>0.44903278226459109</v>
      </c>
      <c r="K18" s="2">
        <v>1.0822529157120759</v>
      </c>
      <c r="L18" s="2">
        <v>2.0534492605648169</v>
      </c>
      <c r="M18" s="2">
        <v>98.620855028181424</v>
      </c>
      <c r="N18" s="2">
        <v>0.43512373618136069</v>
      </c>
      <c r="O18" s="2">
        <v>0.43507651146510751</v>
      </c>
      <c r="P18" s="2">
        <v>0.3253054199240582</v>
      </c>
      <c r="Q18" s="2">
        <v>2.5915136467594602</v>
      </c>
      <c r="R18" s="2">
        <v>6.6178663687557133</v>
      </c>
      <c r="S18" s="2">
        <v>0.40876814825452668</v>
      </c>
      <c r="T18" s="2">
        <v>77.018956581692038</v>
      </c>
    </row>
    <row r="19" spans="1:20" x14ac:dyDescent="0.2">
      <c r="A19">
        <v>2014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>
        <v>2015</v>
      </c>
      <c r="B20" s="2">
        <v>56.643070220947266</v>
      </c>
      <c r="C20" s="2">
        <v>21.842767715454102</v>
      </c>
      <c r="D20" s="2">
        <v>76.740943908691406</v>
      </c>
      <c r="E20" s="2">
        <v>1.4162917137145996</v>
      </c>
      <c r="F20" s="2">
        <v>20.097871780395508</v>
      </c>
      <c r="G20" s="2">
        <v>2.0457746982574463</v>
      </c>
      <c r="H20" s="2">
        <v>0.1437130260480278</v>
      </c>
      <c r="I20" s="2">
        <v>0.2571922701383984</v>
      </c>
      <c r="J20" s="2">
        <v>0.42954214262711932</v>
      </c>
      <c r="K20" s="2">
        <v>1.0235384725346821</v>
      </c>
      <c r="L20" s="2">
        <v>0.5770921389622915</v>
      </c>
      <c r="M20" s="2">
        <v>95.271526136412007</v>
      </c>
      <c r="N20" s="2">
        <v>0.41835669285033988</v>
      </c>
      <c r="O20" s="2">
        <v>0.41828781324009412</v>
      </c>
      <c r="P20" s="2">
        <v>0.29731804317440008</v>
      </c>
      <c r="Q20" s="2">
        <v>2.576251524034495</v>
      </c>
      <c r="R20" s="2">
        <v>6.4689005629411618</v>
      </c>
      <c r="S20" s="2">
        <v>0.32783439504975509</v>
      </c>
      <c r="T20" s="2">
        <v>69.553343826909753</v>
      </c>
    </row>
    <row r="22" spans="1:20" s="4" customFormat="1" ht="15.75" x14ac:dyDescent="0.25">
      <c r="A22" s="3"/>
      <c r="B22" s="4" t="s">
        <v>17</v>
      </c>
      <c r="J22" s="4" t="s">
        <v>20</v>
      </c>
    </row>
    <row r="35" spans="1:14" x14ac:dyDescent="0.2">
      <c r="N35" s="2"/>
    </row>
    <row r="43" spans="1:14" s="4" customFormat="1" ht="15.75" x14ac:dyDescent="0.25">
      <c r="A43" s="3"/>
      <c r="B43" s="4" t="s">
        <v>19</v>
      </c>
      <c r="J43" s="4" t="s">
        <v>21</v>
      </c>
    </row>
    <row r="56" spans="14:14" x14ac:dyDescent="0.2">
      <c r="N56" s="2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showGridLines="0" zoomScale="85" zoomScaleNormal="85" workbookViewId="0">
      <selection activeCell="B2" sqref="B2:T20"/>
    </sheetView>
  </sheetViews>
  <sheetFormatPr defaultRowHeight="12.75" x14ac:dyDescent="0.2"/>
  <cols>
    <col min="1" max="1" width="5" style="1" bestFit="1" customWidth="1"/>
  </cols>
  <sheetData>
    <row r="1" spans="1:20" x14ac:dyDescent="0.2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13</v>
      </c>
      <c r="I1" t="s">
        <v>14</v>
      </c>
      <c r="J1" t="s">
        <v>15</v>
      </c>
      <c r="K1" t="s">
        <v>5</v>
      </c>
      <c r="L1" t="s">
        <v>22</v>
      </c>
      <c r="M1" t="s">
        <v>6</v>
      </c>
      <c r="N1" t="s">
        <v>18</v>
      </c>
      <c r="O1" t="s">
        <v>7</v>
      </c>
      <c r="P1" t="s">
        <v>16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2">
      <c r="A2">
        <v>1997</v>
      </c>
      <c r="B2" s="2">
        <v>52.386272430419922</v>
      </c>
      <c r="C2" s="2">
        <v>17.599845886230469</v>
      </c>
      <c r="D2" s="2">
        <v>78.871795654296875</v>
      </c>
      <c r="E2" s="2">
        <v>3.5283546447753906</v>
      </c>
      <c r="F2" s="2">
        <v>26.485528945922852</v>
      </c>
      <c r="G2" s="2">
        <v>1.9817101955413818</v>
      </c>
      <c r="H2" s="2">
        <v>0.14872964975897099</v>
      </c>
      <c r="I2" s="2">
        <v>0.27540685835267892</v>
      </c>
      <c r="J2" s="2">
        <v>0.49056511627550359</v>
      </c>
      <c r="K2" s="2">
        <v>0.9738457328477732</v>
      </c>
      <c r="L2" s="2">
        <v>0.47408803076683109</v>
      </c>
      <c r="M2" s="2">
        <v>93.239168684143152</v>
      </c>
      <c r="N2" s="2">
        <v>0.42728695987510001</v>
      </c>
      <c r="O2" s="2">
        <v>0.4272327265416469</v>
      </c>
      <c r="P2" s="2">
        <v>0.32214496558477268</v>
      </c>
      <c r="Q2" s="2">
        <v>2.8142894871175841</v>
      </c>
      <c r="R2" s="2">
        <v>7.5674044484766192</v>
      </c>
      <c r="S2" s="2">
        <v>0.32449046593028552</v>
      </c>
      <c r="T2" s="2">
        <v>79.284809668070267</v>
      </c>
    </row>
    <row r="3" spans="1:20" x14ac:dyDescent="0.2">
      <c r="A3">
        <v>1998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>
        <v>1999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>
        <v>2000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>
        <v>2001</v>
      </c>
      <c r="B6" s="2">
        <v>60.536361694335938</v>
      </c>
      <c r="C6" s="2">
        <v>7.1526689529418945</v>
      </c>
      <c r="D6" s="2">
        <v>91.863258361816406</v>
      </c>
      <c r="E6" s="2">
        <v>0.98407155275344849</v>
      </c>
      <c r="F6" s="2">
        <v>31.326898574829102</v>
      </c>
      <c r="G6" s="2">
        <v>1.7779390811920166</v>
      </c>
      <c r="H6" s="2">
        <v>0.1730065473804219</v>
      </c>
      <c r="I6" s="2">
        <v>0.31292950901148753</v>
      </c>
      <c r="J6" s="2">
        <v>0.52227170877176421</v>
      </c>
      <c r="K6" s="2">
        <v>1.1160046502396881</v>
      </c>
      <c r="L6" s="2">
        <v>0.6224472280065908</v>
      </c>
      <c r="M6" s="2">
        <v>97.95924595707325</v>
      </c>
      <c r="N6" s="2">
        <v>0.46167231870530528</v>
      </c>
      <c r="O6" s="2">
        <v>0.46154042859299449</v>
      </c>
      <c r="P6" s="2">
        <v>0.37531838505328879</v>
      </c>
      <c r="Q6" s="2">
        <v>3.150816016148033</v>
      </c>
      <c r="R6" s="2">
        <v>9.0052247926420783</v>
      </c>
      <c r="S6" s="2">
        <v>0.38584651546180138</v>
      </c>
      <c r="T6" s="2">
        <v>98.479372860826757</v>
      </c>
    </row>
    <row r="7" spans="1:20" x14ac:dyDescent="0.2">
      <c r="A7">
        <v>2002</v>
      </c>
      <c r="B7" s="2">
        <v>61.196388244628906</v>
      </c>
      <c r="C7" s="2">
        <v>7.5445981025695801</v>
      </c>
      <c r="D7" s="2">
        <v>91.610542297363281</v>
      </c>
      <c r="E7" s="2">
        <v>0.84485447406768799</v>
      </c>
      <c r="F7" s="2">
        <v>30.414157867431641</v>
      </c>
      <c r="G7" s="2">
        <v>1.7882014513015747</v>
      </c>
      <c r="H7" s="2">
        <v>0.1764115011989541</v>
      </c>
      <c r="I7" s="2">
        <v>0.31749243205684169</v>
      </c>
      <c r="J7" s="2">
        <v>0.52225156032089781</v>
      </c>
      <c r="K7" s="2">
        <v>1.1232625919042489</v>
      </c>
      <c r="L7" s="2">
        <v>0.63058414730116497</v>
      </c>
      <c r="M7" s="2">
        <v>88.306061235263016</v>
      </c>
      <c r="N7" s="2">
        <v>0.46655236747263051</v>
      </c>
      <c r="O7" s="2">
        <v>0.46642782025867863</v>
      </c>
      <c r="P7" s="2">
        <v>0.38198166342311213</v>
      </c>
      <c r="Q7" s="2">
        <v>3.23471781986916</v>
      </c>
      <c r="R7" s="2">
        <v>9.0242945960772474</v>
      </c>
      <c r="S7" s="2">
        <v>0.3946236840267438</v>
      </c>
      <c r="T7" s="2">
        <v>79.381010719968643</v>
      </c>
    </row>
    <row r="8" spans="1:20" x14ac:dyDescent="0.2">
      <c r="A8">
        <v>2003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>
        <v>2004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>
        <v>2005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>
        <v>2006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>
        <v>2007</v>
      </c>
      <c r="B12" s="2">
        <v>58.745582580566406</v>
      </c>
      <c r="C12" s="2">
        <v>19.346288681030273</v>
      </c>
      <c r="D12" s="2">
        <v>79.505302429199219</v>
      </c>
      <c r="E12" s="2">
        <v>1.1484098434448242</v>
      </c>
      <c r="F12" s="2">
        <v>20.759716033935547</v>
      </c>
      <c r="G12" s="2">
        <v>2.0088338851928711</v>
      </c>
      <c r="H12" s="2">
        <v>0.1867621524496996</v>
      </c>
      <c r="I12" s="2">
        <v>0.33013520321844508</v>
      </c>
      <c r="J12" s="2">
        <v>0.52869613029587281</v>
      </c>
      <c r="K12" s="2">
        <v>1.1879506381718099</v>
      </c>
      <c r="L12" s="2">
        <v>0.83219038478175777</v>
      </c>
      <c r="M12" s="2">
        <v>92.075640919638232</v>
      </c>
      <c r="N12" s="2">
        <v>0.47909997120288828</v>
      </c>
      <c r="O12" s="2">
        <v>0.47909677653105293</v>
      </c>
      <c r="P12" s="2">
        <v>0.40067938280905002</v>
      </c>
      <c r="Q12" s="2">
        <v>3.3118427487151649</v>
      </c>
      <c r="R12" s="2">
        <v>9.3260572846179102</v>
      </c>
      <c r="S12" s="2">
        <v>0.4290014915709735</v>
      </c>
      <c r="T12" s="2">
        <v>91.491698605653283</v>
      </c>
    </row>
    <row r="13" spans="1:20" x14ac:dyDescent="0.2">
      <c r="A13">
        <v>2008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>
        <v>2009</v>
      </c>
      <c r="B14" s="2">
        <v>56.681613922119141</v>
      </c>
      <c r="C14" s="2">
        <v>32.197307586669922</v>
      </c>
      <c r="D14" s="2">
        <v>66.188339233398437</v>
      </c>
      <c r="E14" s="2">
        <v>1.6143497228622437</v>
      </c>
      <c r="F14" s="2">
        <v>9.5067262649536133</v>
      </c>
      <c r="G14" s="2">
        <v>2.259192943572998</v>
      </c>
      <c r="H14" s="2">
        <v>0.1768291292121705</v>
      </c>
      <c r="I14" s="2">
        <v>0.3139852509189141</v>
      </c>
      <c r="J14" s="2">
        <v>0.51173540601777012</v>
      </c>
      <c r="K14" s="2">
        <v>1.186514384911759</v>
      </c>
      <c r="L14" s="2">
        <v>0.82082391492826234</v>
      </c>
      <c r="M14" s="2">
        <v>104.51817465283138</v>
      </c>
      <c r="N14" s="2">
        <v>0.4647655815864794</v>
      </c>
      <c r="O14" s="2">
        <v>0.46466181321366568</v>
      </c>
      <c r="P14" s="2">
        <v>0.37685615136926709</v>
      </c>
      <c r="Q14" s="2">
        <v>3.154404298592957</v>
      </c>
      <c r="R14" s="2">
        <v>8.7718785164846178</v>
      </c>
      <c r="S14" s="2">
        <v>0.40737284262332057</v>
      </c>
      <c r="T14" s="2">
        <v>125.02520626930122</v>
      </c>
    </row>
    <row r="15" spans="1:20" x14ac:dyDescent="0.2">
      <c r="A15">
        <v>2010</v>
      </c>
      <c r="B15" s="2">
        <v>59.485816955566406</v>
      </c>
      <c r="C15" s="2">
        <v>25.797874450683594</v>
      </c>
      <c r="D15" s="2">
        <v>72.78369140625</v>
      </c>
      <c r="E15" s="2">
        <v>1.4184396266937256</v>
      </c>
      <c r="F15" s="2">
        <v>13.297872543334961</v>
      </c>
      <c r="G15" s="2">
        <v>2.1533687114715576</v>
      </c>
      <c r="H15" s="2">
        <v>0.16811421187457751</v>
      </c>
      <c r="I15" s="2">
        <v>0.3015074156903309</v>
      </c>
      <c r="J15" s="2">
        <v>0.49688784264146779</v>
      </c>
      <c r="K15" s="2">
        <v>1.1210605300142711</v>
      </c>
      <c r="L15" s="2">
        <v>0.66487084608060065</v>
      </c>
      <c r="M15" s="2">
        <v>104.1839586695239</v>
      </c>
      <c r="N15" s="2">
        <v>0.45482157628613201</v>
      </c>
      <c r="O15" s="2">
        <v>0.45467811055860169</v>
      </c>
      <c r="P15" s="2">
        <v>0.35883071693464108</v>
      </c>
      <c r="Q15" s="2">
        <v>3.1018516357922179</v>
      </c>
      <c r="R15" s="2">
        <v>8.4437515591532257</v>
      </c>
      <c r="S15" s="2">
        <v>0.38007411092689369</v>
      </c>
      <c r="T15" s="2">
        <v>115.82268774175817</v>
      </c>
    </row>
    <row r="16" spans="1:20" x14ac:dyDescent="0.2">
      <c r="A16">
        <v>2011</v>
      </c>
      <c r="B16" s="2">
        <v>60.392505645751953</v>
      </c>
      <c r="C16" s="2">
        <v>27.564674377441406</v>
      </c>
      <c r="D16" s="2">
        <v>71.543266296386719</v>
      </c>
      <c r="E16" s="2">
        <v>0.89206063747406006</v>
      </c>
      <c r="F16" s="2">
        <v>11.150757789611816</v>
      </c>
      <c r="G16" s="2">
        <v>2.1819803714752197</v>
      </c>
      <c r="H16" s="2">
        <v>0.15461318311770081</v>
      </c>
      <c r="I16" s="2">
        <v>0.28299890128660438</v>
      </c>
      <c r="J16" s="2">
        <v>0.48432596492155539</v>
      </c>
      <c r="K16" s="2">
        <v>1.0376150831240309</v>
      </c>
      <c r="L16" s="2">
        <v>0.53795122114685301</v>
      </c>
      <c r="M16" s="2">
        <v>104.41589843367191</v>
      </c>
      <c r="N16" s="2">
        <v>0.43591302549013988</v>
      </c>
      <c r="O16" s="2">
        <v>0.43571380507110391</v>
      </c>
      <c r="P16" s="2">
        <v>0.33267790600800312</v>
      </c>
      <c r="Q16" s="2">
        <v>2.979548122637262</v>
      </c>
      <c r="R16" s="2">
        <v>7.8562758777287236</v>
      </c>
      <c r="S16" s="2">
        <v>0.34176257508743479</v>
      </c>
      <c r="T16" s="2">
        <v>108.52881672627666</v>
      </c>
    </row>
    <row r="17" spans="1:20" x14ac:dyDescent="0.2">
      <c r="A17">
        <v>2012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>
        <v>2013</v>
      </c>
      <c r="B18" s="2">
        <v>51.933216094970703</v>
      </c>
      <c r="C18" s="2">
        <v>33.743408203125</v>
      </c>
      <c r="D18" s="2">
        <v>63.444637298583984</v>
      </c>
      <c r="E18" s="2">
        <v>2.8119509220123291</v>
      </c>
      <c r="F18" s="2">
        <v>11.511423110961914</v>
      </c>
      <c r="G18" s="2">
        <v>2.2785589694976807</v>
      </c>
      <c r="H18" s="2">
        <v>0.14422426798835311</v>
      </c>
      <c r="I18" s="2">
        <v>0.2693036678116163</v>
      </c>
      <c r="J18" s="2">
        <v>0.47654746363460398</v>
      </c>
      <c r="K18" s="2">
        <v>0.92657682637882433</v>
      </c>
      <c r="L18" s="2">
        <v>0.47272593323878659</v>
      </c>
      <c r="M18" s="2">
        <v>105.29761374294337</v>
      </c>
      <c r="N18" s="2">
        <v>0.42083306891088518</v>
      </c>
      <c r="O18" s="2">
        <v>0.42069346761756221</v>
      </c>
      <c r="P18" s="2">
        <v>0.31375731978379651</v>
      </c>
      <c r="Q18" s="2">
        <v>2.8763589519286241</v>
      </c>
      <c r="R18" s="2">
        <v>7.7162763521085767</v>
      </c>
      <c r="S18" s="2">
        <v>0.31202664296953081</v>
      </c>
      <c r="T18" s="2">
        <v>94.408323844008265</v>
      </c>
    </row>
    <row r="19" spans="1:20" x14ac:dyDescent="0.2">
      <c r="A19">
        <v>2014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>
        <v>2015</v>
      </c>
      <c r="B20" s="2">
        <v>56.195461273193359</v>
      </c>
      <c r="C20" s="2">
        <v>32.809772491455078</v>
      </c>
      <c r="D20" s="2">
        <v>65.706809997558594</v>
      </c>
      <c r="E20" s="2">
        <v>1.4834206104278564</v>
      </c>
      <c r="F20" s="2">
        <v>9.5113439559936523</v>
      </c>
      <c r="G20" s="2">
        <v>2.2626526355743408</v>
      </c>
      <c r="H20" s="2">
        <v>0.1422618199288517</v>
      </c>
      <c r="I20" s="2">
        <v>0.26565343634802607</v>
      </c>
      <c r="J20" s="2">
        <v>0.47064181726950061</v>
      </c>
      <c r="K20" s="2">
        <v>0.94026412519231628</v>
      </c>
      <c r="L20" s="2">
        <v>0.44577355499423699</v>
      </c>
      <c r="M20" s="2">
        <v>110.00420922760183</v>
      </c>
      <c r="N20" s="2">
        <v>0.41795824834723833</v>
      </c>
      <c r="O20" s="2">
        <v>0.41779985769203498</v>
      </c>
      <c r="P20" s="2">
        <v>0.30877420423485141</v>
      </c>
      <c r="Q20" s="2">
        <v>2.846133640932706</v>
      </c>
      <c r="R20" s="2">
        <v>7.5601671029261741</v>
      </c>
      <c r="S20" s="2">
        <v>0.30756433735733157</v>
      </c>
      <c r="T20" s="2">
        <v>107.57804829918152</v>
      </c>
    </row>
    <row r="22" spans="1:20" s="4" customFormat="1" ht="15.75" x14ac:dyDescent="0.25">
      <c r="A22" s="3"/>
      <c r="B22" s="4" t="s">
        <v>17</v>
      </c>
      <c r="J22" s="4" t="s">
        <v>20</v>
      </c>
    </row>
    <row r="35" spans="1:14" x14ac:dyDescent="0.2">
      <c r="N35" s="2"/>
    </row>
    <row r="43" spans="1:14" s="4" customFormat="1" ht="15.75" x14ac:dyDescent="0.25">
      <c r="A43" s="3"/>
      <c r="B43" s="4" t="s">
        <v>19</v>
      </c>
      <c r="J43" s="4" t="s">
        <v>21</v>
      </c>
    </row>
    <row r="56" spans="14:14" x14ac:dyDescent="0.2">
      <c r="N56" s="2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showGridLines="0" topLeftCell="A2" zoomScale="85" zoomScaleNormal="85" workbookViewId="0">
      <selection activeCell="U33" sqref="U33"/>
    </sheetView>
  </sheetViews>
  <sheetFormatPr defaultRowHeight="12.75" x14ac:dyDescent="0.2"/>
  <cols>
    <col min="1" max="1" width="5" style="1" bestFit="1" customWidth="1"/>
  </cols>
  <sheetData>
    <row r="1" spans="1:20" x14ac:dyDescent="0.2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13</v>
      </c>
      <c r="I1" t="s">
        <v>14</v>
      </c>
      <c r="J1" t="s">
        <v>15</v>
      </c>
      <c r="K1" t="s">
        <v>5</v>
      </c>
      <c r="L1" t="s">
        <v>22</v>
      </c>
      <c r="M1" t="s">
        <v>6</v>
      </c>
      <c r="N1" t="s">
        <v>18</v>
      </c>
      <c r="O1" t="s">
        <v>7</v>
      </c>
      <c r="P1" t="s">
        <v>16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2">
      <c r="A2">
        <v>1997</v>
      </c>
      <c r="B2" s="2">
        <v>48.164333343505859</v>
      </c>
      <c r="C2" s="2">
        <v>10.402097702026367</v>
      </c>
      <c r="D2" s="2">
        <v>85.227272033691406</v>
      </c>
      <c r="E2" s="2">
        <v>4.3706293106079102</v>
      </c>
      <c r="F2" s="2">
        <v>37.062938690185547</v>
      </c>
      <c r="G2" s="2">
        <v>1.820804238319397</v>
      </c>
      <c r="H2" s="2">
        <v>0.19142068651768099</v>
      </c>
      <c r="I2" s="2">
        <v>0.34770649625085448</v>
      </c>
      <c r="J2" s="2">
        <v>0.98804744126469468</v>
      </c>
      <c r="K2" s="2">
        <v>1.3146720502755109</v>
      </c>
      <c r="L2" s="2">
        <v>0.85526434351544744</v>
      </c>
      <c r="M2" s="2">
        <v>98.432059349075189</v>
      </c>
      <c r="N2" s="2">
        <v>0.4824846717988166</v>
      </c>
      <c r="O2" s="2">
        <v>0.47908438987496671</v>
      </c>
      <c r="P2" s="2">
        <v>0.42726065922224138</v>
      </c>
      <c r="Q2" s="2">
        <v>3.0983248237194161</v>
      </c>
      <c r="R2" s="2">
        <v>9.6706113854118971</v>
      </c>
      <c r="S2" s="2">
        <v>0.4412450791758859</v>
      </c>
      <c r="T2" s="2">
        <v>124.02044381532792</v>
      </c>
    </row>
    <row r="3" spans="1:20" x14ac:dyDescent="0.2">
      <c r="A3">
        <v>1998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>
        <v>1999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>
        <v>2000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>
        <v>2001</v>
      </c>
      <c r="B6" s="2">
        <v>47.398666381835938</v>
      </c>
      <c r="C6" s="2">
        <v>21.507131576538086</v>
      </c>
      <c r="D6" s="2">
        <v>72.18853759765625</v>
      </c>
      <c r="E6" s="2">
        <v>6.3043332099914551</v>
      </c>
      <c r="F6" s="2">
        <v>24.78986930847168</v>
      </c>
      <c r="G6" s="2">
        <v>2.093259334564209</v>
      </c>
      <c r="H6" s="2">
        <v>0.1770819222490867</v>
      </c>
      <c r="I6" s="2">
        <v>0.32099059426173721</v>
      </c>
      <c r="J6" s="2">
        <v>0.57110748168877801</v>
      </c>
      <c r="K6" s="2">
        <v>1.1884555488439299</v>
      </c>
      <c r="L6" s="2">
        <v>0.69414551631524113</v>
      </c>
      <c r="M6" s="2">
        <v>91.708477503748327</v>
      </c>
      <c r="N6" s="2">
        <v>0.4689389786781733</v>
      </c>
      <c r="O6" s="2">
        <v>0.46357389520905001</v>
      </c>
      <c r="P6" s="2">
        <v>0.3871202991802084</v>
      </c>
      <c r="Q6" s="2">
        <v>3.072727475070022</v>
      </c>
      <c r="R6" s="2">
        <v>9.271972429318879</v>
      </c>
      <c r="S6" s="2">
        <v>0.39925978641142729</v>
      </c>
      <c r="T6" s="2">
        <v>93.962860151265531</v>
      </c>
    </row>
    <row r="7" spans="1:20" x14ac:dyDescent="0.2">
      <c r="A7">
        <v>2002</v>
      </c>
      <c r="B7" s="2">
        <v>50.312580108642578</v>
      </c>
      <c r="C7" s="2">
        <v>20.416542053222656</v>
      </c>
      <c r="D7" s="2">
        <v>74.600372314453125</v>
      </c>
      <c r="E7" s="2">
        <v>4.9830899238586426</v>
      </c>
      <c r="F7" s="2">
        <v>24.287786483764648</v>
      </c>
      <c r="G7" s="2">
        <v>2.0609493255615234</v>
      </c>
      <c r="H7" s="2">
        <v>0.1851438140623233</v>
      </c>
      <c r="I7" s="2">
        <v>0.33672226191171239</v>
      </c>
      <c r="J7" s="2">
        <v>0.91144163292863078</v>
      </c>
      <c r="K7" s="2">
        <v>1.2076035152256721</v>
      </c>
      <c r="L7" s="2">
        <v>0.71848145728941826</v>
      </c>
      <c r="M7" s="2">
        <v>78.068651660969934</v>
      </c>
      <c r="N7" s="2">
        <v>0.48154679634421999</v>
      </c>
      <c r="O7" s="2">
        <v>0.47327239888785938</v>
      </c>
      <c r="P7" s="2">
        <v>0.41056146537110838</v>
      </c>
      <c r="Q7" s="2">
        <v>3.1611405092705089</v>
      </c>
      <c r="R7" s="2">
        <v>10.34349699174815</v>
      </c>
      <c r="S7" s="2">
        <v>0.41638106986109952</v>
      </c>
      <c r="T7" s="2">
        <v>67.451103498826413</v>
      </c>
    </row>
    <row r="8" spans="1:20" x14ac:dyDescent="0.2">
      <c r="A8">
        <v>2003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>
        <v>2004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>
        <v>2005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>
        <v>2006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>
        <v>2007</v>
      </c>
      <c r="B12" s="2">
        <v>32.354129791259766</v>
      </c>
      <c r="C12" s="2">
        <v>38.35028076171875</v>
      </c>
      <c r="D12" s="2">
        <v>43.096889495849609</v>
      </c>
      <c r="E12" s="2">
        <v>18.552829742431641</v>
      </c>
      <c r="F12" s="2">
        <v>10.742757797241211</v>
      </c>
      <c r="G12" s="2">
        <v>2.6471319198608398</v>
      </c>
      <c r="H12" s="2">
        <v>0.1410499318549365</v>
      </c>
      <c r="I12" s="2">
        <v>0.26230632126714432</v>
      </c>
      <c r="J12" s="2">
        <v>0.4799807799233774</v>
      </c>
      <c r="K12" s="2">
        <v>0.96505697832452297</v>
      </c>
      <c r="L12" s="2">
        <v>0.45779557688931261</v>
      </c>
      <c r="M12" s="2">
        <v>110.77112446813477</v>
      </c>
      <c r="N12" s="2">
        <v>0.41931698110804688</v>
      </c>
      <c r="O12" s="2">
        <v>0.41454632153118792</v>
      </c>
      <c r="P12" s="2">
        <v>0.30422661001461809</v>
      </c>
      <c r="Q12" s="2">
        <v>2.6952000267160829</v>
      </c>
      <c r="R12" s="2">
        <v>7.3075599441856491</v>
      </c>
      <c r="S12" s="2">
        <v>0.30815921286293169</v>
      </c>
      <c r="T12" s="2">
        <v>113.0374176277306</v>
      </c>
    </row>
    <row r="13" spans="1:20" x14ac:dyDescent="0.2">
      <c r="A13">
        <v>2008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>
        <v>2009</v>
      </c>
      <c r="B14" s="2">
        <v>44.297832489013672</v>
      </c>
      <c r="C14" s="2">
        <v>29.966974258422852</v>
      </c>
      <c r="D14" s="2">
        <v>66.365516662597656</v>
      </c>
      <c r="E14" s="2">
        <v>3.6675066947937012</v>
      </c>
      <c r="F14" s="2">
        <v>22.067686080932617</v>
      </c>
      <c r="G14" s="2">
        <v>2.1523430347442627</v>
      </c>
      <c r="H14" s="2">
        <v>0.13155735524452961</v>
      </c>
      <c r="I14" s="2">
        <v>0.24478228078643011</v>
      </c>
      <c r="J14" s="2">
        <v>0.44412445113732268</v>
      </c>
      <c r="K14" s="2">
        <v>0.92758251567843997</v>
      </c>
      <c r="L14" s="2">
        <v>0.44756869951892547</v>
      </c>
      <c r="M14" s="2">
        <v>106.85008696799699</v>
      </c>
      <c r="N14" s="2">
        <v>0.4072958499726651</v>
      </c>
      <c r="O14" s="2">
        <v>0.39951816101845811</v>
      </c>
      <c r="P14" s="2">
        <v>0.28074920148434518</v>
      </c>
      <c r="Q14" s="2">
        <v>2.6565705431574229</v>
      </c>
      <c r="R14" s="2">
        <v>6.6786445627902724</v>
      </c>
      <c r="S14" s="2">
        <v>0.28832981109069022</v>
      </c>
      <c r="T14" s="2">
        <v>104.61431967329777</v>
      </c>
    </row>
    <row r="15" spans="1:20" x14ac:dyDescent="0.2">
      <c r="A15">
        <v>2010</v>
      </c>
      <c r="B15" s="2">
        <v>40.582855224609375</v>
      </c>
      <c r="C15" s="2">
        <v>33.496749877929688</v>
      </c>
      <c r="D15" s="2">
        <v>59.727310180664062</v>
      </c>
      <c r="E15" s="2">
        <v>6.7759408950805664</v>
      </c>
      <c r="F15" s="2">
        <v>19.144453048706055</v>
      </c>
      <c r="G15" s="2">
        <v>2.2790417671203613</v>
      </c>
      <c r="H15" s="2">
        <v>0.12096837419211021</v>
      </c>
      <c r="I15" s="2">
        <v>0.229525509201112</v>
      </c>
      <c r="J15" s="2">
        <v>0.43296768920091189</v>
      </c>
      <c r="K15" s="2">
        <v>0.86459923722161991</v>
      </c>
      <c r="L15" s="2">
        <v>0.37058325458452862</v>
      </c>
      <c r="M15" s="2">
        <v>98.583087440233257</v>
      </c>
      <c r="N15" s="2">
        <v>0.39077667307517039</v>
      </c>
      <c r="O15" s="2">
        <v>0.38378088794488602</v>
      </c>
      <c r="P15" s="2">
        <v>0.26074873210435973</v>
      </c>
      <c r="Q15" s="2">
        <v>2.5914632446446908</v>
      </c>
      <c r="R15" s="2">
        <v>6.413106602412598</v>
      </c>
      <c r="S15" s="2">
        <v>0.25924593187280298</v>
      </c>
      <c r="T15" s="2">
        <v>83.844998130191215</v>
      </c>
    </row>
    <row r="16" spans="1:20" x14ac:dyDescent="0.2">
      <c r="A16">
        <v>2011</v>
      </c>
      <c r="B16" s="2">
        <v>50.146961212158203</v>
      </c>
      <c r="C16" s="2">
        <v>28.883140563964844</v>
      </c>
      <c r="D16" s="2">
        <v>67.350395202636719</v>
      </c>
      <c r="E16" s="2">
        <v>3.7664637565612793</v>
      </c>
      <c r="F16" s="2">
        <v>17.203435897827148</v>
      </c>
      <c r="G16" s="2">
        <v>2.1921262741088867</v>
      </c>
      <c r="H16" s="2">
        <v>0.12456283228821929</v>
      </c>
      <c r="I16" s="2">
        <v>0.23600179562317231</v>
      </c>
      <c r="J16" s="2">
        <v>0.44788962167607521</v>
      </c>
      <c r="K16" s="2">
        <v>0.86282729578264483</v>
      </c>
      <c r="L16" s="2">
        <v>0.42386758306900968</v>
      </c>
      <c r="M16" s="2">
        <v>99.550716215109873</v>
      </c>
      <c r="N16" s="2">
        <v>0.39415910973962642</v>
      </c>
      <c r="O16" s="2">
        <v>0.3882195733779763</v>
      </c>
      <c r="P16" s="2">
        <v>0.26918984011059333</v>
      </c>
      <c r="Q16" s="2">
        <v>2.6426009927993501</v>
      </c>
      <c r="R16" s="2">
        <v>6.5184296595789961</v>
      </c>
      <c r="S16" s="2">
        <v>0.26900203858433153</v>
      </c>
      <c r="T16" s="2">
        <v>83.212964155115017</v>
      </c>
    </row>
    <row r="17" spans="1:20" x14ac:dyDescent="0.2">
      <c r="A17">
        <v>2012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>
        <v>2013</v>
      </c>
      <c r="B18" s="2">
        <v>32.789699554443359</v>
      </c>
      <c r="C18" s="2">
        <v>34.849784851074219</v>
      </c>
      <c r="D18" s="2">
        <v>55.622314453125</v>
      </c>
      <c r="E18" s="2">
        <v>9.5278968811035156</v>
      </c>
      <c r="F18" s="2">
        <v>22.832618713378906</v>
      </c>
      <c r="G18" s="2">
        <v>2.3107295036315918</v>
      </c>
      <c r="H18" s="2">
        <v>0.1339667782440061</v>
      </c>
      <c r="I18" s="2">
        <v>0.25124793203438878</v>
      </c>
      <c r="J18" s="2">
        <v>0.47208076661979431</v>
      </c>
      <c r="K18" s="2">
        <v>0.95735478335949065</v>
      </c>
      <c r="L18" s="2">
        <v>0.4480484536227593</v>
      </c>
      <c r="M18" s="2">
        <v>116.03578092044395</v>
      </c>
      <c r="N18" s="2">
        <v>0.40829281425494451</v>
      </c>
      <c r="O18" s="2">
        <v>0.40191908796204201</v>
      </c>
      <c r="P18" s="2">
        <v>0.28934736766566749</v>
      </c>
      <c r="Q18" s="2">
        <v>2.6614705473810791</v>
      </c>
      <c r="R18" s="2">
        <v>6.8745030101627203</v>
      </c>
      <c r="S18" s="2">
        <v>0.29206600611315692</v>
      </c>
      <c r="T18" s="2">
        <v>129.85591500461837</v>
      </c>
    </row>
    <row r="19" spans="1:20" x14ac:dyDescent="0.2">
      <c r="A19">
        <v>2014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>
        <v>2015</v>
      </c>
      <c r="B20" s="2">
        <v>40.584693908691406</v>
      </c>
      <c r="C20" s="2">
        <v>21.668100357055664</v>
      </c>
      <c r="D20" s="2">
        <v>74.032676696777344</v>
      </c>
      <c r="E20" s="2">
        <v>4.2992258071899414</v>
      </c>
      <c r="F20" s="2">
        <v>33.447978973388672</v>
      </c>
      <c r="G20" s="2">
        <v>1.9681857824325562</v>
      </c>
      <c r="H20" s="2">
        <v>0.14337072419979258</v>
      </c>
      <c r="I20" s="2">
        <v>0.2664940684456063</v>
      </c>
      <c r="J20" s="2">
        <v>0.49627191156351458</v>
      </c>
      <c r="K20" s="2">
        <v>1.0518822709363462</v>
      </c>
      <c r="L20" s="2">
        <v>0.47222932417651009</v>
      </c>
      <c r="M20" s="2">
        <v>132.52084562577875</v>
      </c>
      <c r="N20" s="2">
        <v>0.42242651877026383</v>
      </c>
      <c r="O20" s="2">
        <v>0.4156186025461075</v>
      </c>
      <c r="P20" s="2">
        <v>0.30950489522074065</v>
      </c>
      <c r="Q20" s="2">
        <v>2.6803401019628126</v>
      </c>
      <c r="R20" s="2">
        <v>7.2305763607464542</v>
      </c>
      <c r="S20" s="2">
        <v>0.3151299736419837</v>
      </c>
      <c r="T20" s="2">
        <v>176.49886585411878</v>
      </c>
    </row>
    <row r="22" spans="1:20" s="4" customFormat="1" ht="15.75" x14ac:dyDescent="0.25">
      <c r="A22" s="3"/>
      <c r="B22" s="4" t="s">
        <v>17</v>
      </c>
      <c r="J22" s="4" t="s">
        <v>20</v>
      </c>
    </row>
    <row r="35" spans="1:14" x14ac:dyDescent="0.2">
      <c r="N35" s="2"/>
    </row>
    <row r="43" spans="1:14" s="4" customFormat="1" ht="15.75" x14ac:dyDescent="0.25">
      <c r="A43" s="3"/>
      <c r="B43" s="4" t="s">
        <v>19</v>
      </c>
      <c r="J43" s="4" t="s">
        <v>21</v>
      </c>
    </row>
    <row r="56" spans="14:14" x14ac:dyDescent="0.2">
      <c r="N56" s="2"/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lac</vt:lpstr>
      <vt:lpstr>arg</vt:lpstr>
      <vt:lpstr>bol</vt:lpstr>
      <vt:lpstr>bra</vt:lpstr>
      <vt:lpstr>chl</vt:lpstr>
      <vt:lpstr>col</vt:lpstr>
      <vt:lpstr>cri</vt:lpstr>
      <vt:lpstr>dom</vt:lpstr>
      <vt:lpstr>ecu</vt:lpstr>
      <vt:lpstr>gtm</vt:lpstr>
      <vt:lpstr>hnd</vt:lpstr>
      <vt:lpstr>mex</vt:lpstr>
      <vt:lpstr>nic</vt:lpstr>
      <vt:lpstr>pan</vt:lpstr>
      <vt:lpstr>per</vt:lpstr>
      <vt:lpstr>pry</vt:lpstr>
      <vt:lpstr>slv</vt:lpstr>
      <vt:lpstr>ury</vt:lpstr>
      <vt:lpstr>ven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Jeremias Reyes</dc:creator>
  <cp:lastModifiedBy>German Jeremias Reyes</cp:lastModifiedBy>
  <dcterms:created xsi:type="dcterms:W3CDTF">2016-10-18T17:31:45Z</dcterms:created>
  <dcterms:modified xsi:type="dcterms:W3CDTF">2016-10-31T22:58:22Z</dcterms:modified>
</cp:coreProperties>
</file>